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dbx-study-app\data\"/>
    </mc:Choice>
  </mc:AlternateContent>
  <xr:revisionPtr revIDLastSave="0" documentId="13_ncr:1_{9B37D93F-BBB4-4C38-90F4-8B69EF362467}" xr6:coauthVersionLast="47" xr6:coauthVersionMax="47" xr10:uidLastSave="{00000000-0000-0000-0000-000000000000}"/>
  <bookViews>
    <workbookView xWindow="-120" yWindow="-120" windowWidth="51840" windowHeight="21120" activeTab="2" xr2:uid="{00000000-000D-0000-FFFF-FFFF00000000}"/>
  </bookViews>
  <sheets>
    <sheet name="Verification Summary" sheetId="11" r:id="rId1"/>
    <sheet name="Verification Sources" sheetId="10" r:id="rId2"/>
    <sheet name="QuestionBank" sheetId="1" r:id="rId3"/>
    <sheet name="Sheet1" sheetId="9" r:id="rId4"/>
    <sheet name="Pivot Counts" sheetId="8" r:id="rId5"/>
    <sheet name="Progress" sheetId="2" r:id="rId6"/>
    <sheet name="Lakehouse Definition" sheetId="4" r:id="rId7"/>
    <sheet name="Medallion Architecture " sheetId="5" r:id="rId8"/>
    <sheet name="Concepts" sheetId="7" r:id="rId9"/>
  </sheets>
  <definedNames>
    <definedName name="_xlnm._FilterDatabase" localSheetId="2" hidden="1">QuestionBank!$A$1:$AD$768</definedName>
  </definedNames>
  <calcPr calcId="191029"/>
  <pivotCaches>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6" i="2" l="1"/>
  <c r="C11" i="2"/>
  <c r="C8" i="2"/>
  <c r="C12" i="2"/>
  <c r="C3" i="2"/>
  <c r="C10" i="2"/>
  <c r="C6" i="2"/>
  <c r="C5" i="2"/>
  <c r="C13" i="2"/>
  <c r="C7" i="2"/>
  <c r="C15" i="2"/>
  <c r="C4" i="2"/>
  <c r="C2" i="2"/>
  <c r="C14" i="2"/>
  <c r="C9" i="2"/>
  <c r="C16" i="2" l="1"/>
  <c r="B17" i="2" l="1"/>
  <c r="B19" i="2" s="1"/>
  <c r="D16" i="2"/>
</calcChain>
</file>

<file path=xl/sharedStrings.xml><?xml version="1.0" encoding="utf-8"?>
<sst xmlns="http://schemas.openxmlformats.org/spreadsheetml/2006/main" count="13346" uniqueCount="5570">
  <si>
    <t>QID</t>
  </si>
  <si>
    <t>Exam</t>
  </si>
  <si>
    <t>Number</t>
  </si>
  <si>
    <t>Topic</t>
  </si>
  <si>
    <t>Subtopic</t>
  </si>
  <si>
    <t>Difficulty</t>
  </si>
  <si>
    <t>Question</t>
  </si>
  <si>
    <t>A</t>
  </si>
  <si>
    <t>B</t>
  </si>
  <si>
    <t>C</t>
  </si>
  <si>
    <t>D</t>
  </si>
  <si>
    <t>E</t>
  </si>
  <si>
    <t>CorrectLetter</t>
  </si>
  <si>
    <t>Notes</t>
  </si>
  <si>
    <t>LastReviewed</t>
  </si>
  <si>
    <t>CorrectCount</t>
  </si>
  <si>
    <t>IncorrectCount</t>
  </si>
  <si>
    <t>FlagForReview</t>
  </si>
  <si>
    <t>Tags</t>
  </si>
  <si>
    <t>Auto Loader</t>
  </si>
  <si>
    <t>Easy</t>
  </si>
  <si>
    <t>What column does Auto Loader add to capture malformed data?</t>
  </si>
  <si>
    <t>rescued_data</t>
  </si>
  <si>
    <t>rescuedData</t>
  </si>
  <si>
    <t>_rescued_data</t>
  </si>
  <si>
    <t>_corrupt_record</t>
  </si>
  <si>
    <t>Which item is NOT lost when a Databricks cluster terminates?</t>
  </si>
  <si>
    <t>Attached volumes</t>
  </si>
  <si>
    <t>Execution state</t>
  </si>
  <si>
    <t>Cached data</t>
  </si>
  <si>
    <t>Network connections</t>
  </si>
  <si>
    <t>Saved notebooks</t>
  </si>
  <si>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</si>
  <si>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</si>
  <si>
    <t>VACUUM sales RETAIN 168 HOURS</t>
  </si>
  <si>
    <t>VACUUM sales RETAIN 7 DAYS</t>
  </si>
  <si>
    <t>VACUUM sales RETAIN 10080 MINUTES</t>
  </si>
  <si>
    <t>VACUUM sales RETAIN 1 WEEK</t>
  </si>
  <si>
    <t>VACUUM sales RETAIN 604800 SECONDS</t>
  </si>
  <si>
    <t>The retention value provided while running VACCUM command is in HOURS
So, the correct answer is: VACUUM sales RETAIN 168 HOURS
Learn More: Vacuum a Delta table</t>
  </si>
  <si>
    <t>Hard</t>
  </si>
  <si>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</si>
  <si>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</si>
  <si>
    <t>MERGE INTO employees e
USING employees_updates eu
ON e.id = eu.id
WHEN MATCHED AND eu.type = “former“
THEN DELETE
WHEN NOT MATCHED AND eu.type = “new“
THEN INSERT *</t>
  </si>
  <si>
    <t>MERGE INTO employees e
USING employees_updates eu
ON e.id = eu.id
IF MATCHED AND eu.type = “former“
THEN DELETE
IF NOT MATCHED AND eu.type = “new“
THEN INSERT *</t>
  </si>
  <si>
    <t>MERGE INTO employees e
USING employees_updates eu
ON e.id = eu.id
WHEN MATCHED AND eu.type = “former“
THEN DELETE ALL
WHEN NOT MATCHED AND eu.type = “new“
THEN INSERT *</t>
  </si>
  <si>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</si>
  <si>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</si>
  <si>
    <t>SELECT * FROM global_temporary.orders_vw</t>
  </si>
  <si>
    <t>SELECT * FROM global_temp.orders_vw</t>
  </si>
  <si>
    <t>SELECT * FROM gbl_temp.orders_vw</t>
  </si>
  <si>
    <t>SELECT * FROM gbl_temporary.orders_vw</t>
  </si>
  <si>
    <t>SELECT * FROM gbl_tmp.orders_vw</t>
  </si>
  <si>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</si>
  <si>
    <t>Explanation</t>
  </si>
  <si>
    <t>Which of the following statements Databricks uses to allow insert, update and delete operations to be run as a single atomic transaction on a Delta table?</t>
  </si>
  <si>
    <t>UPSERT</t>
  </si>
  <si>
    <t> MERGE</t>
  </si>
  <si>
    <t> UPDATE</t>
  </si>
  <si>
    <t> INSERT INTO</t>
  </si>
  <si>
    <t> DELETE</t>
  </si>
  <si>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</si>
  <si>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</si>
  <si>
    <t>CREATE OR REPLACE TABLE players
(
playerId INT,
playerName STRING,
playerRuns LONG
)
USING DELTA;</t>
  </si>
  <si>
    <t>CREATE TABLE IF NOT EXISTS players
(
playerId INT,
playerName STRING,
playerRuns LONG
);</t>
  </si>
  <si>
    <t>CREATE OR REPLACE TABLE players WITH COLUMNS
(
playerId INT,
playerName STRING,
playerRuns LONG
)
USING DELTA;</t>
  </si>
  <si>
    <t>CREATE TABLE players IF NOT EXISTS
(
playerId INT,
playerName STRING,
playerRuns LONG
)
USING DELTA;</t>
  </si>
  <si>
    <t>CREATE OR REPLACE TABLE players AS
SELECT
playerId INT,
playerName STRING,
playerRuns LONG
USING DELTA;</t>
  </si>
  <si>
    <t>You need to create a table employees which will have the following columns.
CREATE TABLE employees
(
id INT,
name STRING,
gender STRING,
dateOfBirth DATE,
age INT ___________,
salary LONG
)
USING DELTA;
Here, age is a calculated column which is getting inferred from dateOfBirth column. Choose the correct statement from below and fill in the blank for this SQL code block to execute.</t>
  </si>
  <si>
    <t>GENERATED DEFAULT AS (CAST(DATEDIFF(CURRENT_DATE, dateOfBirth) / 365) AS INT)</t>
  </si>
  <si>
    <t>GENERATED DEFAULT AS (CAST(DATEDIFF(CURRENT_DATE, dateOfBirth) / 365) AS FLOAT)</t>
  </si>
  <si>
    <t>GENERATED ALWAYS AS (CAST(DATEDIFF(CURRENT_DATE, dateOfBirth) / 365) AS INT)</t>
  </si>
  <si>
    <t>GENERATED AS (CAST(DATEDIFF(CURRENT_DATE, dateOfBirth) / 365) AS FLOAT)</t>
  </si>
  <si>
    <t>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
So, the correct answer of this question is:
GENERATED ALWAYS AS (CAST(DATEDIFF(CURRENT_DATE, dateOfBirth) / 365) AS INT)</t>
  </si>
  <si>
    <t>A team of data analysts is testing data in a table called sales using SQL. They want some help from the data engineering team on this table but the data engineers use Python in their Databricks notebooks. How can the data engineers query this table using PySpark?</t>
  </si>
  <si>
    <t>spark.table(“select * from sales“)</t>
  </si>
  <si>
    <t>“select * from sales“</t>
  </si>
  <si>
    <t>spark.sql(“select * from sales“)</t>
  </si>
  <si>
    <t>park.sql(“sales“)</t>
  </si>
  <si>
    <t>There is no way to access sales table in Python notebook</t>
  </si>
  <si>
    <t>We can access any table in PySpark using spark.sql(“select * from table_name“) method. It will return us a DataFrame.
So, the correct answer is spark.sql(“select * from sales“)</t>
  </si>
  <si>
    <t>Which of the below SQL DDL can be used to create a UDF to convert distance value from Miles to KM and vice-versa?
Note: If any other distance measure is provided then function should return the same value.</t>
  </si>
  <si>
    <t>CREATE UDF convert_distance(distance DOUBLE, measure STRING)
RETURN
CASE
WHEN measure = “Miles“ THEN (distance * 1.60934)
WHEN measure = “KM“ THEN (distance * 0.621371)
ELSE distance
END;</t>
  </si>
  <si>
    <t>CREATE UDF FUNCTION convert_distance(distance DOUBLE, measure STRING)
RETURN
CASE
WHEN measure = “Miles“ THEN (distance * 1.60934)
WHEN measure = “KM“ THEN (distance * 0.621371)
ELSE distance
END;</t>
  </si>
  <si>
    <t>CREATE FUNCTION convert_distance(distance DOUBLE, measure STRING)
RETURN
CASE
WHEN measure = “Miles“ THEN (distance * 1.60934)
WHEN measure = “KM“ THEN (distance * 0.621371)
ELSE distance
END;</t>
  </si>
  <si>
    <t>CREATE FUNCTION convert_distance(distance DOUBLE, measure STRING)
RETURNS DOUBLE
RETURN
CASE
WHEN measure = “Miles“ THEN (distance * 1.60934)
WHEN measure = “KM“ THEN (distance * 0.621371)
ELSE distance
END;</t>
  </si>
  <si>
    <t>CREATE UDF convert_distance(distance DOUBLE, measure STRING)
RETURNS DOUBLE
RETURN
CASE
WHEN measure = “Miles“ THEN (distance * 1.60934)
WHEN measure = “KM“ THEN (distance * 0.621371)
ELSE distance
END;</t>
  </si>
  <si>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</si>
  <si>
    <t>As part of ingesting data, which of the following options will help you to overwrite the existing data and schema of a Delta table?</t>
  </si>
  <si>
    <t>INSERT OVERWRITE</t>
  </si>
  <si>
    <t>INSERT INTO</t>
  </si>
  <si>
    <t>MERGE INTO</t>
  </si>
  <si>
    <t>COPY INTO</t>
  </si>
  <si>
    <t>CREATE OR REPLACE TABLE</t>
  </si>
  <si>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</si>
  <si>
    <t>How can you inject the Python variables called table_name and database_name into a SQL query and execute it using PySpark?</t>
  </si>
  <si>
    <t>spark.sql(f“SELECT * FROM {database_name}+{table_name}“)</t>
  </si>
  <si>
    <t>spark.sql(f“SELECT * FROM [database_name].[table_name]“)</t>
  </si>
  <si>
    <t>spark.sql(f“SELECT * FROM {database_name}.{table_name}“)</t>
  </si>
  <si>
    <t>spark.sql(f“SELECT * FROM (database_name).(table_name)“)</t>
  </si>
  <si>
    <t>spark.sql(“SELECT * FROM .“)</t>
  </si>
  <si>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</si>
  <si>
    <t>Which of the following SQL commands will return the count of distinct product names from an existing Delta table called products?</t>
  </si>
  <si>
    <t>SELECT COUNT(DISTINCT product_name) FROM products</t>
  </si>
  <si>
    <t>SELECT COUNT(UNIQUE product_name) FROM products</t>
  </si>
  <si>
    <t>SELECT UNIQUE(COUNT(product_name)) FROM products</t>
  </si>
  <si>
    <t>SELECT DISTINCT(COUNT product_name) FROM products</t>
  </si>
  <si>
    <t>SELECT DISTINCT(product_name) FROM products</t>
  </si>
  <si>
    <t>The correct answer is: SELECT COUNT(DISTINCT product_name) FROM products</t>
  </si>
  <si>
    <t>Which of the following data workloads will utilize a Bronze table as its destination?</t>
  </si>
  <si>
    <t>A job that aggregates cleaned data to create standard summary statistics</t>
  </si>
  <si>
    <t>A job that queries aggregated data to publish key insights into a dashboard</t>
  </si>
  <si>
    <t>A job that develops a feature set for a machine learning application</t>
  </si>
  <si>
    <t>A job that enriches data by parsing its timestamps into a human-readable format</t>
  </si>
  <si>
    <t>A job that ingests raw data from a streaming source into the Lakehouse</t>
  </si>
  <si>
    <t>Which of the following techniques Structured Streaming uses to ensure end-to-end, exactly-once semantics under any failure condition?</t>
  </si>
  <si>
    <t>Write Ahead Logging and Water Marking</t>
  </si>
  <si>
    <t>Checkpointing, Write Ahead Logs and Idempotent Sinks</t>
  </si>
  <si>
    <t>Write Ahead Logging and Idempotent Sinks</t>
  </si>
  <si>
    <t>Checkpointing and Write Ahead Logging</t>
  </si>
  <si>
    <t xml:space="preserve"> Idempotent Sinks and Water Marking</t>
  </si>
  <si>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</si>
  <si>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</si>
  <si>
    <t>%import</t>
  </si>
  <si>
    <t>%execute</t>
  </si>
  <si>
    <t>%run</t>
  </si>
  <si>
    <t>%load</t>
  </si>
  <si>
    <t>%include</t>
  </si>
  <si>
    <t>A dataset has been defined using Delta Live Tables and includes an expectations clause:
CONSTRAINT valid_age EXPECT (age &gt; 0) ON VIOLATION FAIL UPDATE
What is the expected behavior when an incoming batch of data that violates this constraint gets processed?</t>
  </si>
  <si>
    <t>Records that violate the expectation are dropped from the target dataset and recorded as invalid in the event log.</t>
  </si>
  <si>
    <t>Records that violate the expectation are added to the target dataset and recorded as invalid in the event log.</t>
  </si>
  <si>
    <t>Records that violate the expectation are added to the target dataset and flagged as invalid in a field added to the target dataset.</t>
  </si>
  <si>
    <t>Records that violate the expectation cause the job to fail.</t>
  </si>
  <si>
    <t>Records that violate the expectation are dropped from the target dataset and loaded into a quarantine table.</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</si>
  <si>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</si>
  <si>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</si>
  <si>
    <t>urn on the Auto Stop feature for the SQL endpoint</t>
  </si>
  <si>
    <t>Turn on the Serverless feature for the SQL endpoint</t>
  </si>
  <si>
    <t>Increase the cluster size of the SQL endpoint</t>
  </si>
  <si>
    <t>Turn on the Serverless feature for the SQL endpoint and change the Spot Instance Policy to Reliability Optimized“</t>
  </si>
  <si>
    <t>How many days of historical job runs are preserved by the Databricks?</t>
  </si>
  <si>
    <t>Databricks maintains a history of your job runs for up to 60 days. If you need to preserve job runs, Databricks recommends that you export results before they expire.</t>
  </si>
  <si>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</si>
  <si>
    <t>Job A has a dependency on Job B to get completed</t>
  </si>
  <si>
    <t>Both jobs are dependent on each other to get completed</t>
  </si>
  <si>
    <t>Job B has a dependency on Job A to get completed</t>
  </si>
  <si>
    <t>Both jobs are independent of each other and can be run independently</t>
  </si>
  <si>
    <t>None of the above</t>
  </si>
  <si>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</si>
  <si>
    <t>Which of the following views cannot be referenced outside of the notebook in which they are declared?</t>
  </si>
  <si>
    <t>View and Temporary View</t>
  </si>
  <si>
    <t>Global Temporary View and Temporary View</t>
  </si>
  <si>
    <t>View</t>
  </si>
  <si>
    <t>Global Temporary View</t>
  </si>
  <si>
    <t>Temporary View</t>
  </si>
  <si>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</si>
  <si>
    <t>Questions</t>
  </si>
  <si>
    <t>Entered</t>
  </si>
  <si>
    <t>TOTAL</t>
  </si>
  <si>
    <t>Days Left</t>
  </si>
  <si>
    <t>To Go</t>
  </si>
  <si>
    <t>In which of the following scenarios, you will want to use a job cluster instead of an all-purpose cluster?</t>
  </si>
  <si>
    <t>A team of data scientists need to collaborate on testing of a machine learning model</t>
  </si>
  <si>
    <t>A data engineer needs to manually debug and fix a production error</t>
  </si>
  <si>
    <t>An ad-hoc analytics report needs to be developed using some data visualizations</t>
  </si>
  <si>
    <t>An automated workflow needs to be run every 1 hour</t>
  </si>
  <si>
    <t>A data analyst needs to schedule a Databricks SQL query for upward reporting</t>
  </si>
  <si>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</si>
  <si>
    <t>Which of the following statements correctly describe the Databricks Lakehouse Platform?</t>
  </si>
  <si>
    <t>Databricks Lakehouse Platform is the replacement of data warehouses.</t>
  </si>
  <si>
    <t>Databricks Lakehouse Platform is only suitable for streaming data workloads to process data in real time.</t>
  </si>
  <si>
    <t>Databricks Lakehouse Platform does not have the support BI use cases.</t>
  </si>
  <si>
    <t>Databricks Lakehouse Platform combines the best elements of data lakes and data warehouses to deliver reliability, strong governance and performance.</t>
  </si>
  <si>
    <t>Databricks Lakehouse Platform is designed only for batch data workloads with huge data.</t>
  </si>
  <si>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</si>
  <si>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</si>
  <si>
    <t>option(“format“, “json“)</t>
  </si>
  <si>
    <t>option(“cloudFiles.format“, “json“)</t>
  </si>
  <si>
    <t>option(“cloudFiles“, “json“)</t>
  </si>
  <si>
    <t>option(cloudFiles.format, json)</t>
  </si>
  <si>
    <t>option(“json“)</t>
  </si>
  <si>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</si>
  <si>
    <t>COPY INTO my_table
FROM ‘/path/to/files‘
FILEFORMAT = CSV
FORMAT_OPTIONS (‘overWriteSchema‘ = ‘true‘)
COPY_OPTIONS (‘overWriteSchema‘ = ‘true‘);</t>
  </si>
  <si>
    <t>COPY INTO my_table
FROM ‘/path/to/files‘
FILEFORMAT = CSV
FORMAT_OPTIONS (‘mergeSchema‘ = ‘true‘)
COPY_OPTIONS (‘mergeSchema‘ = ‘true‘);</t>
  </si>
  <si>
    <t>COPY INTO my_table
FROM ‘/path/to/files‘
FILEFORMAT = CSV
FORMAT_OPTIONS (‘mergeSchema‘ = ‘true‘)
COPY_OPTIONS (‘overWriteSchema‘ = ‘true‘);</t>
  </si>
  <si>
    <t>COPY INTO my_table
FROM ‘/path/to/files‘
FILEFORMAT = CSV
FORMAT_OPTIONS (‘overWriteSchema‘ = ‘true‘)
COPY_OPTIONS (‘mergeSchema‘ = ‘true‘);</t>
  </si>
  <si>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</si>
  <si>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</si>
  <si>
    <t>ROLLBACK TABLE products TO VERSION 20</t>
  </si>
  <si>
    <t>RESTORE products TO VERSION AS OF 19</t>
  </si>
  <si>
    <t>RESTORE products TO VERSION 19</t>
  </si>
  <si>
    <t>RESTORE TABLE products TO VERSION AS OF 20</t>
  </si>
  <si>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</si>
  <si>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</si>
  <si>
    <t>You want to execute a block of code only when the value of variable isValid is 1 and value of variable isRunnable is True
Which of the following Python control flow statements will help you to achieve this task?</t>
  </si>
  <si>
    <t>if isValid = 1 and isRunnable = True:</t>
  </si>
  <si>
    <t>if isValid == 1 and isRunnable:</t>
  </si>
  <si>
    <t>if isValid == 1 and isRunnable = “True“:</t>
  </si>
  <si>
    <t>if isValid = 1 and isRunnable:</t>
  </si>
  <si>
    <t>if isValid == 1 &amp;&amp; isRunnable = True:</t>
  </si>
  <si>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</si>
  <si>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</si>
  <si>
    <t>They can observe the task as it runs to try and determine why it is failing</t>
  </si>
  <si>
    <t>They can institute a retry policy for the task that periodically fails</t>
  </si>
  <si>
    <t>They can institute a retry policy for the entire job</t>
  </si>
  <si>
    <t>They can set up the Job to run multiple times ensuring that at least one will complete</t>
  </si>
  <si>
    <t>They can utilize a Jobs cluster for each of the tasks in the Job</t>
  </si>
  <si>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</si>
  <si>
    <t>In a Databricks notebook, all the cells contain code in Python language and you want to add another cell with a SQL statement in it. You changed the default language of the notebook to accomplish this task.
What changes (if any) can be seen in the already existing Python cells?</t>
  </si>
  <si>
    <t>Magic command %python will be added at the end of all cells that contain Python code</t>
  </si>
  <si>
    <t>Magic command %python will be added at the beginning of all cells that contain Python code</t>
  </si>
  <si>
    <t>Magic command %sql will be added at the beginning of all cells that contain Python code</t>
  </si>
  <si>
    <t>There will be no change in any cell and the notebook will remain the same</t>
  </si>
  <si>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</si>
  <si>
    <t>A data engineer wants to make a new table from different data sources and change the data a bit. They want to do this in one step without changing the original data. Which SQL command is the best for making a new table and changing the data at the same time?</t>
  </si>
  <si>
    <t>CREATE TABLE AS SELECT (CTAS)</t>
  </si>
  <si>
    <t>UPDATE</t>
  </si>
  <si>
    <t>ALTER TABLE</t>
  </si>
  <si>
    <t>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t>
  </si>
  <si>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</si>
  <si>
    <t>REDUCE</t>
  </si>
  <si>
    <t>OPTIMIZE</t>
  </si>
  <si>
    <t>REPARTITION</t>
  </si>
  <si>
    <t>COMPACTION</t>
  </si>
  <si>
    <t>VACUUM</t>
  </si>
  <si>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</si>
  <si>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</si>
  <si>
    <t>Delta Lake</t>
  </si>
  <si>
    <t>File compaction</t>
  </si>
  <si>
    <t>Spark Streaming</t>
  </si>
  <si>
    <t>Data partitioning</t>
  </si>
  <si>
    <t>Dataframe caching</t>
  </si>
  <si>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</si>
  <si>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</si>
  <si>
    <t>Manually check the job status every Monday and send emails to stakeholders.</t>
  </si>
  <si>
    <t>Schedule the job run for Monday morning and hope it completes on time.</t>
  </si>
  <si>
    <t>Disable all alerts to avoid flooding stakeholders with notifications.</t>
  </si>
  <si>
    <t>Configure the job to send completion alerts to the stakeholders‘ email addresses.</t>
  </si>
  <si>
    <t>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t>
  </si>
  <si>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</si>
  <si>
    <t>CREATE TABLE all_transactions AS
SELECT * FROM march_transactions
OUTER JOIN SELECT * FROM april_transactions;</t>
  </si>
  <si>
    <t>CREATE TABLE all_transactions AS
SELECT * FROM march_transactions
INTERSECT SELECT * from april_transactions;</t>
  </si>
  <si>
    <t>CREATE TABLE all_transactions AS
SELECT * FROM march_transactions
INNER JOIN SELECT * FROM april_transactions;</t>
  </si>
  <si>
    <t>CREATE TABLE all_transactions AS
SELECT * FROM march_transactions
MERGE SELECT * FROM april_transactions;</t>
  </si>
  <si>
    <t>CREATE TABLE all_transactions AS
SELECT * FROM march_transactions
UNION SELECT * FROM april_transactions;</t>
  </si>
  <si>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</si>
  <si>
    <t>In the context of Databricks workflows, which pattern would you use to handle data at different stages of refinement, from raw to ready-for-use?</t>
  </si>
  <si>
    <t>Fan-out</t>
  </si>
  <si>
    <t>Sequence</t>
  </si>
  <si>
    <t>Loop</t>
  </si>
  <si>
    <t>Funnel</t>
  </si>
  <si>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</si>
  <si>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</si>
  <si>
    <t>Use the repair feature to rerun only the failed transformation task after resolving the cluster issue.</t>
  </si>
  <si>
    <t>Manually restart the entire job from the beginning.</t>
  </si>
  <si>
    <t>Ignore the alert and wait for the next scheduled run.</t>
  </si>
  <si>
    <t>Permanently remove the transformation task from the pipeline to avoid future failures.</t>
  </si>
  <si>
    <t>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t>
  </si>
  <si>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</si>
  <si>
    <t xml:space="preserve">Records that violate the expectation cause the job to fail. </t>
  </si>
  <si>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</si>
  <si>
    <t>In which scenario should a predecessor task be set up?</t>
  </si>
  <si>
    <t>When all tasks need to run in parallel</t>
  </si>
  <si>
    <t xml:space="preserve"> When a task must wait for the completion of another task before it starts</t>
  </si>
  <si>
    <t>When tasks are scheduled at different times</t>
  </si>
  <si>
    <t>When tasks are completely independent of each other</t>
  </si>
  <si>
    <t>Imagine baking a cake (task 2) but needing to mix the ingredients first (task 1). You set up task 1 as a predecessor to task 2 because you can‘t bake the cake before mixing the ingredients. This ensures tasks are done in the right order for the best outcome.</t>
  </si>
  <si>
    <t>How does Databricks‘ workflow feature ‘Simple Workflow Authoring‘ cater to teams?</t>
  </si>
  <si>
    <t>It is exclusively available for users with administrative privileges.</t>
  </si>
  <si>
    <t>It requires advanced programming skills for all data team members.</t>
  </si>
  <si>
    <t>It provides a point-and-click authoring experience accessible to all team members.</t>
  </si>
  <si>
    <t>It only allows workflow editing in command-line interfaces.</t>
  </si>
  <si>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</si>
  <si>
    <t>What is a key difference between Delta Live Tables and Workflow Jobs in Databricks regarding the source of the tasks?</t>
  </si>
  <si>
    <t>Delta Live Tables can run tasks from any source, while Workflow Jobs are limited to notebooks only.</t>
  </si>
  <si>
    <t>Both Delta Live Tables and Workflow Jobs support tasks from JARs, notebooks, and DLT, without support for other programming languages.</t>
  </si>
  <si>
    <t>Delta Live Tables can only run tasks from notebooks, while Workflow Jobs can run tasks from a variety of sources including JARs, notebooks, and applications written in multiple languages.</t>
  </si>
  <si>
    <t>Both Delta Live Tables and Workflow Jobs are restricted to running tasks from JAR files only.</t>
  </si>
  <si>
    <t>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t>
  </si>
  <si>
    <t>A task in your Databricks job fails unexpectedly, and you need to find out why to fix the issue and prevent it from happening again. What is the first step you should take to debug this failed task?</t>
  </si>
  <si>
    <t xml:space="preserve"> Immediately escalate the issue to Databricks support.</t>
  </si>
  <si>
    <t>Check the task‘s logs for error messages and clues about the failure.</t>
  </si>
  <si>
    <t>Restart the job and hope it works this time.</t>
  </si>
  <si>
    <t>Increase the resources allocated to the job without further investigation.</t>
  </si>
  <si>
    <t>The logs provide detailed information about what happened during the task‘s execution, including any errors that led to the failure. This is like looking for clues at a crime scene, it‘s the most direct way to understand the problem and start working on a solution.</t>
  </si>
  <si>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</si>
  <si>
    <t xml:space="preserve">Data Explorer </t>
  </si>
  <si>
    <t xml:space="preserve">Databricks SQL </t>
  </si>
  <si>
    <t xml:space="preserve">Auto Loader </t>
  </si>
  <si>
    <t xml:space="preserve">Delta Lake </t>
  </si>
  <si>
    <t xml:space="preserve">Unity Catalog </t>
  </si>
  <si>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</si>
  <si>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</si>
  <si>
    <t>The table was cleaned using the VACUUM command.</t>
  </si>
  <si>
    <t>The HISTORY command was run on the table</t>
  </si>
  <si>
    <t>The DELETE HISTORY command was executed on the table.</t>
  </si>
  <si>
    <t>The TIME TRAVEL feature was utilized on the table.</t>
  </si>
  <si>
    <t>The OPTIMIZE command was applied to the table.</t>
  </si>
  <si>
    <t>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t>
  </si>
  <si>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</si>
  <si>
    <t>They can set up an Alert with a custom template.</t>
  </si>
  <si>
    <t>They can set up an Alert with a new webhook alert destination.</t>
  </si>
  <si>
    <t>They can set up an Alert with one-time notifications.</t>
  </si>
  <si>
    <t>They can set up an Alert with a new email alert destination.</t>
  </si>
  <si>
    <t>They can set up an Alert without notifications.</t>
  </si>
  <si>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</si>
  <si>
    <t>A data engineer needs to add a new data record to an existing Delta table named my_table. The record details are as follows:
id STRING = ‘c01‘
rank INTEGER = 9
rating FLOAT = 6.2
Which SQL command should be used to append this new record to my_table?</t>
  </si>
  <si>
    <t>my_table UNION VALUES (‘c01‘, 9, 6.2)</t>
  </si>
  <si>
    <t>INSERT VALUES (‘c01‘, 9, 6.2) INTO my_table</t>
  </si>
  <si>
    <t>INSERT INTO my_table VALUES (‘c01‘, 9, 6.2)</t>
  </si>
  <si>
    <t>UPDATE my_table VALUES (‘c01‘, 9, 6.2)</t>
  </si>
  <si>
    <t>UPDATE VALUES (‘c01‘, 9, 6.2) my_table</t>
  </si>
  <si>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</si>
  <si>
    <t>Which of the following Structured Streaming queries is performing a hop from a Silver table to a Gold table?</t>
  </si>
  <si>
    <t>(spark.table(“sales“)
.groupBy(“store“)
.agg(sum(“sales“))
.writeStream
.option(“checkpointLocation“, checkpointPath)
.outputMode(“complete“)
.table(“newSales“)
)</t>
  </si>
  <si>
    <t xml:space="preserve"> (spark.table(“sales“)
.withColumn(“avgPrice“, col(“sales“) / col(“units“))
.writeStream
.option(“checkpointLocation“, checkpointPath)
.outputMode(“append“)
.table(“newSales“)
)</t>
  </si>
  <si>
    <t>(spark.read.load(rawSalesLocation)
.writeStream
.option(“checkpointLocation“, checkpointPath)
.outputMode(“append“)
.table(“newSales“)
)</t>
  </si>
  <si>
    <t>(spark.table(“sales“)
.filter(col(“units“) &gt; 0)
.writeStream
.option(“checkpointLocation“, checkpointPath)
.outputMode(“append“)
.table(“newSales“)
)</t>
  </si>
  <si>
    <t>(spark.readStream.load(rawSalesLocation)
.writeStream
.option(“checkpointLocation“, checkpointPath)
.outputMode(“append“)
.table(“newSales“)
)</t>
  </si>
  <si>
    <t>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t>
  </si>
  <si>
    <t>Which of the following must be specified when creating a new Delta Live Tables pipeline?</t>
  </si>
  <si>
    <t>A key-value pair configuration</t>
  </si>
  <si>
    <t>The preferred DBU/hour cost</t>
  </si>
  <si>
    <t>A path to cloud storage location for the written data</t>
  </si>
  <si>
    <t>A location of a target database for the written data</t>
  </si>
  <si>
    <t>At least one notebook library to be executed</t>
  </si>
  <si>
    <t>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t>
  </si>
  <si>
    <t>In which of the following scenarios should a data engineer use the MERGE INTO command instead of the INSERT INTO command?</t>
  </si>
  <si>
    <t>When the source table can be deleted</t>
  </si>
  <si>
    <t>When the location of the data needs to be changed</t>
  </si>
  <si>
    <t>When the source is not a Delta table</t>
  </si>
  <si>
    <t>When the target table cannot contain duplicate records</t>
  </si>
  <si>
    <t>When the target table is an external table</t>
  </si>
  <si>
    <t>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</si>
  <si>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</si>
  <si>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trigger(parallelBatch=True)</t>
  </si>
  <si>
    <t>trigger(availableNow=True)</t>
  </si>
  <si>
    <t>processingTime(1)</t>
  </si>
  <si>
    <t>trigger(processingTime=“once“)</t>
  </si>
  <si>
    <t>trigger(continuous=“once“)</t>
  </si>
  <si>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</si>
  <si>
    <t>For what reason would a data engineer specify a Task in the “Depends On“ field while configuring a new Task in a Databricks Job?</t>
  </si>
  <si>
    <t>When another task has the same dependency libraries as the new task</t>
  </si>
  <si>
    <t>When another task needs to fail before the new task begins</t>
  </si>
  <si>
    <t>When another task needs to successfully complete before the new task begins</t>
  </si>
  <si>
    <t>When another task needs to be replaced by the new task</t>
  </si>
  <si>
    <t>When another task needs to use as little compute resources as possible</t>
  </si>
  <si>
    <t>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t>
  </si>
  <si>
    <t>How can a data engineer perform audit logging and examine the lineage of datasets within Delta Live Tables pipelines?</t>
  </si>
  <si>
    <t>Reviewing the Delta Lake transaction log for each table to trace back the lineage and audit changes.</t>
  </si>
  <si>
    <t>Utilizing the DLT pipeline‘s settings to automatically generate audit logs for review.</t>
  </si>
  <si>
    <t>Querying the event log for user_action events and flow_definition to audit user actions and understand dataset lineage.</t>
  </si>
  <si>
    <t>By enabling detailed logging at the cluster level and examining system logs.</t>
  </si>
  <si>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</si>
  <si>
    <t>Which command allows for data to be inserted into a Delta table while ensuring duplicates are not written?</t>
  </si>
  <si>
    <t>INSERT</t>
  </si>
  <si>
    <t>MERGE</t>
  </si>
  <si>
    <t>APPEND</t>
  </si>
  <si>
    <t>DROP</t>
  </si>
  <si>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</si>
  <si>
    <t>What tool does Auto Loader utilize to process data in increments?</t>
  </si>
  <si>
    <t>Checkpointing</t>
  </si>
  <si>
    <t>Spark Structured Streaming</t>
  </si>
  <si>
    <t>Unity Catalog</t>
  </si>
  <si>
    <t>Databricks SQL</t>
  </si>
  <si>
    <t>Data Explorer</t>
  </si>
  <si>
    <t>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t>
  </si>
  <si>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</si>
  <si>
    <t>They can navigate to the Runs tab in the Jobs UI and click on the active run to review the processing notebook.</t>
  </si>
  <si>
    <t>They can navigate to the Tasks tab in the Jobs UI to immediately review the processing notebook.</t>
  </si>
  <si>
    <t>They can navigate to the Runs tab in the Jobs UI to immediately review the processing notebook.</t>
  </si>
  <si>
    <t>They can navigate to the Tasks tab in the Jobs UI and click on the active run to review the processing notebook.</t>
  </si>
  <si>
    <t>There is no way to determine why a Job task is running slowly.</t>
  </si>
  <si>
    <t>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t>
  </si>
  <si>
    <t>A data engineer needs to apply a complex run schedule from one Job to others without manually setting each time in Databricks. Which tool allows them to define and apply this schedule through code (programmatically)?</t>
  </si>
  <si>
    <t>Cron syntax</t>
  </si>
  <si>
    <t>pyspark.sql.types.DateType</t>
  </si>
  <si>
    <t>pyspark.sql.types.TimestampType</t>
  </si>
  <si>
    <t>datetime</t>
  </si>
  <si>
    <t>There is no way to represent and submit this information programmatically</t>
  </si>
  <si>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</si>
  <si>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</si>
  <si>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</si>
  <si>
    <t>What is a critical step in orchestrating a task within a Databricks Workflow Job?</t>
  </si>
  <si>
    <t>Assigning a unique identifier to each task manually</t>
  </si>
  <si>
    <t>Choosing a color scheme for task visualization</t>
  </si>
  <si>
    <t>Configuring the maximum allowable downtime for the job</t>
  </si>
  <si>
    <t>Setting up task dependencies to control execution order</t>
  </si>
  <si>
    <t>Task dependencies are essential for task orchestration as they define the order in which tasks should be executed. This allows for tasks to be run based on the successful completion of preceding tasks, ensuring the workflow is logical and efficient.</t>
  </si>
  <si>
    <t>When querying data from a CSV file in Databricks SQL, what prefix should be included after the FROM keyword to correctly interpret the source as a CSV file?</t>
  </si>
  <si>
    <t>CSV</t>
  </si>
  <si>
    <t>csv</t>
  </si>
  <si>
    <t>TEXT</t>
  </si>
  <si>
    <t>FILE</t>
  </si>
  <si>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</si>
  <si>
    <t>What is the purpose of using schema_of_json in SQL?</t>
  </si>
  <si>
    <t>To validate the structure of a JSON string.</t>
  </si>
  <si>
    <t>To generate a schema that can be used to parse a JSON string into a struct.</t>
  </si>
  <si>
    <t>To create a new JSON string from a struct.</t>
  </si>
  <si>
    <t>To compress the JSON data for storage efficiency.</t>
  </si>
  <si>
    <t>schema_of_json is used to generate a schema based on an example JSON string, which defines the structure that FROM_JSON will use to parse JSON strings into structs with the appropriate data types.</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</si>
  <si>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</si>
  <si>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Develop a PySpark script that calculates the date for the previous month and dynamically inserts this date into the table name within the query string.</t>
  </si>
  <si>
    <t>Revise the database design to consolidate sales data into a single table with a month column, avoiding the necessity for separate monthly tables.</t>
  </si>
  <si>
    <t>Propose altering the query‘s execution frequency to quarterly, thereby reducing the need for monthly table name updates.</t>
  </si>
  <si>
    <t>Manually update the table name in the query to reflect the previous month‘s data before executing it each time.</t>
  </si>
  <si>
    <t>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t>
  </si>
  <si>
    <t>Which statement correctly describes the difference between a Temporary View and a Global Temporary View?</t>
  </si>
  <si>
    <t>There is no difference; both Temporary and Global Temporary Views have the same scope and visibility across Spark sessions.</t>
  </si>
  <si>
    <t>Temporary Views can be created on disk, making them persistent across Spark sessions, whereas Global Temporary Views are in-memory only and lost after the session ends.</t>
  </si>
  <si>
    <t>Temporary Views are stored in the Hive metastore and are accessible across all sessions, whereas Global Temporary Views are session-scoped and not stored in the Hive metastore.</t>
  </si>
  <si>
    <t>Temporary Views are session-scoped and cannot be accessed by other Spark sessions, whereas Global Temporary Views are accessible across multiple Spark sessions within the same Spark application.</t>
  </si>
  <si>
    <t>Temporary Views are tied to a single Spark session and are not visible to other sessions, while Global Temporary Views are visible across all sessions of a Spark application but are not stored in the Hive metastore.</t>
  </si>
  <si>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</si>
  <si>
    <t>The table‘s data exceeded 10 GB</t>
  </si>
  <si>
    <t>The table was specified without a location.</t>
  </si>
  <si>
    <t>The table‘s data was under 10 GB.</t>
  </si>
  <si>
    <t>The table was a managed table.</t>
  </si>
  <si>
    <t>The table was set up as an external table.</t>
  </si>
  <si>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</si>
  <si>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</si>
  <si>
    <t>Export the dataset to a CSV file, convert the temperatures using an external tool, and then re-import the dataset into Databricks.</t>
  </si>
  <si>
    <t>Create a UDF in Databricks that applies the conversion formula and use it in a Spark SQL query to transform the temperature column.</t>
  </si>
  <si>
    <t>Use a built-in Spark SQL function that automatically converts temperatures from Celsius to Fahrenheit.</t>
  </si>
  <si>
    <t>Directly modify the dataset in the data lake to convert all temperatures to Fahrenheit before importing it into Databricks.</t>
  </si>
  <si>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</si>
  <si>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</si>
  <si>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</si>
  <si>
    <t>autoloader</t>
  </si>
  <si>
    <t>DELTA</t>
  </si>
  <si>
    <t>org.apache.spark.sql.jdbc</t>
  </si>
  <si>
    <t>org.apache.spark.sql.sqlite</t>
  </si>
  <si>
    <t>sqlite</t>
  </si>
  <si>
    <t>Which benefit is offered by utilizing array functions in Spark SQL?</t>
  </si>
  <si>
    <t>The capability to process complex, hierarchical data structures sourced from JSON documents.</t>
  </si>
  <si>
    <t>The capability to manipulate data across specific partitions and window frames.</t>
  </si>
  <si>
    <t>The capability to interact with a collection of tables for streamlined automation.</t>
  </si>
  <si>
    <t>The capability to manage time-based data over defined periods.</t>
  </si>
  <si>
    <t>The capability to handle multiple data types simultaneously.</t>
  </si>
  <si>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</si>
  <si>
    <t>What distinguishes a materialized view from a standard database view?</t>
  </si>
  <si>
    <t>There is no difference; both are terms used interchangeably in the context of database management.</t>
  </si>
  <si>
    <t>A materialized view automatically updates in real-time as the underlying data changes, whereas a standard view requires manual refresh.</t>
  </si>
  <si>
    <t>A materialized view stores the output of a query physically on disk, whereas a standard view does not store any data but provides a virtual view based on a query.</t>
  </si>
  <si>
    <t>A materialized view can only be used in relational databases, while a standard view is specific to NoSQL databases.</t>
  </si>
  <si>
    <t>The key difference lies in the physical storage of query results for materialized views, which enhances performance for read-heavy operations, unlike standard views that dynamically execute the underlying query each time they are accessed.</t>
  </si>
  <si>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</si>
  <si>
    <t>CREATE FUNCTION combine_california (city STRING)
RETURNS STRING
RETURN CASE
WHEN city = “San Francisco“ THEN “California“
ELSE city
END;</t>
  </si>
  <si>
    <t>CREATE UDF combine_california (city STRING)
RETURN CASE
WHEN city = “San Francisco“ THEN “California“
ELSE city
END;</t>
  </si>
  <si>
    <t>CREATE FUNCTION combine_california (city STRING)
RETURN CASE
WHEN city = “San Francisco“ THEN “California“
ELSE city
END;</t>
  </si>
  <si>
    <t>CREATE FUNCTION combine_california (city STRING)
RETURNS STRING
CASE
WHEN city = “San Francisco“ THEN “California“
ELSE city
END;</t>
  </si>
  <si>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</si>
  <si>
    <t>Which data type is typically involved when using the explode function?</t>
  </si>
  <si>
    <t>BOOLEAN</t>
  </si>
  <si>
    <t>STRING</t>
  </si>
  <si>
    <t>ARRAY</t>
  </si>
  <si>
    <t>INTEGER</t>
  </si>
  <si>
    <t>he explode function operates on ARRAY data types since it is designed to take each element within an array and create a new row for it in the result set.</t>
  </si>
  <si>
    <t>Which function is typically used to convert a JSON string into a struct in SQL?</t>
  </si>
  <si>
    <t>JSON_TO_STRUCT</t>
  </si>
  <si>
    <t>CAST_AS_STRUCT</t>
  </si>
  <si>
    <t>FROM_JSON</t>
  </si>
  <si>
    <t>TO_STRUCT</t>
  </si>
  <si>
    <t>The FROM_JSON function is commonly used in SQL to parse a JSON string and convert it into a struct data type, allowing for access to the data as if it were a regular row in a table.</t>
  </si>
  <si>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</si>
  <si>
    <t>Create a new Delta Lake table that pre-aggregates the sales data on a daily basis and query this table for the weekly report.</t>
  </si>
  <si>
    <t>Directly query the transactional data each time the report is needed, ensuring the most up-to-date information is used.</t>
  </si>
  <si>
    <t>Increase the compute resources of the Databricks cluster before running the weekly report to reduce execution time.</t>
  </si>
  <si>
    <t>Store the query results in a blob storage and update it manually every month to ensure data freshness.</t>
  </si>
  <si>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</si>
  <si>
    <t>Given a table named ‘events‘ with a column ‘items‘ that contains an array of values, which SQL query would transform each item of the array into a separate row?</t>
  </si>
  <si>
    <t>SELECT user_id, event_timestamp, event_name, ARRAY(items) AS item
FROM events;</t>
  </si>
  <si>
    <t>SELECT user_id, event_timestamp, event_name, items
FROM events;</t>
  </si>
  <si>
    <t>SELECT user_id, event_timestamp, event_name, explode(items) AS item
FROM events;</t>
  </si>
  <si>
    <t>SELECT user_id, event_timestamp, event_name, UNNEST(items) AS item
FROM events;</t>
  </si>
  <si>
    <t>SELECT user_id, event_timestamp, event_name, explode(items) AS item FROM events;</t>
  </si>
  <si>
    <t>What SQL data type should be used to store an ordered collection of multiple names in a table?</t>
  </si>
  <si>
    <t>MAP</t>
  </si>
  <si>
    <t>STRUCT</t>
  </si>
  <si>
    <t>VARCHAR</t>
  </si>
  <si>
    <t>An ARRAY data type is suitable for storing an arbitrary number of elements of the same data type, which in this case could be a collection of names as strings.</t>
  </si>
  <si>
    <t>What is the primary use of the PIVOT clause in Spark SQL?</t>
  </si>
  <si>
    <t>To split a single column into multiple columns based on column values</t>
  </si>
  <si>
    <t>To perform aggregation and convert rows into columns, transforming data from a long format to a wide format</t>
  </si>
  <si>
    <t>To filter rows based on a specified condition</t>
  </si>
  <si>
    <t>To merge multiple rows into a single row by creating a wider table with more columns</t>
  </si>
  <si>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</si>
  <si>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</si>
  <si>
    <t>Delta Table</t>
  </si>
  <si>
    <t>Database</t>
  </si>
  <si>
    <t>Spark SQL Table</t>
  </si>
  <si>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</si>
  <si>
    <t>Which of the following SQL keywords can be used to convert a table from a long format to a wide format?</t>
  </si>
  <si>
    <t>TRANSFORM</t>
  </si>
  <si>
    <t>PIVOT</t>
  </si>
  <si>
    <t>CONVERT</t>
  </si>
  <si>
    <t>SUM</t>
  </si>
  <si>
    <t>WHERE</t>
  </si>
  <si>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</si>
  <si>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</si>
  <si>
    <t>Which of the following can be used to simplify and unify siloed data architectures that are specialized for specific use cases?</t>
  </si>
  <si>
    <t>All of these</t>
  </si>
  <si>
    <t xml:space="preserve">Data lake </t>
  </si>
  <si>
    <t xml:space="preserve">Data warehouse </t>
  </si>
  <si>
    <t>None of these</t>
  </si>
  <si>
    <t>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t>
  </si>
  <si>
    <t>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t>
  </si>
  <si>
    <t>MERGE INTO customer_purchases AS target
USING customer_purchases AS source
ON target.customer_id = source.customer_id
WHEN MATCHED AND target.purchase_date &lt; source.purchase_date THEN DELETE;</t>
  </si>
  <si>
    <t>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t>
  </si>
  <si>
    <t>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t>
  </si>
  <si>
    <t>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t>
  </si>
  <si>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</si>
  <si>
    <t>The network connection between the two Spark sessions was lost, preventing access to the temporary view.</t>
  </si>
  <si>
    <t>Temporary views are automatically deleted after a certain period, and the time limit was exceeded.</t>
  </si>
  <si>
    <t>The data engineer did not correctly create the temporary view, resulting in an error when trying to access it from another session.</t>
  </si>
  <si>
    <t>Temporary views require special permissions to be accessed from different sessions.</t>
  </si>
  <si>
    <t>Temporary views in Spark SQL are session-scoped and cannot be accessed from different sessions.</t>
  </si>
  <si>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</si>
  <si>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</si>
  <si>
    <t>Creates a Temporary View daily_sales and a Global Temporary View global_daily_sales with the same data, but global_daily_sales can be accessed in any session within the application.</t>
  </si>
  <si>
    <t>Creates a Materialized View daily_sales that is stored on disk and a Global Temporary View global_daily_sales that is stored in memory.</t>
  </si>
  <si>
    <t>Throws an error because a Global Temporary View cannot be created from a Temporary View.</t>
  </si>
  <si>
    <t>Creates two identical views, daily_sales and global_daily_sales, both of which are accessible across multiple Spark sessions and applications.</t>
  </si>
  <si>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</si>
  <si>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</si>
  <si>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COMMENT “Contains PII“</t>
  </si>
  <si>
    <t>PII</t>
  </si>
  <si>
    <t>TBLPROPERTIES (‘PII‘=‘true‘)</t>
  </si>
  <si>
    <t>Marking a table as containing PII is not supported.</t>
  </si>
  <si>
    <t>“COMMENT ‘PII‘“</t>
  </si>
  <si>
    <t>Correct:
Option A. COMMENT “Contains PII”
Databricks SQL supports adding a COMMENT clause directly in the CREATE TABLE ... AS SELECT statement. Using a clear comment such as "Contains PII" satisfies the company guideline by explicitly marking the table as containing personally identifiable information. This is a common and supported way to document metadata for tables.
Incorrect:
Option B. PII
Using just PII is not valid SQL syntax and does not define any table metadata or property. It cannot be inserted into a CREATE TABLE statement on its own.
Option C. TBLPROPERTIES (‘PII’=’true’)
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
Option D. Marking a table as containing PII is not supported.
This statement is incorrect. Databricks allows tables to be annotated with metadata such as comments, which are commonly used to flag sensitive data like PII.
Option E. “COMMENT ‘PII'”
This option is syntactically incorrect due to improper quoting and placement. The COMMENT clause must follow valid SQL syntax, and this snippet would not correctly complete the command.</t>
  </si>
  <si>
    <t>What limitation does Databricks Notebooks have regarding version control integration compared to Databricks Repos?</t>
  </si>
  <si>
    <t>Notebooks have built-in conflict resolution tools that Repos lack.</t>
  </si>
  <si>
    <t>Notebooks support direct integration with all major version control systems, while Repos do not.</t>
  </si>
  <si>
    <t>Repos allow for full Git integration, including branching and merging, which is not directly supported within Notebooks.</t>
  </si>
  <si>
    <t>Notebooks can only be linked to a single branch in a Git repository, whereas Repos can be linked to multiple branches simultaneously.</t>
  </si>
  <si>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</si>
  <si>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</si>
  <si>
    <t>Writing as a Parquet file</t>
  </si>
  <si>
    <t>Bin-packing</t>
  </si>
  <si>
    <t>Data skipping</t>
  </si>
  <si>
    <t>Z-Ordering</t>
  </si>
  <si>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</si>
  <si>
    <t>When querying data from a JSON file in Databricks SQL, what prefix should be included after the FROM keyword?</t>
  </si>
  <si>
    <t>json</t>
  </si>
  <si>
    <t>JSON</t>
  </si>
  <si>
    <t>Correct
Option A. json
Correct because in Databricks SQL, when querying directly from a JSON file, you must use the json. prefix after the FROM keyword.
Example:
sql
SELECT * 
FROM json.`/mnt/data/sample.json`;
This tells Databricks SQL to interpret the file as JSON format and query it accordingly.
Incorrect
Option B. JSON
Incorrect because Databricks SQL requires the lowercase json prefix. SQL syntax in Databricks is case-sensitive for file format prefixes.
Option C. FILE
Incorrect because there is no FILE prefix in Databricks SQL. File formats must be explicitly specified (e.g., json, csv, parquet).
Option D. TEXT
Incorrect because TEXT is not a valid prefix for querying JSON files. Databricks SQL does not support TEXT as a file format identifier.</t>
  </si>
  <si>
    <t>What syntax does Spark SQL use to query subfields within STRUCT data types?</t>
  </si>
  <si>
    <t xml:space="preserve"> Dot (.)</t>
  </si>
  <si>
    <t>Semicolon (;)</t>
  </si>
  <si>
    <t>Comma (,)</t>
  </si>
  <si>
    <t>Colon (:)</t>
  </si>
  <si>
    <t>Correct
Option A. Dot (.)
Spark SQL uses dot notation to access subfields inside a STRUCT.
Example:
sql
SELECT person.name, person.address.city 
FROM people;
Here, person is a STRUCT column, and the dot (.) operator is used to query its subfields.
This is the standard and correct syntax supported by Spark SQL.
Option B. Semicolon (;)
Semicolons are used to terminate SQL statements, not to access subfields.
Using person;name would result in a syntax error.
Option C. Comma (,)
Commas are used to separate columns in a SELECT clause, not to query subfields.
Example: SELECT person,name would be invalid for accessing STRUCT fields.
Option D. Colon (:)
Colons are not valid syntax in Spark SQL for accessing STRUCT fields.
They are sometimes used in other contexts (like JSONPath or certain programming languages), but not in Spark SQL.</t>
  </si>
  <si>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</si>
  <si>
    <t>SELECT * FROM sales</t>
  </si>
  <si>
    <t>spark.delta.table(“sales“)</t>
  </si>
  <si>
    <t>spark.sql(“SELECT * FROM sales“)</t>
  </si>
  <si>
    <t>Data sharing between PySpark and SQL is not possible.</t>
  </si>
  <si>
    <t>spark.table(“sales“)</t>
  </si>
  <si>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</si>
  <si>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</si>
  <si>
    <t>There is no way to share data between PySpark and SQL.</t>
  </si>
  <si>
    <t>spark.sql</t>
  </si>
  <si>
    <t>spark.delta.table</t>
  </si>
  <si>
    <t>spark.table</t>
  </si>
  <si>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</si>
  <si>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</si>
  <si>
    <t xml:space="preserve"> Implement a materialized view-like strategy for both the dashboard and historical data analysis to reduce the computational load on the Databricks cluster.</t>
  </si>
  <si>
    <t>Implement a materialized view-like strategy for the dashboard to ensure quick access to pre-aggregated data, and use a temporary view for ad-hoc, real-time analysis tasks that do not require data persistence.</t>
  </si>
  <si>
    <t>Use a temporary view for both the dashboard and historical data analysis to maximize data freshness and minimize storage costs.</t>
  </si>
  <si>
    <t>Use a temporary view for the dashboard to ensure data is always up-to-date with real-time transformations, and implement a materialized view-like strategy for historical data analysis where data latency is acceptable.</t>
  </si>
  <si>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</si>
  <si>
    <t>Which of the following is stored in the Databricks customer‘s cloud account?</t>
  </si>
  <si>
    <t>Repos</t>
  </si>
  <si>
    <t>Cluster management metadata</t>
  </si>
  <si>
    <t xml:space="preserve">Data </t>
  </si>
  <si>
    <t>Databricks web application</t>
  </si>
  <si>
    <t xml:space="preserve">Notebooks </t>
  </si>
  <si>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</si>
  <si>
    <t>Row Labels</t>
  </si>
  <si>
    <t>Grand Total</t>
  </si>
  <si>
    <t>Count of Question</t>
  </si>
  <si>
    <t>What is a key difference between all-purpose clusters and job clusters in Databricks?</t>
  </si>
  <si>
    <t>All-purpose clusters can only run SQL commands, while job clusters can run commands in multiple languages.</t>
  </si>
  <si>
    <t>All-purpose clusters do not support autoscaling, whereas job clusters do.</t>
  </si>
  <si>
    <t>All-purpose clusters are designed for interactive analysis by multiple users, whereas job clusters are optimized for running specific jobs and are terminated after the job is complete.</t>
  </si>
  <si>
    <t>Job clusters are permanent and cannot be terminated, unlike all-purpose clusters.</t>
  </si>
  <si>
    <t>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t>
  </si>
  <si>
    <t>How do Databricks Notebooks and Repos differ in terms of file size limitations for version control?</t>
  </si>
  <si>
    <t>Notebooks allow for larger file sizes in version control than Repos.</t>
  </si>
  <si>
    <t>Both Notebooks and Repos have the same file size limitations for version control.</t>
  </si>
  <si>
    <t>Notebooks have no file size limitations, while Repos have a strict limit.</t>
  </si>
  <si>
    <t>Repos support larger file sizes for version control compared to Notebooks.</t>
  </si>
  <si>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</si>
  <si>
    <t>If you are analyzing data in a Databricks notebook using Python, how can you switch to SQL for a specific visualization task?</t>
  </si>
  <si>
    <t>Use the %sql magic command in a new cell where you want to start using SQL.</t>
  </si>
  <si>
    <t>Export the data to a SQL database and create a new SQL notebook.</t>
  </si>
  <si>
    <t>Rewrite the Python code in SQL and run it in a new Python cell.</t>
  </si>
  <si>
    <t>Convert the entire notebook to SQL mode from the notebook settings.</t>
  </si>
  <si>
    <t>The %sql magic command allows users to switch the execution context to SQL for specific cells within a notebook. This feature enables data scientists and engineers to leverage the strengths of SQL for data querying and visualization directly within a multi-language notebook.</t>
  </si>
  <si>
    <t>What is the role of a storage credential in Databricks‘ Unity Catalog?</t>
  </si>
  <si>
    <t>To restrict access to data based on user roles.</t>
  </si>
  <si>
    <t>To provide encryption for data at rest.</t>
  </si>
  <si>
    <t>To ensure data is backed up across multiple regions.</t>
  </si>
  <si>
    <t>To enable Unity Catalog to connect to an external cloud storage.</t>
  </si>
  <si>
    <t>A storage credential is used to authenticate and authorize Unity Catalog to access external cloud storage services such as AWS S3 or Azure Storage. This allows Unity Catalog to manage and interact with data stored on these services.</t>
  </si>
  <si>
    <t>A data team is evaluating their infrastructure needs to enhance their reporting workflows. They are considering the adoption of cluster pools within their Databricks environment. In which scenario would a data team most benefit from implementing cluster pools?</t>
  </si>
  <si>
    <t>To guarantee the reproducibility of an automated report.</t>
  </si>
  <si>
    <t>To conduct error detection tests on an automated report.</t>
  </si>
  <si>
    <t>An automated report needs to be refreshed as quickly as possible.</t>
  </si>
  <si>
    <t>To manage version control for an automated report with multiple contributors.</t>
  </si>
  <si>
    <t>To enable all stakeholders to execute an automated report.</t>
  </si>
  <si>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</si>
  <si>
    <t>When integrating the Unity Catalog with existing systems, what is a key advantage?</t>
  </si>
  <si>
    <t>It requires a complete overhaul of existing data catalogs.</t>
  </si>
  <si>
    <t>It operates solely on non-standard SQL variants for legacy systems.</t>
  </si>
  <si>
    <t>It necessitates the use of Databricks-exclusive storage systems.</t>
  </si>
  <si>
    <t>It works in concert with existing data, storage, and catalogs, without the need for hard migration.</t>
  </si>
  <si>
    <t>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t>
  </si>
  <si>
    <t>What is the purpose of Data Access Control within Data Governance?</t>
  </si>
  <si>
    <t>To automate the data ingestion process.</t>
  </si>
  <si>
    <t>To monitor the performance of data processing jobs.</t>
  </si>
  <si>
    <t>To ensure that data processing is as fast as possible.</t>
  </si>
  <si>
    <t>To control who has access to which data within the Databricks environment.</t>
  </si>
  <si>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</si>
  <si>
    <t>What is the purpose of an ‘External Location‘ in Databricks?</t>
  </si>
  <si>
    <t>t is used to log the performance metrics of the Databricks runtime environment.</t>
  </si>
  <si>
    <t xml:space="preserve"> It refers to a cloud storage path combined with storage credentials to access specific data.</t>
  </si>
  <si>
    <t>It is a dedicated space for Delta Live Tables.</t>
  </si>
  <si>
    <t>It is a location where Databricks stores its internal metadata.</t>
  </si>
  <si>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</si>
  <si>
    <t>To capture upstream sources and downstream consumers of data.</t>
  </si>
  <si>
    <t>To replicate data across multiple cloud providers.</t>
  </si>
  <si>
    <t>To compress data for efficient storage.</t>
  </si>
  <si>
    <t>To convert data into different formats automatically.</t>
  </si>
  <si>
    <t>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t>
  </si>
  <si>
    <t>How can users filter clusters in Databricks to view only those that are accessible to them?</t>
  </si>
  <si>
    <t>By contacting the Databricks administrator to receive a custom list of clusters that the user has access to.</t>
  </si>
  <si>
    <t>By using the Databricks CLI to manually list all clusters and applying filters based on user permissions.</t>
  </si>
  <si>
    <t>By navigating to the Clusters UI in Databricks and using the built-in filtering options to display only the clusters they have permissions to access.</t>
  </si>
  <si>
    <t>By executing a specific SQL query in Databricks SQL Analytics to retrieve a list of accessible clusters based on the user‘s role.</t>
  </si>
  <si>
    <t>How can you enable collaborative editing of a Databricks notebook by multiple team members within your organization?</t>
  </si>
  <si>
    <t>Assign the notebook to a shared folder and grant edit permissions to the team.</t>
  </si>
  <si>
    <t>Set the notebook to “Public“ mode, allowing anyone to edit.</t>
  </si>
  <si>
    <t>Email the notebook as an attachment to team members for sequential editing.</t>
  </si>
  <si>
    <t>Use an external version control system to manage changes and synchronize with the Databricks notebook.</t>
  </si>
  <si>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</si>
  <si>
    <t>Which benefit is offered by Delta Lake within the Databricks Lakehouse Platform?</t>
  </si>
  <si>
    <t>The capability to execute complex data operations at scale</t>
  </si>
  <si>
    <t>The capability to handle both batch and streaming data processing tasks</t>
  </si>
  <si>
    <t>The capability to configure notifications for when queries do not execute successfully</t>
  </si>
  <si>
    <t>The capability for simultaneous collaboration within a single notebook</t>
  </si>
  <si>
    <t>The capability to work with the same dataset across multiple programming languages</t>
  </si>
  <si>
    <t>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t>
  </si>
  <si>
    <t>What is the primary role of a ‘Driver‘ in a cluster environment?</t>
  </si>
  <si>
    <t>To control access to the data storage.</t>
  </si>
  <si>
    <t>To manage cloud storage.</t>
  </si>
  <si>
    <t>To distribute workloads across workers.</t>
  </si>
  <si>
    <t>To serve as the primary compute instance for executing code.</t>
  </si>
  <si>
    <t>In cluster computing, the ‘Driver‘ is responsible for distributing the tasks among the ‘Worker‘ nodes or instances and is essential for managing the workload efficiently across the cluster.</t>
  </si>
  <si>
    <t>Why would you consider restarting a Databricks cluster?</t>
  </si>
  <si>
    <t>To apply updates or changes to Spark configurations or cluster-level libraries.</t>
  </si>
  <si>
    <t>When the cluster‘s Spark version needs to be downgraded for compatibility reasons.</t>
  </si>
  <si>
    <t>To increase the storage capacity of the cluster‘s attached storage.</t>
  </si>
  <si>
    <t>Restarting is required to apply software updates or patches to the cluster.</t>
  </si>
  <si>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</si>
  <si>
    <t>Which component in the Databricks Control Plane is responsible for user and data access management?</t>
  </si>
  <si>
    <t>Web Application</t>
  </si>
  <si>
    <t>Cloud Storage</t>
  </si>
  <si>
    <t>Workflow Manager</t>
  </si>
  <si>
    <t>The Unity Catalog is responsible for user and data access management. The Control Plane components are – Unity Catelog, Web App, Cluster Maanger, Workflow Manager, Jobs, Notebooks Repos ETC. Unity Catelog handles – Metastore, Access Control and Data Lineage / Explorer.</t>
  </si>
  <si>
    <t>What is the impact of terminating a cluster in Databricks?</t>
  </si>
  <si>
    <t>Terminating a cluster automatically archives all its notebooks and configurations for future restoration.</t>
  </si>
  <si>
    <t>Terminating a cluster removes all user access permissions and configurations permanently.</t>
  </si>
  <si>
    <t>Terminating a cluster permanently deletes all data stored in the cluster‘s associated storage.</t>
  </si>
  <si>
    <t>Terminating a cluster releases the compute resources but retains the data in attached storage, allowing for data persistence.</t>
  </si>
  <si>
    <t>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t>
  </si>
  <si>
    <t>What are the two main components of the Data Plane in Databricks Workspace and Services?</t>
  </si>
  <si>
    <t>Notebooks, Repos, DBSQL</t>
  </si>
  <si>
    <t>Workflow Manager and Jobs</t>
  </si>
  <si>
    <t>Workspace clusters and SQL Warehouses</t>
  </si>
  <si>
    <t>Metastore and Access Control</t>
  </si>
  <si>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</si>
  <si>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</si>
  <si>
    <t>By enabling projects to share a common pool of instances, improving overall resource utilization.</t>
  </si>
  <si>
    <t>By allowing each project to have its dedicated pool, preventing resource sharing.</t>
  </si>
  <si>
    <t>By providing a fixed number of instances that can only be used by the highest priority project.</t>
  </si>
  <si>
    <t>By locking specific instances to specific projects, based on the project‘s budget.</t>
  </si>
  <si>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</si>
  <si>
    <t>Which of the following best describes the difference between Gold tables and Silver tables?</t>
  </si>
  <si>
    <t>Gold tables are more likely to contain a less refined view of data than Silver tables.</t>
  </si>
  <si>
    <t>Gold tables are more likely to contain aggregations than Silver tables.</t>
  </si>
  <si>
    <t>Gold tables are more likely to contain more data than Silver tables.</t>
  </si>
  <si>
    <t>Gold tables are more likely to contain valuable data than Silver tables.</t>
  </si>
  <si>
    <t>Gold tables are more likely to contain truthful data than Silver tables.</t>
  </si>
  <si>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</si>
  <si>
    <t>Which job uses a Gold table as its source?</t>
  </si>
  <si>
    <t>A job that cleans data by removing malformatted records</t>
  </si>
  <si>
    <t>A job that queries aggregated data designed to feed into a dashboard</t>
  </si>
  <si>
    <t>A job that aggregates uncleaned data to create standard summary statistics</t>
  </si>
  <si>
    <t>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t>
  </si>
  <si>
    <t>In which of the following file formats is data from Delta Lake tables primarily stored?</t>
  </si>
  <si>
    <t>Delta</t>
  </si>
  <si>
    <t>A proprietary, optimized format specific to Databricks</t>
  </si>
  <si>
    <t xml:space="preserve"> Parquet</t>
  </si>
  <si>
    <t>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t>
  </si>
  <si>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</si>
  <si>
    <t>They can reduce the cluster size of the SQL endpoint.</t>
  </si>
  <si>
    <t>They can turn on the Auto Stop feature for the SQL endpoint.</t>
  </si>
  <si>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</si>
  <si>
    <t>What level of access does a Metastore Admin have in the Databricks Unity Catalog?</t>
  </si>
  <si>
    <t>They can manage users and groups as well as integrate with IdP.</t>
  </si>
  <si>
    <t>They can create or drop, grant privileges on, and change the ownership of catalogs and other data objects.</t>
  </si>
  <si>
    <t>They can only view metadata and user management settings.</t>
  </si>
  <si>
    <t>They have full access to all data objects.</t>
  </si>
  <si>
    <t>The Metastore Admin role is designed to handle specific data catalog management tasks, including the creation, modification, and assignment of privileges on data objects within the metastore, reflecting a focused scope of responsibilities related to data governance and organization.</t>
  </si>
  <si>
    <t>How can you execute Python and SQL code within the same Databricks notebook?</t>
  </si>
  <si>
    <t>By installing a special library that allows cross-language execution.</t>
  </si>
  <si>
    <t>By configuring the notebook settings to enable multi-language support before execution.</t>
  </si>
  <si>
    <t>By writing all code in Python and using API calls to execute SQL queries.</t>
  </si>
  <si>
    <t>By using the %python and %sql magic commands at the beginning of each cell to specify the language.</t>
  </si>
  <si>
    <t>Databricks notebooks support multiple languages within the same notebook by using magic commands (e.g., %python, %sql) to specify the language for each cell. This allows seamless integration of different languages without needing additional configurations or libraries.</t>
  </si>
  <si>
    <t>A data engineer is evaluating whether to utilize the native versioning feature of Databricks Notebooks or to manage their project with Databricks Repos. What is a benefit of opting for Databricks Repos instead of the built-in versioning of Databricks Notebooks?</t>
  </si>
  <si>
    <t>Databricks Repos allows for commenting on specific alterations.</t>
  </si>
  <si>
    <t>Databricks Repos ensures continuous saving of work in progress.</t>
  </si>
  <si>
    <t>Databricks Repos offers the option to go back to earlier versions of a notebook.</t>
  </si>
  <si>
    <t>Databricks Repos enables working with multiple branches.</t>
  </si>
  <si>
    <t>Databricks Repos operates entirely within the Databricks Lakehouse ecosystem.</t>
  </si>
  <si>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</si>
  <si>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</si>
  <si>
    <t>spark.delta.sql</t>
  </si>
  <si>
    <t>dbutils.sql</t>
  </si>
  <si>
    <t>Using spark.sql within Python code offers a flexible and powerful way to leverage SQL capabilities while working within a Python-centric data processing workflow.</t>
  </si>
  <si>
    <t>What is the purpose of the explode function in SQL?</t>
  </si>
  <si>
    <t>To create a backup of the database.</t>
  </si>
  <si>
    <t>To expand the elements of an array field into separate rows.</t>
  </si>
  <si>
    <t>To delete elements from an array field.</t>
  </si>
  <si>
    <t>To combine multiple rows into a single array field.</t>
  </si>
  <si>
    <t>The explode function is used in SQL to take an array (or a map) and create a new row for each element within that array. This is commonly used in data transformation processes where nested data structures are flattened for analysis.</t>
  </si>
  <si>
    <t>Duplicate</t>
  </si>
  <si>
    <t>Which of the following statements is true about the Workspace Admin role in the Databricks Unity Catalog?</t>
  </si>
  <si>
    <t>Workspace Admins cannot manage user permissions or roles.</t>
  </si>
  <si>
    <t>Workspace Admins are responsible for creating and deleting metastores only.</t>
  </si>
  <si>
    <t>Workspace Admins have the ability to manage permissions on workspace assets and change job ownership.</t>
  </si>
  <si>
    <t>Workspace Admins are limited to data discovery and cannot alter permissions.</t>
  </si>
  <si>
    <t>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t>
  </si>
  <si>
    <t>Which statement accurately describes the relationship between Bronze tables and raw data?</t>
  </si>
  <si>
    <t>Bronze tables contain a less refined view of data than raw data.</t>
  </si>
  <si>
    <t>Bronze tables contain less data than raw data files.</t>
  </si>
  <si>
    <t>Bronze tables contain raw data with a schema applied.</t>
  </si>
  <si>
    <t>Bronze tables contain more accurate data than raw data.</t>
  </si>
  <si>
    <t>Bronze tables contain aggregates while raw data is unaggregated.</t>
  </si>
  <si>
    <t>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t>
  </si>
  <si>
    <t>Your team is working on a project with a high volume of data transformations and model training tasks. To optimize resource allocation and improve efficiency, which Databricks feature should you use to isolate these tasks in separate environments?</t>
  </si>
  <si>
    <t>Implement isolated clusters with different configurations for each task.</t>
  </si>
  <si>
    <t>Create separate notebooks for data transformations and model training.</t>
  </si>
  <si>
    <t>Use Databricks Repos to version control the entire project.</t>
  </si>
  <si>
    <t>Utilize Databricks Workspace to organize tasks by project folders.</t>
  </si>
  <si>
    <t>Implementing isolated clusters with different configurations for data transformations and model training tasks allows efficient resource allocation and optimization for each task.</t>
  </si>
  <si>
    <t>How can you run one Databricks notebook from within another notebook?</t>
  </si>
  <si>
    <t>By preceding each cell in the target notebook with %run to execute its code</t>
  </si>
  <si>
    <t>By using the %run command followed by the path to the notebook stored in DBFS.</t>
  </si>
  <si>
    <t>By appending the %run command with the notebook‘s URL.</t>
  </si>
  <si>
    <t>By using the %run command followed by the relative or absolute path to the notebook within the Databricks workspace.</t>
  </si>
  <si>
    <t>The %run magic command in Databricks allows for the execution of another notebook by specifying its path, which can be either relative to the current notebook‘s location or an absolute path within the Databricks workspace.</t>
  </si>
  <si>
    <t>In SQL queries that involve file data, how are text and binary files processed differently?</t>
  </si>
  <si>
    <t>Binary files generate a column with a string value for each line, whereas text files have columns for path, modification time, length, and content.</t>
  </si>
  <si>
    <t>Text and binary files both generate columns for path, modification time, length, and content.</t>
  </si>
  <si>
    <t>Text files generate a column with a string value for each line, while binary files have columns for path, modification time, length, and content.</t>
  </si>
  <si>
    <t>Text files create a single column for each byte of data, whereas binary files create a column for each bit.</t>
  </si>
  <si>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</si>
  <si>
    <t>When creating a table in Databricks using a JDBC connection, which of the following SQL commands correctly attempts to create a new table and throws an error if the table with that name already exists?</t>
  </si>
  <si>
    <t>INSERT INTO new_table
SELECT * FROM jdbc(‘jdbc:mysql://database.example.com:3306/mydb‘, ‘existing_table‘, ‘username‘, ‘password‘)</t>
  </si>
  <si>
    <t>CREATE TABLE new_table AS
SELECT * FROM jdbc(‘jdbc:mysql://database.example.com:3306/mydb‘, ‘table_name‘, ‘username‘, ‘password‘)
 CREATE TABLE new_table
USING jdbc
OPTIONS (
url ‘jdbc:mysql://database.example.com:3306/mydb‘,
dbtable ‘new_table‘,
user ‘username‘,
password ‘password‘
)</t>
  </si>
  <si>
    <t>CREATE TABLE IF NOT EXISTS new_table
USING jdbc
OPTIONS (
url ‘jdbc:mysql://database.example.com:3306/mydb‘,
dbtable ‘existing_table‘,
user ‘username‘,
password ‘password‘
)</t>
  </si>
  <si>
    <t>CREATE TABLE new_table AS
SELECT * FROM jdbc(‘jdbc:mysql://database.example.com:3306/mydb‘, ‘table_name‘, ‘username‘, ‘password‘)</t>
  </si>
  <si>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</si>
  <si>
    <t>How does the VACUUM command manage deletes in Delta Lake tables?</t>
  </si>
  <si>
    <t>By marking deleted records as inactive for immediate purging.</t>
  </si>
  <si>
    <t>By encrypting deleted records for security purposes.</t>
  </si>
  <si>
    <t>By immediately removing all deleted records from the table.</t>
  </si>
  <si>
    <t>By cleaning up older, unnecessary files after a retention period.</t>
  </si>
  <si>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</si>
  <si>
    <t>What is a benefit of using multiple tasks in Databricks Jobs?</t>
  </si>
  <si>
    <t>Limits the scope of data processing</t>
  </si>
  <si>
    <t>Increases the complexity of jobs</t>
  </si>
  <si>
    <t>Allows for sequential task execution</t>
  </si>
  <si>
    <t>Reduces the overall execution time</t>
  </si>
  <si>
    <t>Multiple tasks in Jobs allow for the organization of complex workflows where tasks can be executed in a specific sequence, often depending on the completion of predecessor tasks. This enables more efficient data processing pipelines.</t>
  </si>
  <si>
    <t>Your organization is transitioning from a traditional data lake to a data lakehouse architecture to improve data analytics capabilities. Which of the following benefits is a primary reason for this transition?</t>
  </si>
  <si>
    <t>To reduce the amount of data stored</t>
  </si>
  <si>
    <t>To eliminate the need for data processing</t>
  </si>
  <si>
    <t>To increase the complexity of data queries</t>
  </si>
  <si>
    <t>To enhance data quality and governance with schema enforcement</t>
  </si>
  <si>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</si>
  <si>
    <t>GRANT SELECT CREATE MODIFY USAGE PRIVILEGES ON DATABASE customers TO team;</t>
  </si>
  <si>
    <t>GRANT SELECT PRIVILEGES ON DATABASE customers TO teams;</t>
  </si>
  <si>
    <t>GRANT ALL PRIVILEGES ON DATABASE customers TO team;</t>
  </si>
  <si>
    <t>GRANT USAGE ON DATABASE customers TO team;</t>
  </si>
  <si>
    <t>GRANT ALL PRIVILEGES ON DATABASE team TO customers;</t>
  </si>
  <si>
    <t>What is primarily managed within the control plane of Databricks‘ architecture?</t>
  </si>
  <si>
    <t>Physical hardware and network configuration.</t>
  </si>
  <si>
    <t>Development of machine learning models.</t>
  </si>
  <si>
    <t>User authentication and access control.</t>
  </si>
  <si>
    <t>Data storage and computation tasks.</t>
  </si>
  <si>
    <t>A data engineer needs to run the last part of a Python script only if the variable day_of_week is 1 and review_period is True. Which line of code should they use to start this part of the script?</t>
  </si>
  <si>
    <t>if day_of_week == 1 and review_period == “True“</t>
  </si>
  <si>
    <t>if day_of_week = 1 and review_period</t>
  </si>
  <si>
    <t>if day_of_week = 1 &amp; review_period: = “True“</t>
  </si>
  <si>
    <t>if day_of_week == 1 and review_period</t>
  </si>
  <si>
    <t>if day_of_week = 1 and review_period = “True“</t>
  </si>
  <si>
    <t>In the Databricks Unity Catalog, which role is primarily responsible for managing underlying cloud resources such as storage accounts/buckets and IAM roles/service principals/managed identities?</t>
  </si>
  <si>
    <t>Account Admin</t>
  </si>
  <si>
    <t>Cloud Admin</t>
  </si>
  <si>
    <t>Metastore Admin</t>
  </si>
  <si>
    <t>Data Owner</t>
  </si>
  <si>
    <t>How can a data engineer find out who owns “new_table” if they lack the necessary permissions and don’t know the table’s owner?</t>
  </si>
  <si>
    <t>Review the Owner field in the table‘s page in Data Explorer</t>
  </si>
  <si>
    <t>Review the Permissions tab in the table‘s page in Data Explorer</t>
  </si>
  <si>
    <t>All of these options can be used to identify the owner of the table</t>
  </si>
  <si>
    <t>There is no way to identify the owner of the table</t>
  </si>
  <si>
    <t>Review the Owner field in the table‘s page in the cloud storage solution</t>
  </si>
  <si>
    <t>(spark.readStream.load(rawSalesLocation) .writeStream .option(“checkpointLocation“, checkpointPath) .outputMode(“append“) .table(“newSales“) )</t>
  </si>
  <si>
    <t>(spark.table(“sales“) .groupBy(“store“) .agg(sum(“sales“)) .writeStream .option(“checkpointLocation“, checkpointPath) .outputMode(“complete“) .table(“newSales“) )</t>
  </si>
  <si>
    <t>(spark.table(“sales“) .withColumn(“avgPrice“, col(“sales“) / col(“units“)) .writeStream .option(“checkpointLocation“, checkpointPath) .outputMode(“append“) .table(“newSales“) )</t>
  </si>
  <si>
    <t>(spark.table(“sales“) .filter(col(“units“) &gt; 0) .writeStream .option(“checkpointLocation“, checkpointPath) .outputMode(“append“) .table(“newSales“) )</t>
  </si>
  <si>
    <t>(spark.read.load(rawSalesLocation) .write .mode(“append“) .table(“newSales“) )</t>
  </si>
  <si>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</si>
  <si>
    <t>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t>
  </si>
  <si>
    <t>The control plane manages backend services like user authentication and access control.</t>
  </si>
  <si>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</si>
  <si>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</si>
  <si>
    <t>Correct
Option D. if day_of_week == 1 and review_period Correct because this is the proper Python syntax:
== is used for comparison (checking equality).
and is the correct logical operator to combine conditions.
review_period is a Boolean variable, so it should be checked directly without comparing to "True" (a string).
This ensures the script runs only when day_of_week equals 1 and review_period is True.
Incorrect
Option A. if day_of_week == 1 and review_period == “True” Incorrect because "True" is a string, not a Boolean. Comparing review_period to a string will fail unless the variable is explicitly stored as "True".
Option B. if day_of_week = 1 and review_period Incorrect because = is the assignment operator, not comparison. This will cause a syntax error in Python.
Option C. if day_of_week = 1 &amp; review_period: = “True” Incorrect because this mixes assignment (=), bitwise operator (&amp;), and invalid syntax (:= “True”). This is not valid Python code.
Option E. if day_of_week = 1 and review_period = “True” Incorrect because it uses assignment (=) instead of comparison (==) and compares review_period to a string "True". Both issues make this invalid.</t>
  </si>
  <si>
    <t>Correct
Option B. Cloud Admin
The Cloud Admin role is responsible for managing underlying cloud infrastructure.
This includes tasks such as configuring storage accounts/buckets, setting up IAM roles, service principals, and managed identities.
These resources are external to Databricks but required for Unity Catalog to function securely and correctly.
This is the correct answer because Unity Catalog relies on cloud-level permissions and resource management handled by the Cloud Admin.
Incorrect
Option A. Account Admin
Account Admins manage Databricks account-level settings such as workspaces, users, groups, and Unity Catalog metastore assignments.
They do not directly manage cloud infrastructure resources like IAM roles or storage accounts.
Option C. Metastore Admin
Metastore Admins manage Unity Catalog metadata (catalogs, schemas, tables) and permissions within the metastore.
They focus on data governance, not cloud resource configuration.
Option D. Data Owner
Data Owners manage permissions and ownership of specific datasets within Unity Catalog.
They are responsible for granting/restricting access to data objects but not for configuring cloud resources.</t>
  </si>
  <si>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</si>
  <si>
    <t>The code performs a streaming read from a raw data source and writes to a new table using append mode, consistent with the Bronze table‘s role in continuously capturing and storing raw data in a structured format without extensive transformation.</t>
  </si>
  <si>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</si>
  <si>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</si>
  <si>
    <t xml:space="preserve">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t>
  </si>
  <si>
    <t>What functionality does Data Access Audit provide in a data governance framework?</t>
  </si>
  <si>
    <t>It restricts any access to the data.</t>
  </si>
  <si>
    <t>It allows users to modify data without tracking.</t>
  </si>
  <si>
    <t>It provides a mechanism to capture and record all access to data.</t>
  </si>
  <si>
    <t>It hides data access details from administrators.</t>
  </si>
  <si>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</si>
  <si>
    <t>How does setting up an alert for a failed task in Databricks benefit you?</t>
  </si>
  <si>
    <t>It keeps you informed so you can take immediate action.</t>
  </si>
  <si>
    <t>It increases the execution speed of future tasks.</t>
  </si>
  <si>
    <t>It automatically fixes any issues with the task.</t>
  </si>
  <si>
    <t>It prevents tasks from failing in the future.</t>
  </si>
  <si>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</si>
  <si>
    <t>When a data engineer and data analyst decide to transition their data pipeline to Delta Live Tables, considering their use of Python for the raw, bronze, and silver layers, and SQL for the gold layer, with a streaming input as the raw source, which adjustment is necessary?</t>
  </si>
  <si>
    <t>The pipeline will need to stop using the medallion-based multi-hop architecture</t>
  </si>
  <si>
    <t>None of these changes will need to be made</t>
  </si>
  <si>
    <t>The pipeline will need to be written entirely in Python</t>
  </si>
  <si>
    <t>The pipeline will need to be written entirely in SQL</t>
  </si>
  <si>
    <t>The pipeline will need to use a batch source in place of a streaming source</t>
  </si>
  <si>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</si>
  <si>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</si>
  <si>
    <t xml:space="preserve">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t>
  </si>
  <si>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</si>
  <si>
    <t>Given the task of dynamically generating a table name in Python using variables for region, store, and year, where the desired format for the table name is akin to “la200_sales_2022“ for region=“la“, store=“200“, and year=“2022“, which Python command would correctly construct this table name?</t>
  </si>
  <si>
    <t>f“{region}+{store}+_sales_+{year}“</t>
  </si>
  <si>
    <t>f“{region}{store}_sales_{year}“</t>
  </si>
  <si>
    <t>“{region}+{store}+_sales_+{year}“</t>
  </si>
  <si>
    <t>“{region}{store}_sales_{year}“</t>
  </si>
  <si>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</si>
  <si>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</si>
  <si>
    <t>CREATE OR REPLACE TABLE table_name ( employeeId STRING, startDate DATE, avgRating FLOAT )</t>
  </si>
  <si>
    <t>CREATE TABLE IF NOT EXISTS table_name ( employeeId STRING, startDate DATE, avgRating FLOAT )</t>
  </si>
  <si>
    <t>CREATE TABLE table_name AS</t>
  </si>
  <si>
    <t>SELECT employeeId STRING, startDate DATE, avgRating FLOAT</t>
  </si>
  <si>
    <t>CREATE OR REPLACE TABLE table_name AS</t>
  </si>
  <si>
    <t xml:space="preserve">This SQL command will create a new Delta table with the columns employeeId, startDate, and avgRating, or replace an existing one with the same name, without the need to state USING DELTA explicitly, since it is the assumed default.					</t>
  </si>
  <si>
    <t>What is a benefit of reusing clusters for multiple tasks in a workflow?</t>
  </si>
  <si>
    <t>It increases the complexity of the task.</t>
  </si>
  <si>
    <t>It eliminates the need for monitoring tasks.</t>
  </si>
  <si>
    <t>It allows for unlimited task execution.</t>
  </si>
  <si>
    <t>It reduces cost and startup time.</t>
  </si>
  <si>
    <t>Reusing clusters for multiple tasks can significantly reduce costs associated with provisioning new clusters and can also reduce the startup time for tasks, as the cluster is already running and does not need to be initiated from scratch.</t>
  </si>
  <si>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</si>
  <si>
    <t>What is the correct way to use Scala and Python code blocks for data processing in the same Databricks notebook?</t>
  </si>
  <si>
    <t>Define all variables in Scala and use Python for data processing exclusively.</t>
  </si>
  <si>
    <t>Only Scala can be used in notebooks that require interaction with the Spark engine.</t>
  </si>
  <si>
    <t>Use the %scala magic command for Scala cells and %python for Python cells within the notebook.</t>
  </si>
  <si>
    <t>Convert Scala code to Python using a conversion tool before integrating with Python cells.</t>
  </si>
  <si>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</si>
  <si>
    <t>array_distinct</t>
  </si>
  <si>
    <t>collect_set</t>
  </si>
  <si>
    <t>array_combine</t>
  </si>
  <si>
    <t>collect_all</t>
  </si>
  <si>
    <t>What function in SQL is used to ensure that the array of values returned is composed of unique elements for each group of rows?</t>
  </si>
  <si>
    <t xml:space="preserve">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					</t>
  </si>
  <si>
    <t>Why might you set up a retry policy for Databricks jobs?</t>
  </si>
  <si>
    <t>To automatically attempt to rerun tasks that fail, improving reliability.</t>
  </si>
  <si>
    <t>To ensure that a job runs continuously without stopping.</t>
  </si>
  <si>
    <t>To comply with data processing regulations.</t>
  </si>
  <si>
    <t>To increase the job‘s execution time for detailed analysis.</t>
  </si>
  <si>
    <t xml:space="preserve">A retry policy is like having a backup plan when something doesn‘t go as expected. If a task fails, Databricks will try again based on the policy you set. This means less manual work for you and a better chance that your data processing will succeed eventually.					</t>
  </si>
  <si>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</si>
  <si>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</si>
  <si>
    <t>Parquet</t>
  </si>
  <si>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</si>
  <si>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</si>
  <si>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</si>
  <si>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</si>
  <si>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</si>
  <si>
    <t>Which of the following commands will return the number of null values in the member_id column?</t>
  </si>
  <si>
    <t>SELECT null(member_id) FROM my_table;</t>
  </si>
  <si>
    <t>SELECT count(member_id) - count_null(member_id) FROM my_table;</t>
  </si>
  <si>
    <t>SELECT count_if(member_id IS NULL) FROM my_table;</t>
  </si>
  <si>
    <t>SELECT count(member_id) FROM my_table;</t>
  </si>
  <si>
    <t>SELECT count_null(member_id) FROM my_table;</t>
  </si>
  <si>
    <t xml:space="preserve">The count_if function along with the condition member_id IS NULL to count the number of null values in the member_id column of the my_table. This is the standard way to count null values in SQL queries.					</t>
  </si>
  <si>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</si>
  <si>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</si>
  <si>
    <t>(spark.read.load(rawSalesLocation) .writeStream .option(“checkpointLocation“, checkpointPath) .outputMode(“append“) .table(“newSales“) )</t>
  </si>
  <si>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</si>
  <si>
    <t>When a task must wait for the completion of another task before it starts</t>
  </si>
  <si>
    <t xml:space="preserve">Imagine baking a cake (task 2) but needing to mix the ingredients first (task 1). You set up task 1 as a predecessor to task 2 because you can‘t bake the cake before mixing the ingredients. This ensures tasks are done in the right order for the best outcome.					</t>
  </si>
  <si>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</si>
  <si>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</si>
  <si>
    <t>A data analyst needs to enhance their Databricks notebook by adding complex data visualizations created with R, alongside existing Python analytics code. What is the best approach?</t>
  </si>
  <si>
    <t>Rewrite the Python analytics code in R for consistency.</t>
  </si>
  <si>
    <t>Export the data from Python to an R script outside Databricks.</t>
  </si>
  <si>
    <t>Use the %r magic command in new cells specifically for R-based visualizations.</t>
  </si>
  <si>
    <t>Convert R visualization code to Python before integrating.</t>
  </si>
  <si>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</si>
  <si>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</si>
  <si>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</si>
  <si>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</si>
  <si>
    <t xml:space="preserve">MERGE INTO customer_purchases AS target	USING customer_purchases AS source ON target.customer_id = source.customer_id	WHEN MATCHED AND target.purchase_date &lt; source.purchase_date THEN DELETE;					</t>
  </si>
  <si>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</si>
  <si>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</si>
  <si>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</si>
  <si>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</si>
  <si>
    <t>CLEAN</t>
  </si>
  <si>
    <t>PURGE</t>
  </si>
  <si>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</si>
  <si>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</si>
  <si>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</si>
  <si>
    <t xml:space="preserve">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					</t>
  </si>
  <si>
    <t>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t>
  </si>
  <si>
    <t>The table was external</t>
  </si>
  <si>
    <t>The table‘s data was larger than 10 GB</t>
  </si>
  <si>
    <t>The table was managed</t>
  </si>
  <si>
    <t>The table‘s data was smaller than 10 GB</t>
  </si>
  <si>
    <t>The table did not have a location</t>
  </si>
  <si>
    <t xml:space="preserve">schema_of_json is used to generate a schema based on an example JSON string, which defines the structure that FROM_JSON will use to parse JSON strings into structs with the appropriate data types.					</t>
  </si>
  <si>
    <t>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</si>
  <si>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</si>
  <si>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continuously and the pipeline will not shut down. The compute resources will persist with the pipeline.</t>
  </si>
  <si>
    <t>All datasets will be updated once and the pipeline will shut down. The compute resources will persist to allow for additional testing.</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</si>
  <si>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</si>
  <si>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</si>
  <si>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 xml:space="preserve">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					</t>
  </si>
  <si>
    <t>Dot (.)</t>
  </si>
  <si>
    <t xml:space="preserve">The dot (.) syntax is utilized in Spark SQL to access subfields of STRUCT types. STRUCT types are complex data types in Spark SQL that define a tree of nested fields, and the dot syntax allows for navigating this structure.					</t>
  </si>
  <si>
    <t>Why is Z-ordering beneficial for Delta Lake tables?</t>
  </si>
  <si>
    <t>It arranges data to reduce the number of files scanned during queries.</t>
  </si>
  <si>
    <t>It encrypts data for enhanced security.</t>
  </si>
  <si>
    <t>It increases the size of the table for better performance.</t>
  </si>
  <si>
    <t>It organizes files into a random order to enhance query speed.</t>
  </si>
  <si>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</si>
  <si>
    <t>Source</t>
  </si>
  <si>
    <t>SCP</t>
  </si>
  <si>
    <t>DBx</t>
  </si>
  <si>
    <t xml:space="preserve">daily_revenue_df = billing_df.groupBy("billing_date").agg(     sum("amount_billed").alias("total_revenue"),     sum("billing_id").alias("total_invoices") )					</t>
  </si>
  <si>
    <t xml:space="preserve">daily_revenue_df = billing_df.groupBy("billing_date").agg(     col("amount_billed").alias("total_revenue"),      count("billing_id").alias("total_invoices") )					</t>
  </si>
  <si>
    <t xml:space="preserve">daily_revenue_df = billing_df.groupBy("billing_date").agg(     sum("amount_billed").alias("total_revenue"),     count_distinct("patient_id").alias("total_invoices") )					</t>
  </si>
  <si>
    <t xml:space="preserve">D. daily_revenue_df = billing_df.groupBy("billing_date").agg(     sum("amount_billed").alias("total_revenue"),     count_distinct("billing_id").alias("total_invoices") )					</t>
  </si>
  <si>
    <t xml:space="preserve">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					</t>
  </si>
  <si>
    <t xml:space="preserve">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					</t>
  </si>
  <si>
    <t xml:space="preserve">GRANT ALL PRIVILEGES ON SCHEMA sales_data TO analysts; </t>
  </si>
  <si>
    <t xml:space="preserve">GRANT SELECT ON SCHEMA sales_data TO analysts; </t>
  </si>
  <si>
    <t xml:space="preserve">GRANT INSERT ON SCHEMA sales_data TO analysts; </t>
  </si>
  <si>
    <t xml:space="preserve">GRANT SELECT ON ALL TABLES IN SCHEMA sales_data TO analysts; </t>
  </si>
  <si>
    <t xml:space="preserve">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t>
  </si>
  <si>
    <t xml:space="preserve">Grant READ permissions to external partners through the Delta Share and READ/WRITE permissions to internal teams on Unity Catalog. </t>
  </si>
  <si>
    <t xml:space="preserve">Create a Delta Share, add the internal team's tables and views, and assign READ/WRITE permissions to both external partners and internal teams. </t>
  </si>
  <si>
    <t xml:space="preserve">Create READ permissions to external partners and READ/WRITE permissions to internal teams through Delta Share. </t>
  </si>
  <si>
    <t xml:space="preserve">Create a Delta Share, set up a secure access URL for internal teams and external partners, and distribute the URL to provide them access to the shared data. </t>
  </si>
  <si>
    <t xml:space="preserve">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t>
  </si>
  <si>
    <t xml:space="preserve">CREATE OR REPLACE TABLE table_name ( employeeId STRING, startDate DATE, avgRating FLOAT ) </t>
  </si>
  <si>
    <t xml:space="preserve">CREATE TABLE IF NOT EXISTS table_name ( employeeId STRING, startDate DATE, avgRating FLOAT ) </t>
  </si>
  <si>
    <t xml:space="preserve">CREATE TABLE table_name AS SELECT employeeId STRING, startDate DATE, avgRating FLOAT </t>
  </si>
  <si>
    <t xml:space="preserve">CREATE OR REPLACE TABLE table_name WITH COLUMNS ( employeeId STRING, startDate DATE, avgRating FLOAT ) USING DELTA </t>
  </si>
  <si>
    <t xml:space="preserve">Objective: Identify DDL (Data Definition Language)/DML features. A data engineer has been given a new record of data: id STRING = 'a1' rank INTEGER = 6 rating FLOAT = 9.4 </t>
  </si>
  <si>
    <t xml:space="preserve">UPDATE VALUES ('a1', 6, 9.4) my_table </t>
  </si>
  <si>
    <t xml:space="preserve">UPDATE my_table VALUES ('a1', 6, 9.4) </t>
  </si>
  <si>
    <t xml:space="preserve">INSERT VALUES ('a1', 6, 9.4) INTO my_table </t>
  </si>
  <si>
    <t xml:space="preserve">INSERT INTO my_table VALUES ('a1', 6, 9.4) </t>
  </si>
  <si>
    <t>Data warehouse</t>
  </si>
  <si>
    <t>Data lake</t>
  </si>
  <si>
    <t>Data lakehouse</t>
  </si>
  <si>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</si>
  <si>
    <t>How do you create a permanent view in Databricks SQL that references data from a CSV file stored in DBFS?</t>
  </si>
  <si>
    <t>Use the CREATE PERMANENT VIEW statement and specify the CSV file path directly after the FROM keyword.</t>
  </si>
  <si>
    <t>Permanent views cannot reference CSV files directly; they must be loaded into a table first.</t>
  </si>
  <si>
    <t>Use the CREATE VIEW statement with the USING csv option followed by the path to the CSV file.</t>
  </si>
  <si>
    <t>Use the CREATE VIEW statement followed by a SELECT query that uses the csv prefix to reference the CSV file.</t>
  </si>
  <si>
    <t xml:space="preserve">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					</t>
  </si>
  <si>
    <t>You are designing a data processing workflow in Databricks and have ingested raw IoT device data into bronze tables. Your next step is to clean and normalize this data. Which table should you store the cleaned and normalized data in?</t>
  </si>
  <si>
    <t>Directly into an external data warehouse</t>
  </si>
  <si>
    <t>Another bronze table</t>
  </si>
  <si>
    <t>A silver table</t>
  </si>
  <si>
    <t>A gold table</t>
  </si>
  <si>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</si>
  <si>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</si>
  <si>
    <t>By allowing the specification of a minimum and maximum number of idle instances to prevent over-provisioning.</t>
  </si>
  <si>
    <t>By encrypting data at rest and in transit, reducing compliance costs.</t>
  </si>
  <si>
    <t>By automatically deleting idle clusters after a specified period.</t>
  </si>
  <si>
    <t>By providing unlimited compute resources at a fixed cost.</t>
  </si>
  <si>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</si>
  <si>
    <t>Which component resides in the customer‘s cloud account in the Databricks architecture?</t>
  </si>
  <si>
    <t>Data storage and computation resources.</t>
  </si>
  <si>
    <t>The Databricks workspace interface.</t>
  </si>
  <si>
    <t>Cluster management services.</t>
  </si>
  <si>
    <t>Databricks‘ internal metadata store.</t>
  </si>
  <si>
    <t>What kind of tasks can be monitored in the Databricks job run interface?</t>
  </si>
  <si>
    <t>Only tasks related to database management</t>
  </si>
  <si>
    <t>Any tasks that are part of a job workflow</t>
  </si>
  <si>
    <t>Only data ingestion tasks</t>
  </si>
  <si>
    <t>Only machine learning training tasks</t>
  </si>
  <si>
    <t>Your Databricks job occasionally fails due to transient network issues. You want to ensure that the job automatically retries before sending an alert about the failure. How should you configure the job to address this requirement?</t>
  </si>
  <si>
    <t>Disable all alerts for the job to avoid unnecessary notifications.</t>
  </si>
  <si>
    <t>Increase the job‘s resource allocation to prevent failures.</t>
  </si>
  <si>
    <t>Set up a retry policy with a specific number of retries before an alert is sent.</t>
  </si>
  <si>
    <t>Manually restart the job whenever it fails.</t>
  </si>
  <si>
    <t>Which statement accurately describes the relationship between Silver and Bronze tables, without altering the given options?</t>
  </si>
  <si>
    <t>Silver tables contain a more refined and cleaner view of data than Bronze tables.</t>
  </si>
  <si>
    <t>Silver tables contain a less refined, less clean view of data than Bronze data.</t>
  </si>
  <si>
    <t>Silver tables contain aggregates while Bronze data is unaggregated.</t>
  </si>
  <si>
    <t>Silver tables contain more data than Bronze tables.</t>
  </si>
  <si>
    <t>Silver tables contain less data than Bronze tables.</t>
  </si>
  <si>
    <t>How does the Unity Catalog facilitate the management of data and AI assets?</t>
  </si>
  <si>
    <t>By using different interfaces for each type of data asset.</t>
  </si>
  <si>
    <t>By centrally sharing, auditing, securing, and managing all data types with one simple interface.</t>
  </si>
  <si>
    <t>By allowing data to be stored in isolated silos for each asset type.</t>
  </si>
  <si>
    <t>By preventing auditing of data assets to ensure privacy.</t>
  </si>
  <si>
    <t>A data science team is collaborating on a Databricks notebook. The data engineer prefers to use SQL for data extraction, while the data scientist wants to use Python for machine learning. How should they proceed within the same notebook?</t>
  </si>
  <si>
    <t>Convert SQL queries to Python pandas queries for uniformity.</t>
  </si>
  <si>
    <t>Use %sql for data extraction cells and %python for machine learning cells.</t>
  </si>
  <si>
    <t>Create separate notebooks for SQL and Python code and link them together.</t>
  </si>
  <si>
    <t>Merge all code into Python for consistency across the notebook.</t>
  </si>
  <si>
    <t>A data engineer has created a new database using the following command: CREATE DATABASE IF NOT EXISTS customer360; In which of the following locations will the customer360 database be located?</t>
  </si>
  <si>
    <t>dbfs:/user/hive/database/customer360</t>
  </si>
  <si>
    <t>dbfs:/user/hive/database</t>
  </si>
  <si>
    <t>dbfs:/user/hive/customer360</t>
  </si>
  <si>
    <t>dbfs:/user/hive/warehouse</t>
  </si>
  <si>
    <t>More information is needed to determine the correct response</t>
  </si>
  <si>
    <t>CREATE TABLE all_transactions AS</t>
  </si>
  <si>
    <t>SELECT * FROM march_transactions OUTER JOIN SELECT * FROM april_transactions;</t>
  </si>
  <si>
    <t>SELECT * FROM march_transactions UNION SELECT * FROM april_transactions;</t>
  </si>
  <si>
    <t>Which option best describes the kind of tasks that Auto Loader is always suited for?</t>
  </si>
  <si>
    <t>Streaming workloads</t>
  </si>
  <si>
    <t>Dashboard workloads</t>
  </si>
  <si>
    <t>Machine learning workloads</t>
  </si>
  <si>
    <t>Serverless workloads</t>
  </si>
  <si>
    <t>Batch workloads</t>
  </si>
  <si>
    <t>What workflow pattern in Databricks is suitable for consolidating data from multiple streaming sources into a single Delta table for analysis?</t>
  </si>
  <si>
    <t>Parallel processing</t>
  </si>
  <si>
    <t>SELECT user_id, event_timestamp, event_name, ARRAY(items) AS item FROM events;</t>
  </si>
  <si>
    <t>SELECT user_id, event_timestamp, event_name, items FROM events;</t>
  </si>
  <si>
    <t>SELECT user_id, event_timestamp, event_name, UNNEST(items) AS item FROM events;</t>
  </si>
  <si>
    <t>Notebooks</t>
  </si>
  <si>
    <t>Data</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</si>
  <si>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</si>
  <si>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Immediately escalate the issue to Databricks support.</t>
  </si>
  <si>
    <t>What is the standard method for sharing a Databricks notebook with another user within the same Databricks workspace?</t>
  </si>
  <si>
    <t>Use the workspace‘s sharing feature to grant specific users access to the notebook.</t>
  </si>
  <si>
    <t>Copy and paste the notebook code into a new notebook and save it under the user‘s workspace.</t>
  </si>
  <si>
    <t>Publish the notebook to a public repository and share the link.</t>
  </si>
  <si>
    <t>Export the notebook as a DBC file and email it to the user.</t>
  </si>
  <si>
    <t>In Databricks, where can you find historical data of job executions, including completed or active runs?</t>
  </si>
  <si>
    <t>In the Jobs tab</t>
  </si>
  <si>
    <t>In the Runs tab</t>
  </si>
  <si>
    <t>In the Dashboard tab</t>
  </si>
  <si>
    <t>In the Tasks tab</t>
  </si>
  <si>
    <t>An engineering manager wants to automate a Databricks SQL query to track data source ingestion latency, aiming to avoid manual daily reruns. Which method ensures the query automatically updates each day?</t>
  </si>
  <si>
    <t>They can schedule the query to refresh every 12 hours from the SQL endpoint‘s page in Databricks SQL.</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</si>
  <si>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</si>
  <si>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</si>
  <si>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</si>
  <si>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run every 12 hours from the Jobs UI.</t>
  </si>
  <si>
    <t>The data engineering team noticed that one of the job normally finishes in 15 mins but gets stuck randomly when reading remote databases due to a network packet drop, which of the following steps can be used to improve the stability of the job?</t>
  </si>
  <si>
    <t>Use Databrick REST API to monitor long running jobs and issue a kill command</t>
  </si>
  <si>
    <t>Use Jobs runs, active runs UI section to monitor and kill long running job</t>
  </si>
  <si>
    <t>Modify the task, to include a timeout to kill the job if it runs more than 15 mins.</t>
  </si>
  <si>
    <t>Use Spark job time out setting in the Spark UI</t>
  </si>
  <si>
    <t>Use Cluster timeout setting in the Job cluster UI</t>
  </si>
  <si>
    <t>The data plane, which includes data storage and computation resources, resides within the customer‘s cloud account.</t>
  </si>
  <si>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</si>
  <si>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</si>
  <si>
    <t>Correct Answer
Option B: At least one notebook library to be executed
DLT pipelines require source code (notebook(s), Python/SQL files) containing table definitions using @dlt.table decorators or CREATE LIVE TABLE statements. No code = no pipeline execution.
Incorrect
Option A: A location of a target database
DLT auto-manages target schemas. Tables created in pipeline-specified catalog/schema – no manual database location required.
Option C: A key-value pair configuration
Optional settings only. Configuration blocks enhance functionality but aren’t mandatory for pipeline creation.
Option D: The preferred DBU/hour cost
Cost managed automatically via cluster policies. Pipeline creation doesn’t require explicit cost specification.
Option E: A path to cloud storage location
DLT handles storage automatically. Target Delta tables written to managed locations – explicit paths optional.</t>
  </si>
  <si>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</si>
  <si>
    <t>Correct
Option C. Use the CREATE VIEW statement followed by a SELECT query that uses the csv prefix to reference the CSV file.
Explanation:
In Databricks SQL, you can create a permanent view by writing a CREATE VIEW statement that selects data from a CSV file stored in DBFS.
The correct way is to use the csv. prefix (or read_csv equivalent in Spark SQL) in the FROM clause to reference the file path.
Example:
sql
CREATE VIEW my_view AS
SELECT *
FROM csv.`dbfs:/path/to/file.csv`;
This ensures the view persists in the metastore and can be queried like a table.
Incorrect
Option A. Use the CREATE VIEW statement with the USING csv option followed by the path to the CSV file.
Incorrect because USING csv is valid for creating tables with CREATE TABLE, not for views.
Views must reference a query, not a file format directly.
Option B. Use the CREATE PERMANENT VIEW statement and specify the CSV file path directly after the FROM keyword.
Incorrect because there is no CREATE PERMANENT VIEW syntax in Databricks SQL.
Views are created with CREATE VIEW or CREATE OR REPLACE VIEW.
Option D. Permanent views cannot reference CSV files directly; they must be loaded into a table first.
Incorrect because Databricks allows views to directly reference files in DBFS using the csv. prefix.
Loading into a table is optional, not mandatory.</t>
  </si>
  <si>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</si>
  <si>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</si>
  <si>
    <t>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t>
  </si>
  <si>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</si>
  <si>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</si>
  <si>
    <t>The Cloud Admin role typically handles the management of cloud resources, ensuring the right storage and access permissions are set across cloud services, which is crucial for maintaining security and operational efficiency in a multi-cloud environment.</t>
  </si>
  <si>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</si>
  <si>
    <t>The Runs tab in Databricks is where users can navigate to view the history of job runs, including both completed and active runs. This tab provides a comprehensive view of the job execution timeline and outcomes.</t>
  </si>
  <si>
    <t>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t>
  </si>
  <si>
    <t>The answer is, Modify the task, to include time out to kill the job if it runs more than 15 mins.
https://docs.microsoft.com/en-us/azure/databricks/data-engineering/jobs/jobs#timeout</t>
  </si>
  <si>
    <t>How does Lakehouse replace the dependency on using Data lakes and Data warehouses in a Data and Analytics solution?</t>
  </si>
  <si>
    <t>Open, direct access to data stored in standard data formats.</t>
  </si>
  <si>
    <t>Supports ACID transactions.</t>
  </si>
  <si>
    <t>Supports BI and Machine learning workloads</t>
  </si>
  <si>
    <t>Support for end-to-end streaming and batch workloads</t>
  </si>
  <si>
    <t>All the above</t>
  </si>
  <si>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</si>
  <si>
    <t>Which of the following is true, when building a Databricks SQL dashboard?</t>
  </si>
  <si>
    <t>A dashboard can only use results from one query</t>
  </si>
  <si>
    <t>Only one visualization can be developed with one query result</t>
  </si>
  <si>
    <t>A dashboard can only connect to one schema/Database</t>
  </si>
  <si>
    <t>More than one visualization can be developed using a single query result</t>
  </si>
  <si>
    <t>A dashboard can only have one refresh schedule</t>
  </si>
  <si>
    <t>Which of the following is used by Auto Loader to load data incrementally?</t>
  </si>
  <si>
    <t>DEEP CLONE</t>
  </si>
  <si>
    <t>Multi-hop architecture</t>
  </si>
  <si>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</si>
  <si>
    <t>Python, Job, SQL Cluster, email address</t>
  </si>
  <si>
    <t>SQL, Alert, Refresh, email address</t>
  </si>
  <si>
    <t>SQL, Job, SQL Cluster, email address</t>
  </si>
  <si>
    <t>SQL, Job, Refresh, email address</t>
  </si>
  <si>
    <t>Python, Job, Refresh, email address</t>
  </si>
  <si>
    <t>Which of the following locations hosts the driver and worker nodes of a Databricks-managed cluster?</t>
  </si>
  <si>
    <t>Data plane</t>
  </si>
  <si>
    <t>Control plane</t>
  </si>
  <si>
    <t>Databricks Filesystem</t>
  </si>
  <si>
    <t>JDBC data source</t>
  </si>
  <si>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</si>
  <si>
    <t>User requires SELECT on the underlying table</t>
  </si>
  <si>
    <t>User requires to be put in a special group that has access to PII data</t>
  </si>
  <si>
    <t>User has to be the owner of the view</t>
  </si>
  <si>
    <t>User requires USAGE privilege on Sales schema</t>
  </si>
  <si>
    <t>User needs ADMIN privilege on the view</t>
  </si>
  <si>
    <t>You have written a notebook to generate a summary data set for reporting, Notebook was scheduled using the job cluster, but you realized it takes an average of 8 minutes to start the cluster, what feature can be used to start the cluster in a timely fashion?</t>
  </si>
  <si>
    <t>Setup an additional job to run ahead of the actual job so the cluster is running second job starts</t>
  </si>
  <si>
    <t>Use the Databricks cluster pools feature to reduce the startup time</t>
  </si>
  <si>
    <t>Use Databricks Premium edition instead of Databricks standard edition</t>
  </si>
  <si>
    <t>Pin the cluster in the cluster UI page so it is always available to the jobs</t>
  </si>
  <si>
    <t>Disable auto termination so the cluster is always running</t>
  </si>
  <si>
    <t>How do you access or use tables in the unity catalog?</t>
  </si>
  <si>
    <t>schema_name.table_name</t>
  </si>
  <si>
    <t>schema_name.catalog_name.table_name</t>
  </si>
  <si>
    <t>catalog_name.table_name</t>
  </si>
  <si>
    <t>catalog_name.database_name.schema_name.table_name</t>
  </si>
  <si>
    <t>catalog_name.schema_name.table_name</t>
  </si>
  <si>
    <t>Which of the following tool provides Data Access control, Access Audit, Data Lineage, and Data discovery?</t>
  </si>
  <si>
    <t>DELTA LIVE Pipelines</t>
  </si>
  <si>
    <t>Data Governance</t>
  </si>
  <si>
    <t>DELTA lake</t>
  </si>
  <si>
    <t>Lakehouse</t>
  </si>
  <si>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</si>
  <si>
    <t>Data Sharing</t>
  </si>
  <si>
    <t>Use a single storage location</t>
  </si>
  <si>
    <t>Where are Interactive notebook results stored in Databricks product architecture?</t>
  </si>
  <si>
    <t>Data and Control plane</t>
  </si>
  <si>
    <t>Which of the following locations in the Databricks product architecture hosts the notebooks and jobs?</t>
  </si>
  <si>
    <t>Which of the following statements are true about a lakehouse?</t>
  </si>
  <si>
    <t>Lakehouse only supports Machine learning workloads and Data warehouses support BI workloads</t>
  </si>
  <si>
    <t>Lakehouse only supports end-to-end streaming workloads and Data warehouses support Batch workloads</t>
  </si>
  <si>
    <t>Lakehouse does not support ACID</t>
  </si>
  <si>
    <t>Lakehouse do not support SQL</t>
  </si>
  <si>
    <t>Lakehouse supports Transactions</t>
  </si>
  <si>
    <t>A dataset has been defined using Delta Live Tables and includes an expectations clause: CONSTRAINT valid_timestamp EXPECT (timestamp &gt; ‘2020-01-01‘) ON VIOLATION FAIL What is the expected behavior when a batch of data containing data that violates these constraints is processed?</t>
  </si>
  <si>
    <t>Records that violate the expectation cause the job to fail</t>
  </si>
  <si>
    <t>Which of the following SQL command can be used to insert or update or delete rows based on a condition to check if a row(s) exists?</t>
  </si>
  <si>
    <t>MERGE INTO table_name COPY INTO table_name</t>
  </si>
  <si>
    <t>UPDATE table_name</t>
  </si>
  <si>
    <t>INSERT INTO OVERWRITE table_name</t>
  </si>
  <si>
    <t>INSERT IF EXISTS table_name</t>
  </si>
  <si>
    <t>the answer is, More than one visualization can be developed using a single query result.
In the query editor pane + Add visualization tab can be used for many visualizations for a single query result.</t>
  </si>
  <si>
    <t>Graphic</t>
  </si>
  <si>
    <t>Auto Loader is based on Spark Structured Streaming. It provides a Structured Streaming source called cloudFiles.
Reference: https://docs.databricks.com/ingestion/auto-loader/index.html</t>
  </si>
  <si>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</si>
  <si>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</si>
  <si>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</si>
  <si>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</si>
  <si>
    <t>The answer is Unity Catalog</t>
  </si>
  <si>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</si>
  <si>
    <t xml:space="preserve">The answer is Data and Control plane,
Only Job results are stored in Data Plane(your storage), Interactive notebook results are stored in a combination of the control plane (partial results for presentation in the UI) and customer storage.
How to change this behavior?
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
Why is this important to know?
I recently worked on a project where we had to deal with sensitive information of customers and we had a security requirement that all of the data need to be stored in the data plane including notebook results.
</t>
  </si>
  <si>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</si>
  <si>
    <t>The answer is  Records that violate the expectation cause the job to fail.
Delta live tables support three types of expectations to fix bad data in DLT pipelines
Review below example code to examine these expectations,</t>
  </si>
  <si>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</si>
  <si>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</si>
  <si>
    <t>You have accidentally deleted records from a table called transactions, what is the easiest way to restore the records deleted or the previous state of the table? Prior to deleting the version of the table is 3 and after delete the version of the table is 4.</t>
  </si>
  <si>
    <t>Create a schema called bronze using location ‘/mnt/delta/bronze’, and check if the schema exists before creating.</t>
  </si>
  <si>
    <t>SELECT * FROM TIME_TRAVEL(table_name) WHERE time_stamp = ‘timestamp‘</t>
  </si>
  <si>
    <t>TIME_TRAVEL FROM table_name WHERE time_stamp = date_sub(current_date(), 1)</t>
  </si>
  <si>
    <t>SELECT * FROM table_name TIMESTAMP AS OF date_sub(current_date(), 1)</t>
  </si>
  <si>
    <t>DISCRIBE HISTORY table_name AS OF date_sub(current_date(), 1)</t>
  </si>
  <si>
    <t>SHOW HISTORY table_name AS OF date_sub(current_date(), 1)</t>
  </si>
  <si>
    <t>F</t>
  </si>
  <si>
    <t xml:space="preserve">RESTORE TABLE transactions FROM VERSION as of 4						</t>
  </si>
  <si>
    <t xml:space="preserve">RESTORE TABLE transactions TO VERSION as of 3						</t>
  </si>
  <si>
    <t xml:space="preserve">INSERT INTO OVERWRITE transactions	SELECT * FROM transactions VERSION AS OF 3						</t>
  </si>
  <si>
    <t xml:space="preserve">MINUS						</t>
  </si>
  <si>
    <t xml:space="preserve">SELECT * FROM transactions	INSERT INTO OVERWRITE transactions	SELECT * FROM transactions VERSION AS OF 4						</t>
  </si>
  <si>
    <t xml:space="preserve">INTERSECT						</t>
  </si>
  <si>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</si>
  <si>
    <t xml:space="preserve">CREATE SCHEMA IF NOT EXISTS bronze LOCATION ‘/mnt/delta/bronze‘						</t>
  </si>
  <si>
    <t xml:space="preserve">CREATE SCHEMA bronze IF NOT EXISTS LOCATION ‘/mnt/delta/bronze‘						</t>
  </si>
  <si>
    <t xml:space="preserve">if IS_SCHEMA(‘bronze‘): CREATE SCHEMA bronze LOCATION ‘/mnt/delta/bronze‘						</t>
  </si>
  <si>
    <t xml:space="preserve">Schema creation is not available in metastore, it can only be done in Unity catalog UI						</t>
  </si>
  <si>
    <t xml:space="preserve">Cannot create schema without a database						</t>
  </si>
  <si>
    <t>https://docs.databricks.com/sql/language-manual/sql-ref-syntax-ddl-create-schema.html
CREATE SCHEMA [ IF NOT EXISTS ] schema_name [ LOCATION schema_directory ]</t>
  </si>
  <si>
    <t>Which of the following is a true statement about the global temporary view?</t>
  </si>
  <si>
    <t>A global temporary view is available only on the cluster it was created, when the cluster restarts global temporary view is automatically dropped.</t>
  </si>
  <si>
    <t>A global temporary view is available on all clusters for a given workspace</t>
  </si>
  <si>
    <t>A global temporary view persists even if the cluster is restarted</t>
  </si>
  <si>
    <t>A global temporary view is stored in a user database</t>
  </si>
  <si>
    <t>A global temporary view is automatically dropped after 7 days</t>
  </si>
  <si>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</si>
  <si>
    <t>Which of the below SQL commands create a Global temporary view?</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</si>
  <si>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</si>
  <si>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</si>
  <si>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</si>
  <si>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</si>
  <si>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</si>
  <si>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 xml:space="preserve">CREATE OR REPLACE GLOBAL TEMPORARY VIEW view_name	AS SELECT * FROM table_name	There are two types of temporary views that can be created Local and Global	A session-scoped temporary view is only available with a spark session, so another notebook in the same cluster can not access it. if a notebook is detached and reattached local temporary view is lost.	A global temporary view is available to all the notebooks in the cluster but if a cluster restarts a global temporary view is lost.						</t>
  </si>
  <si>
    <t>See Graphic</t>
  </si>
  <si>
    <t xml:space="preserve">select max(raw.chicago.temp[3]) from temp_data						</t>
  </si>
  <si>
    <t xml:space="preserve">select array_max(raw.chicago[*].temp[3]) from temp_data						</t>
  </si>
  <si>
    <t xml:space="preserve">select array_max(from_json(raw[‘chicago‘].temp[3],‘array‘)) from temp_data						</t>
  </si>
  <si>
    <t xml:space="preserve">select max(from_json(raw:chicago[3].temp[3],‘array‘)) from temp_data						</t>
  </si>
  <si>
    <t xml:space="preserve">select array_max(from_json(raw:chicago[*].temp[3],‘array‘)) from temp_data						</t>
  </si>
  <si>
    <t>You are trying to create an object by joining two tables that and it is accessible to data scientist’s team, so it does not get dropped if the cluster restarts or if the notebook is detached. What type of object are you trying to create?</t>
  </si>
  <si>
    <t>Temporary view</t>
  </si>
  <si>
    <t>Global Temporary view</t>
  </si>
  <si>
    <t>Global Temporary view with cache option</t>
  </si>
  <si>
    <t>External view</t>
  </si>
  <si>
    <t xml:space="preserve">Answer is View, A view can be used to join multiple tables but also persist into meta stores so others can accesses it						</t>
  </si>
  <si>
    <t>When you drop a managed table using SQL syntax DROP TABLE table_name how does it impact metadata, history, and data stored in the table?</t>
  </si>
  <si>
    <t>Drops table from meta store, drops metadata, history, and data in storage.</t>
  </si>
  <si>
    <t>Drops table from meta store and data from storage but keeps metadata and history in storage</t>
  </si>
  <si>
    <t>Drops table from meta store, meta data and history but keeps the data in storage</t>
  </si>
  <si>
    <t>Drops table but keeps meta data, history and data in storage</t>
  </si>
  <si>
    <t>Drops table and history but keeps meta data and data in storage</t>
  </si>
  <si>
    <t xml:space="preserve">For a managed table, a drop command will drop everything from metastore and storage.	See the below image to understand the differences between dropping an external table.						</t>
  </si>
  <si>
    <t>Which of the following SQL statements can be used to update a transactions table, to set a flag on the table from Y to N</t>
  </si>
  <si>
    <t>MODIFY transactions SET active_flag = ‘N‘ WHERE active_flag = ‘Y‘</t>
  </si>
  <si>
    <t>MERGE transactions SET active_flag = ‘N‘ WHERE active_flag = ‘Y‘</t>
  </si>
  <si>
    <t>UPDATE transactions SET active_flag = ‘N‘ WHERE active_flag = ‘Y‘</t>
  </si>
  <si>
    <t>REPLACE transactions SET active_flag = ‘N‘ WHERE active_flag = ‘Y‘</t>
  </si>
  <si>
    <t xml:space="preserve">The answer is	UPDATE transactions SET active_flag = ‘N‘ WHERE active_flag = ‘Y‘	Delta Lake supports UPDATE statements on the delta table, all of the changes as part of the update are ACID compliant.				</t>
  </si>
  <si>
    <t>FLATTEN, COLLECT_UNION</t>
  </si>
  <si>
    <t>ARRAY_UNION, FLATTEN</t>
  </si>
  <si>
    <t>ARRAY_UNION, ARRAY_DISTINT</t>
  </si>
  <si>
    <t>ARRAY_UNION, COLLECT_SET</t>
  </si>
  <si>
    <t>ARRAY_DISTINCT, ARRAY_UNION</t>
  </si>
  <si>
    <t>The team has decided to take advantage of table properties to identify a business owner for each table, which of the following table DDL syntax allows you to populate a table property identifying the business owner of a table</t>
  </si>
  <si>
    <t>CREATE TABLE inventory (id INT, units FLOAT) SET TBLPROPERTIES business_owner = ‘supply chain‘</t>
  </si>
  <si>
    <t>CREATE TABLE inventory (id INT, units FLOAT) TBLPROPERTIES (business_owner = ‘supply chain‘)</t>
  </si>
  <si>
    <t>CREATE TABLE inventory (id INT, units FLOAT) SET (business_owner = ‘supply chain’)</t>
  </si>
  <si>
    <t>CREATE TABLE inventory (id INT, units FLOAT) SET PROPERTY (business_owner = ‘supply chain’)</t>
  </si>
  <si>
    <t>CREATE TABLE inventory (id INT, units FLOAT) SET TAG (business_owner = ‘supply chain’)</t>
  </si>
  <si>
    <t>Correct: Option B. CREATE TABLE inventory (id INT, units FLOAT) TBLPROPERTIES (business_owner = ‘supply chain’)	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	Incorrect:	Option A. CREATE TABLE inventory (id INT, units FLOAT)	SET TBLPROPERTIES business_owner = ‘supply chain’	ALTER TABLE on existing tables, not	CREATE TABLE; syntax fails at creation time as SET requires prior table existence.</t>
  </si>
  <si>
    <t>Data science team has requested they are missing a column in the table called average price, this can be calculated using units sold and sales amt, which of the following SQL statements allow you to reload the data with additional column</t>
  </si>
  <si>
    <t xml:space="preserve">CREATE OR REPLACE TABLE sales	AS SELECT *, salesAmt/unitsSold as avgPrice FROM sales					</t>
  </si>
  <si>
    <t xml:space="preserve">MERGE INTO sales USING (SELECT *, salesAmt/unitsSold as avgPrice FROM sales)						</t>
  </si>
  <si>
    <t xml:space="preserve">OVERWRITE sales AS SELECT *, salesAmt/unitsSold as avgPrice FROM sales						</t>
  </si>
  <si>
    <t xml:space="preserve">COPY INTO SALES AS SELECT *, salesAmt/unitsSold as avgPrice FROM sales						</t>
  </si>
  <si>
    <t>CREATE OR REPLACE TABLE sales	AS SELECT *, salesAmt/unitsSold as avgPrice FROM sales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t>
  </si>
  <si>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</si>
  <si>
    <t>SELECT * FROM orders UNION SELECT * FROM orders_archive</t>
  </si>
  <si>
    <t>SELECT * FROM orders INTERSECT SELECT * FROM orders_archive</t>
  </si>
  <si>
    <t>SELECT * FROM orders UNION ALL SELECT * FROM orders_archive</t>
  </si>
  <si>
    <t>SELECT * FROM orders_archive MINUS SELECT * FROM orders</t>
  </si>
  <si>
    <t>SELECT distinct * FROM orders JOIN orders_archive on order.id = orders_archive.id</t>
  </si>
  <si>
    <t xml:space="preserve">Answer is SELECT * FROM orders UNION SELECT * FROM orders_archive	UNION and UNION ALL are set operators,	UNION combines the output from both queries but also eliminates the duplicates.	UNION ALL combines the output from both queries.			</t>
  </si>
  <si>
    <t>You are working on a process to load external CSV files into a delta table by leveraging the COPY INTO command, but after running the command for the second time no data was loaded into the table name, why is that? COPY INTO table_name FROM ‘dbfs:/mnt/raw/*.csv‘ FILEFORMAT = CSV</t>
  </si>
  <si>
    <t>COPY INTO only works one time data load</t>
  </si>
  <si>
    <t>Run REFRESH TABLE sales before running COPY INTO</t>
  </si>
  <si>
    <t>COPY INTO did not detect new files after the last load</t>
  </si>
  <si>
    <t>Use incremental = TRUE option to load new files</t>
  </si>
  <si>
    <t>COPY INTO does not support incremental load, use AUTO LOADER</t>
  </si>
  <si>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</si>
  <si>
    <t>What is the main difference between the below two commands? INSERT OVERWRITE table_name SELECT * FROM table CREATE OR REPLACE TABLE table_name AS SELECT * FROM table</t>
  </si>
  <si>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</si>
  <si>
    <t xml:space="preserve">INSERT OVERWRITE replaces data by default, CREATE OR REPLACE replaces data and Schema by default						</t>
  </si>
  <si>
    <t xml:space="preserve">INSERT OVERWRITE replaces data and schema by default, CREATE OR REPLACEreplaces data by default						</t>
  </si>
  <si>
    <t xml:space="preserve">INSERT OVERWRITE maintains historical data versions by default, CREATE OR REPLACEclears the historical data versions by default						</t>
  </si>
  <si>
    <t xml:space="preserve">Both are same and results in identical outcomes						</t>
  </si>
  <si>
    <t>Which of the following array functions takes input column return unique list of values in an array?</t>
  </si>
  <si>
    <t>COLLECT_LIST</t>
  </si>
  <si>
    <t>COLLECT_SET</t>
  </si>
  <si>
    <t>COLLECT_UNION</t>
  </si>
  <si>
    <t>ARRAY_INTERSECT</t>
  </si>
  <si>
    <t>ARRAY_UNION</t>
  </si>
  <si>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</si>
  <si>
    <t>TRANSFORM -&gt; Transforms elements in an array in expr using the function func.
transform(expr, func)</t>
  </si>
  <si>
    <t>APPLY</t>
  </si>
  <si>
    <t>MULTIPLY</t>
  </si>
  <si>
    <t>ARRAYEXPR</t>
  </si>
  <si>
    <t>FORALL</t>
  </si>
  <si>
    <t>Which of the statements are incorrect when choosing between lakehouse and Datawarehouse?</t>
  </si>
  <si>
    <t>Lakehouse can have special indexes and caching which are optimized for Machine learning</t>
  </si>
  <si>
    <t>Lakehouse cannot serve low query latency with high reliability for BI workloads, only suitable for batch workloads.</t>
  </si>
  <si>
    <t>Lakehouse can be accessed through various API’s including but not limited to Python/R/SQL</t>
  </si>
  <si>
    <t>Traditional Data warehouses have storage and compute are coupled.</t>
  </si>
  <si>
    <t>Lakehouse uses standard data formats like Parquet.</t>
  </si>
  <si>
    <t>The answer is Lakehouse cannot serve low query latency with high reliability for BI workloads, only suitable for batch workloads.	Lakehouse can replace traditional warehouses by leveraging storage and compute optimizations like caching to serve them with low query latency with high reliability.	Focus on comparisons between Spark Cache vs Delta Cache.	https://docs.databricks.com/delta/optimizations/delta-cache.html	What Is a Lakehouse? – The Databricks Blog		
See Graphic</t>
  </si>
  <si>
    <t>Which of the statements are correct about lakehouse?</t>
  </si>
  <si>
    <t>In Lakehouse Storage and compute are coupled</t>
  </si>
  <si>
    <t>Lakehouse supports schema enforcement and evolution</t>
  </si>
  <si>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</si>
  <si>
    <t>Which of the following are stored in the control pane of Databricks Architecture?</t>
  </si>
  <si>
    <t>Job Clusters</t>
  </si>
  <si>
    <t>All Purpose Clusters</t>
  </si>
  <si>
    <t>Databricks Web Application</t>
  </si>
  <si>
    <t>Delta tables</t>
  </si>
  <si>
    <t>Correct option D. Databricks Web Application Control plane hosts the web UI, notebooks, and management services.	Incorrect	option A. Job Clusters	Customer-provisioned compute resources.	option B. All Purpose Clusters	Interactive clusters in data plane.	option C. Databricks Filesystem</t>
  </si>
  <si>
    <t>You have written a notebook to generate a summary data set for reporting, Notebook was scheduled using the job cluster, but you realized it takes 8 minutes to start the cluster, what feature can be used to start the cluster in a timely fashion so your job can run immediatley?</t>
  </si>
  <si>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</si>
  <si>
    <t>Which of the following scenarios is the best fit for AUTO LOADER?</t>
  </si>
  <si>
    <t>Efficiently process new data incrementally from cloud object storage</t>
  </si>
  <si>
    <t>Efficiently move data incrementally from one delta table to another delta table</t>
  </si>
  <si>
    <t>Incrementally process new data from streaming data sources like Kafka into delta lake</t>
  </si>
  <si>
    <t>Incrementally process new data from relational databases like MySQL</t>
  </si>
  <si>
    <t>Efficiently copy data from one data lake location to another data lake location</t>
  </si>
  <si>
    <t xml:space="preserve">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Auto Loader	
</t>
  </si>
  <si>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</si>
  <si>
    <t>You are asked to setup an AUTO LOADER to process the incoming data, this data arrives in JSON format and get dropped into cloud object storage and you are required to process the data as soon as it arrives in cloud storage, which of the following statements is correct</t>
  </si>
  <si>
    <t>AUTO LOADER is native to DELTA lake it cannot support external cloud object storage</t>
  </si>
  <si>
    <t>AUTO LOADER has to be triggered from an external process when the file arrives in the cloud storage</t>
  </si>
  <si>
    <t>AUTO LOADER needs to be converted to a Structured stream process</t>
  </si>
  <si>
    <t>AUTO LOADER can only process continuous data when stored in DELTA lake</t>
  </si>
  <si>
    <t>AUTO LOADER can support file notification method so it can process data as it arrives</t>
  </si>
  <si>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</si>
  <si>
    <t>What is the main difference between the bronze layer and silver layer in a medallion architecture?</t>
  </si>
  <si>
    <t>Duplicates are removed in bronze, schema is applied in silver</t>
  </si>
  <si>
    <t>Silver may contain aggregated data</t>
  </si>
  <si>
    <t>Bronze is raw copy of ingested data, silver contains data with production schema and optimized for ELT/ETL throughput</t>
  </si>
  <si>
    <t>Bad data is filtered in Bronze, silver is a copy of bronze data</t>
  </si>
  <si>
    <t>Medallion Architecture – Databricks	Exam focus: Please review the below image and understand the role of each layer(bronze, silver, gold) in medallion architecture, you will see varying questions targeting each layer and its purpose.					
See Graphic</t>
  </si>
  <si>
    <t>What is the main difference between the silver layer and gold layer in medallion architecture?</t>
  </si>
  <si>
    <t>Silver optimized to perform ETL, Gold is optimized query performance</t>
  </si>
  <si>
    <t>Gold is optimized go perform ETL, Silver is optimized for query performance</t>
  </si>
  <si>
    <t>Silver is copy of Bronze, Gold is a copy of Silver</t>
  </si>
  <si>
    <t>Silver is stored in Delta Lake, Gold is stored in memory</t>
  </si>
  <si>
    <t>Silver may contain aggregated data, gold may preserve the granularity of original data</t>
  </si>
  <si>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</si>
  <si>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Which of the following SQL commands are used to append rows to an existing delta table?</t>
  </si>
  <si>
    <t>INSERT INTO table_name</t>
  </si>
  <si>
    <t xml:space="preserve">The answer is INSERT INTO table_name	Insert adds rows to an existing table, this is very similar to add rows a traditional Database or Datawarehouse.					</t>
  </si>
  <si>
    <t>COPY DELTA INTO table_name</t>
  </si>
  <si>
    <t>APPEND INTO DELTA table_name</t>
  </si>
  <si>
    <t>APPEND INTO table_name</t>
  </si>
  <si>
    <t>A Directory where parquet data files are stored, a sub directory _delta_log where meta data, and the transaction log is stored as JSON files.</t>
  </si>
  <si>
    <t>A Directory where parquet data files are stored, all of the meta data is stored in memory</t>
  </si>
  <si>
    <t>A Directory where parquet data files are stored in Data plane, a sub directory _delta_log where meta data, history and log is stored in control pane.</t>
  </si>
  <si>
    <t>A Directory where parquet data files are stored, all of the metadata is stored in parquet files</t>
  </si>
  <si>
    <t>Data is stored in Data plane and Metadata and delta log are stored in control pane</t>
  </si>
  <si>
    <t>How are Delta tables stored?</t>
  </si>
  <si>
    <t xml:space="preserve">The answer is A Directory where parquet data files are stored, a sub directory _delta_log where meta data, and the transaction log is stored as JSON files.						</t>
  </si>
  <si>
    <t>A dataset has been defined using Delta Live Tables and includes an expectations clause: CONSTRAINT valid_timestamp EXPECT (timestamp &gt; ‘2020-01-01‘) What is the expected behavior when a batch of data containing data that violates these constraints is processed?</t>
  </si>
  <si>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</si>
  <si>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</si>
  <si>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</si>
  <si>
    <t>You are asked to debug a databricks job that is taking too long to run on Sunday’s, what are the steps you are going to take to identify the step that is taking longer to run?</t>
  </si>
  <si>
    <t>A notebook activity of job run is only visible when using all-purpose cluster.</t>
  </si>
  <si>
    <t>Under Workflow UI and jobs select job you want to monitor and select the run, notebook activity can be viewed.</t>
  </si>
  <si>
    <t>Enable debug mode in the Jobs to see the output activity of a job, output should be available to view.</t>
  </si>
  <si>
    <t>Once a job is launched, you cannot access the job’s notebook activity.</t>
  </si>
  <si>
    <t>Use the compute’s spark UI to monitor the job activity.</t>
  </si>
  <si>
    <t>The answer is, Under Workflow UI and jobs select job you want to monitor and select the run, notebook activity can be viewed.	You have the ability to view current active runs or completed runs, once you click the run you can see the					
See Graphic</t>
  </si>
  <si>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</si>
  <si>
    <t>All-purpose clusters cannot be used for Job clusters, due to performance issues.</t>
  </si>
  <si>
    <t>All-purpose clusters take longer to start the cluster vs a job cluster</t>
  </si>
  <si>
    <t>All-purpose clusters are less expensive than the job clusters</t>
  </si>
  <si>
    <t>All-purpose clusters are more expensive than the job clusters</t>
  </si>
  <si>
    <t>All-purpose cluster provide interactive messages that can not be viewed in a job</t>
  </si>
  <si>
    <t>Pricing for All-purpose clusters are more expensive than the job clusters	AWS pricing(Aug 15th 2022)					
See Graphic</t>
  </si>
  <si>
    <t>Your team has hundreds of jobs running but it is difficult to track cost of each job run, you are asked to provide a recommendation on how to monitor and track cost across various workloads</t>
  </si>
  <si>
    <t>Create jobs in different workspaces, so we can track the cost easily</t>
  </si>
  <si>
    <t>Use Tags, during job creation so cost can be easily tracked</t>
  </si>
  <si>
    <t>Use job logs to monitor and track the costs</t>
  </si>
  <si>
    <t>Use workspace admin reporting</t>
  </si>
  <si>
    <t>Use a single cluster for all the jobs, so cost can be easily tracked</t>
  </si>
  <si>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</si>
  <si>
    <t>You are asked to setup two tasks in a databricks job, the first task runs a notebook to download the data from a remote system, and the second task is a DLT pipeline that can process this data, how do you plan to configure this in Jobs UI</t>
  </si>
  <si>
    <t>Single job cannot have a notebook task and DLT Pipeline task, use two different jobs with linear dependency.</t>
  </si>
  <si>
    <t>Jobs UI does not support DTL pipeline, setup the first task using jobs UI and setup the DLT to run in continuous mode.</t>
  </si>
  <si>
    <t>Jobs UI does not support DTL pipeline, setup the first task using jobs UI and setup the DLT to run in trigger mode.</t>
  </si>
  <si>
    <t>Single job can be used to setup both notebook and DLT pipeline, use two different tasks with linear dependency.</t>
  </si>
  <si>
    <t>Add first step in the DLT pipeline and run the DLT pipeline as triggered mode in JOBS UI</t>
  </si>
  <si>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</si>
  <si>
    <t>You are asked to set up an alert to notify in an email every time a KPI indicater increases beyond a threshold value, team also asked you to include the actual value in the alert email notification.</t>
  </si>
  <si>
    <t>Use notebook and python code to run every minute, using python variables to capture send the information in an email</t>
  </si>
  <si>
    <t>Setup an alert but use the default template to notify the message in email’s subject</t>
  </si>
  <si>
    <t>Setup an alert but use the custom template to notify the message in email’s subject</t>
  </si>
  <si>
    <t>Use the webhook destination instead so alert message can be customized</t>
  </si>
  <si>
    <t>Use custom email hook to customize the message</t>
  </si>
  <si>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</si>
  <si>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</si>
  <si>
    <t>Use notebook and Jobs to use python to publish DQ metrics</t>
  </si>
  <si>
    <t>Setup an alert to send an email, use python to parse email, and publish a webhook message</t>
  </si>
  <si>
    <t>Setup an alert with custom template</t>
  </si>
  <si>
    <t>Setup an alert with custom Webhook destination</t>
  </si>
  <si>
    <t>Setup an alert with dynamic template</t>
  </si>
  <si>
    <t xml:space="preserve">Alerts supports multiple destinations, email is the default destination.	Alert destinations | Databricks on AWS			
See Graphic		</t>
  </si>
  <si>
    <t>One of the queries in the Databricks SQL Dashboard takes a long time to refresh, which of the below steps can be taken to identify the root cause of this issue?</t>
  </si>
  <si>
    <t>Restart the SQL endpoint</t>
  </si>
  <si>
    <t>Select the SQL endpoint cluster, spark UI, SQL tab to see the execution plan and time spent in each step</t>
  </si>
  <si>
    <t>Run optimize and Z ordering</t>
  </si>
  <si>
    <t>Change the Spot Instance Policy from “Cost optimized” to “Reliability Optimized.”</t>
  </si>
  <si>
    <t>Use Query History, to view queries and select query, and check query profile to time spent in each step</t>
  </si>
  <si>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</si>
  <si>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</si>
  <si>
    <t>Move the workspace from Central US zone to East US Zone</t>
  </si>
  <si>
    <t>Change the timestamp on the delta tables to America/New_York format</t>
  </si>
  <si>
    <t>Change the spark configuration of SQL endpoint to format the timestamp to America/New_York</t>
  </si>
  <si>
    <t>Under SQL Admin Console, set the SQL configuration parameter time zone to America/New_York</t>
  </si>
  <si>
    <t>Add SET Timezone = America/New_York on every of the SQL queries in the dashboard.</t>
  </si>
  <si>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</si>
  <si>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</si>
  <si>
    <t>They can turn on the Serverless feature for the SQL endpoint.</t>
  </si>
  <si>
    <t>They can increase the maximum bound of the SQL endpoint’s scaling range.</t>
  </si>
  <si>
    <t>They can increase the cluster size(2X-Small to 4X-Large) of the SQL endpoint.</t>
  </si>
  <si>
    <t>They can turn on the Serverless feature for the SQL endpoint and change the Spot Instance Policy from “Cost optimized”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</si>
  <si>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</si>
  <si>
    <t>The data engineering team is using a bunch of SQL queries to review data quality and monitor the ETL job every day, which of the following approaches can be used to set up a schedule and automate this process?</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</si>
  <si>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</si>
  <si>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</si>
  <si>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</si>
  <si>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refresh every 12 hours from the SQL endpoint’s page in Databricks SQL</t>
  </si>
  <si>
    <t>Individual queries can be refreshed on a schedule basis,						
See Graphic</t>
  </si>
  <si>
    <t>Unity catalog helps you manage the below resources in Databricks at account level</t>
  </si>
  <si>
    <t>Tables</t>
  </si>
  <si>
    <t>ML Models</t>
  </si>
  <si>
    <t>Dashboards</t>
  </si>
  <si>
    <t>Meta Stores and Catalogs</t>
  </si>
  <si>
    <t>All of the above</t>
  </si>
  <si>
    <t xml:space="preserve">The answer is all of the above.	Unity Catalog is a unified governance solution for all data and AI assets including files, tables, machine learning models, and dashboards in your lakehouse on any cloud.					</t>
  </si>
  <si>
    <t>What is the top-level object in unity catalog?</t>
  </si>
  <si>
    <t>Catalog</t>
  </si>
  <si>
    <t>Table</t>
  </si>
  <si>
    <t>Workspace</t>
  </si>
  <si>
    <t>Metastore</t>
  </si>
  <si>
    <t>Key concepts – Azure Databricks | Microsoft Docs						
See Graphic</t>
  </si>
  <si>
    <t>Kevin is the owner of the schema sales, Steve wanted to create new table in sales schema called regional_sales so Kevin grants the create table permissions to Steve. Steve creates the new table called regional_sales in sales schema, who is the owner of the table regional_sales</t>
  </si>
  <si>
    <t>Kevin is the owner of sales schema, all the tables in the schema will be owned by Kevin</t>
  </si>
  <si>
    <t>Steve is the owner of the table</t>
  </si>
  <si>
    <t>By default ownership is assigned DBO</t>
  </si>
  <si>
    <t>By default ownership is assigned to DEFAULT_OWNER</t>
  </si>
  <si>
    <t>Kevin and Smith both are owners of table</t>
  </si>
  <si>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</si>
  <si>
    <t>You were asked to setup a new all-purpose cluster, but the cluster is unable to start which of the following steps do you need to take to identify the root cause of the issue and the reason why the cluster was unable to start?</t>
  </si>
  <si>
    <t>Check the cluster driver logs</t>
  </si>
  <si>
    <t>Check the cluster event logs</t>
  </si>
  <si>
    <t>Workspace logs</t>
  </si>
  <si>
    <t>Storage account</t>
  </si>
  <si>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</si>
  <si>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</si>
  <si>
    <t>Reduce the size of the cluster</t>
  </si>
  <si>
    <t>Reduce the number of nodes and enable auto scale</t>
  </si>
  <si>
    <t>Enable auto termination after 30 mins</t>
  </si>
  <si>
    <t>Change the cluster all-purpose to job cluster when scheduling the job</t>
  </si>
  <si>
    <t>Change the cluster mode from all-purpose to single-mode</t>
  </si>
  <si>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</si>
  <si>
    <t>Which of the following commands can be used to run one notebook from another notebook?</t>
  </si>
  <si>
    <t>notebook.utils.run(“full notebook path“)</t>
  </si>
  <si>
    <t>execute.utils.run(“full notebook path“)</t>
  </si>
  <si>
    <t>dbutils.notebook.run(“full notebook path“)</t>
  </si>
  <si>
    <t>only job clusters can run notebook</t>
  </si>
  <si>
    <t>spark.notebook.run(“full notebook path“)</t>
  </si>
  <si>
    <t xml:space="preserve">The answer is dbutils.notebook.run(“ full notebook path “)	Here is the full command with additional options.	run(path: String, timeout_seconds: int, arguments: Map): String	dbutils.notebook.run(“ful-notebook-name“, 60, {“argument“: “data“, “argument2“: “data2“, …})			</t>
  </si>
  <si>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</si>
  <si>
    <t>Storage</t>
  </si>
  <si>
    <t>General</t>
  </si>
  <si>
    <t>Conceptual</t>
  </si>
  <si>
    <t>Structured Streaming</t>
  </si>
  <si>
    <t>Delta Live Tables</t>
  </si>
  <si>
    <t>Compute</t>
  </si>
  <si>
    <t>Clusters</t>
  </si>
  <si>
    <t>Jobs</t>
  </si>
  <si>
    <t>Governance</t>
  </si>
  <si>
    <t>MLflow</t>
  </si>
  <si>
    <t>The data engineering team noticed that one of the job fails randomly as a result of using spot instances, what feature in Jobs/Tasks can be used to address this issue so the job is more stable when using spot instances?</t>
  </si>
  <si>
    <t>Use Databrick REST API to monitor and restart the job</t>
  </si>
  <si>
    <t>Use Jobs runs, active runs UI section to monitor and restart the job</t>
  </si>
  <si>
    <t>Add second task and add a check condition to rerun the first task if it fails</t>
  </si>
  <si>
    <t>Restart the job cluster, job automatically restarts</t>
  </si>
  <si>
    <t>Add a retry policy to the task</t>
  </si>
  <si>
    <t>The answer is,  Add a retry policy to the task	Tasks in Jobs support Retry Policy, which can be used to retry a failed tasks,  especially when using spot instance it is common to have failed executors or driver.					
See Graphic</t>
  </si>
  <si>
    <t>Why does AUTO LOADER require schema location?</t>
  </si>
  <si>
    <t>Schema location is used to store user provided schema</t>
  </si>
  <si>
    <t>Schema location is used to identify the schema of target table</t>
  </si>
  <si>
    <t>AUTO LOADER does not require schema location, because its supports Schema evolution</t>
  </si>
  <si>
    <t>Schema location is used to store schema inferred by AUTO LOADER</t>
  </si>
  <si>
    <t>Schema location is used to identify the schema of target table and source table</t>
  </si>
  <si>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</si>
  <si>
    <t>Which of the following statements are incorrect about the lakehouse</t>
  </si>
  <si>
    <t>Support end-to-end streaming and batch workloads</t>
  </si>
  <si>
    <t>Supports ACID</t>
  </si>
  <si>
    <t>Support for diverse data types that can store both structured and unstructured</t>
  </si>
  <si>
    <t>Supports BI and Machine learning</t>
  </si>
  <si>
    <t>Storage is coupled with Compute</t>
  </si>
  <si>
    <t>The answer is,  Storage is coupled with Compute.	The question was asking what is the incorrect option, in Lakehouse Storage is decoupled with compute so both can scale independently.					
See Graphic</t>
  </si>
  <si>
    <t>Which of the following locations in Databricks product architecture hosts jobs/pipelines and queries?</t>
  </si>
  <si>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</si>
  <si>
    <t>You are currently working on a notebook that will populate a reporting table for downstream process consumption, this process needs to run on a schedule every hour. what type of cluster are you going to use to set up this job?</t>
  </si>
  <si>
    <t>Since it’s just a single job and we need to run every hour, we can use an all-purpose cluster</t>
  </si>
  <si>
    <t>The job cluster is best suited for this purpose.</t>
  </si>
  <si>
    <t>Use Azure VM to read and write delta tables in Python</t>
  </si>
  <si>
    <t>Use delta live table pipeline to run in continuous mode</t>
  </si>
  <si>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</si>
  <si>
    <t>You are currently working on a project that requires the use of SQL and Python in a given notebook, what would be your approach</t>
  </si>
  <si>
    <t>Create two separate notebooks, one for SQL and the second for Python</t>
  </si>
  <si>
    <t>A single notebook can support multiple languages, use the magic command to switch between the two.</t>
  </si>
  <si>
    <t>Use an All-purpose cluster for python, SQL endpoint for SQL</t>
  </si>
  <si>
    <t>Use job cluster to run python and SQL Endpoint for SQL</t>
  </si>
  <si>
    <t xml:space="preserve">The answer is, A single notebook can support multiple languages, use the magic command to switch between the two.	Use %sql and %python magic commands within the same notebook.					</t>
  </si>
  <si>
    <t>Which of the following statements are correct on how Delta Lake implements a lake house?</t>
  </si>
  <si>
    <t>Delta lake uses a proprietary format to write data, optimized for cloud storage</t>
  </si>
  <si>
    <t>Using Apache Hadoop on cloud object storage</t>
  </si>
  <si>
    <t>Delta lake always stores meta data in memory vs storage</t>
  </si>
  <si>
    <t>Delta lake uses open source, open format, optimized cloud storage and scalable meta data</t>
  </si>
  <si>
    <t>Delta lake stores data and meta data in computes memory</t>
  </si>
  <si>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</si>
  <si>
    <t xml:space="preserve">CREATE OR REPLACE DELTA TABLE transactions (	transactionId int,	transactionDate timestamp,	unitsSold int)			</t>
  </si>
  <si>
    <t xml:space="preserve">CREATE OR REPLACE TABLE IF EXISTS transactions (	transactionId int,	transactionDate timestamp,	unitsSold int)	FORMAT DELTA		</t>
  </si>
  <si>
    <t xml:space="preserve">CREATE IF EXSITS REPLACE TABLE transactions (	transactionId int,	transactionDate timestamp,	unitsSold int)			</t>
  </si>
  <si>
    <t xml:space="preserve">CREATE OR REPLACE TABLE transactions (	transactionId int,	transactionDate timestamp,	unitsSold int)			</t>
  </si>
  <si>
    <t xml:space="preserve">You were asked to create or overwrite an existing delta table to store the below transaction data.
transaction ID
1, 2
transactionDate
01-01-2021 09:10:24 AM
01-01-2022 10:30:30 AM
unitsSold
100, 10
</t>
  </si>
  <si>
    <t>The answer is	CREATE OR	REPLACE TABLE transactions (	transactionId int,	transactionDate timestamp,	unitsSold int)	When creating a table in Databricks by default the table is stored in DELTA format.</t>
  </si>
  <si>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</si>
  <si>
    <t>Use time travel feature to refer old data instead of manually copying</t>
  </si>
  <si>
    <t>Use DEEP CLONE to clone the table prior to update to make a backup copy</t>
  </si>
  <si>
    <t>Use SHADOW copy of the table as preferred backup choice</t>
  </si>
  <si>
    <t>Cloud object storage retains previous version of the file</t>
  </si>
  <si>
    <t>Cloud object storage automatically backups the data</t>
  </si>
  <si>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</si>
  <si>
    <t>What type of table is created when you create delta table with below command? CREATE TABLE transactions USING DELTA LOCATION “DBFS:/mnt/bronze/transactions“</t>
  </si>
  <si>
    <t>Managed delta table</t>
  </si>
  <si>
    <t>External table</t>
  </si>
  <si>
    <t>Managed table</t>
  </si>
  <si>
    <t>Temp table</t>
  </si>
  <si>
    <t>Delta Lake table</t>
  </si>
  <si>
    <t>Anytime a table is created using the LOCATION keyword it is considered an external table, below is the current syntax.	Syntax	CREATE TABLE table_name ( column column_data_type…) USING format LOCATION “dbfs:/“	format -&gt; DELTA, JSON, CSV, PARQUET, TEXT	I created the table command based on the above question, you can see it created an external table,		
See Graphic.</t>
  </si>
  <si>
    <t xml:space="preserve">Which of the following is the correct statement for a session scoped temporary view?	Temporary views are lost once the notebook is detached and re-attached	Temporary views stored in memory	Temporary views can be still accessed even if the notebook is detached and attached	Temporary views can be still accessed even if cluster is restarted	Temporary views are created in local_temp database	</t>
  </si>
  <si>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</si>
  <si>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</si>
  <si>
    <t>Overwrites the data in the table but preserves all historical versions of the data, you can time travel to previous versions</t>
  </si>
  <si>
    <t>Overwrites the current version of the data but clears all historical versions of the data, so you can not time travel to previous versions.</t>
  </si>
  <si>
    <t>Appends the data to the current version, you can time travel to previous versions</t>
  </si>
  <si>
    <t>By default, overwrites the data and schema, you cannot perform time travel</t>
  </si>
  <si>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</si>
  <si>
    <t>Which of the following SQL statement can be used to query a table by eliminating duplicate rows from the query results?</t>
  </si>
  <si>
    <t>SELECT DISTINCT * FROM table_name HAVING COUNT(*) &gt; 1</t>
  </si>
  <si>
    <t>SELECT DISTINCT_ROWS (*) FROM table_name</t>
  </si>
  <si>
    <t>SELECT * FROM table_name GROUP BY * HAVING COUNT(*) &lt; 1</t>
  </si>
  <si>
    <t>SELECT * FROM table_name GROUP BY * HAVING COUNT(*) &gt; 1</t>
  </si>
  <si>
    <t xml:space="preserve">The  answer is  SELECT DISTINCT * FROM table_name						</t>
  </si>
  <si>
    <t>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t>
  </si>
  <si>
    <t>CREATE UDF FUNCTION udf_convert(temp DOUBLE, measure STRING) RETURN CASE WHEN measure == ‘F‘ then (temp * 9/5) + 32 ELSE (temp – 33 ) * 5/9 END</t>
  </si>
  <si>
    <t>CREATE FUNCTION udf_convert(temp DOUBLE, measure STRING) RETURN CASE WHEN measure == ‘F‘ then (temp * 9/5) + 32 ELSE (temp – 33 ) * 5/9 END</t>
  </si>
  <si>
    <t>CREATE FUNCTION udf_convert(temp DOUBLE, measure STRING) RETURNS DOUBLE RETURN CASE WHEN measure == ‘F‘ then (temp * 9/5) + 32 ELSE (temp – 33 ) * 5/9 END</t>
  </si>
  <si>
    <t>CREATE USER FUNCTION udf_convert(temp DOUBLE, measure STRING) RETURNS DOUBLE RETURN CASE WHEN measure == ‘F‘ then (temp * 9/5) + 32 ELSE (temp – 33 ) * 5/9 END</t>
  </si>
  <si>
    <t>CREATE FUNCTION udf_convert(temp DOUBLE, measure STRING)
RETURNS DOUBLE
RETURN CASE WHEN measure == ‘F’ then (temp * 9/5) + 32
ELSE (temp – 33 ) * 5/9
END</t>
  </si>
  <si>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</si>
  <si>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WITH CTE as (SELECT FLATTEN (performance) FROM table_name)
SELECT SUM (sales) FROM CTE</t>
  </si>
  <si>
    <t>select aggregate(flatten(collect_list(performance.sales)), 0, (x, y) -&gt; x + y)
as total_sales from sales</t>
  </si>
  <si>
    <t>SELECT SUM(SLICE (performance, sales)) FROM employee
select reduce(flatten(collect_list(performance:sales)), 0, (x, y) -&gt; x + y)
as total_sales from sales</t>
  </si>
  <si>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</si>
  <si>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Which of the following statements can be used to test the functionality of code to test number of rows in the table equal to 10 in python?
row_count = spark.sql(“select count(*) from table“).collect()[0][0]</t>
  </si>
  <si>
    <t>assert (row_count = 10, “Row count did not match“)</t>
  </si>
  <si>
    <t>assert if (row_count = 10, “Row count did not match“)</t>
  </si>
  <si>
    <t>assert row_count == 10, “Row count did not match“</t>
  </si>
  <si>
    <t>assert if row_count == 10, “Row count did not match“</t>
  </si>
  <si>
    <t>assert row_count = 10, “Row count did not match“</t>
  </si>
  <si>
    <t>The answer is assert row_count == 10, “Row count did not match“
Review below documentation
Assert Python</t>
  </si>
  <si>
    <t>How do you handle failures gracefully when writing code in Pyspark,  fill in the blanks to complete the below statement _____ Spark.read.table(“table_name“).select(“column“).write.mode(“append“).SaveAsTable(“new_table_name“) _____ print(f“query failed“)</t>
  </si>
  <si>
    <t>try: failure:</t>
  </si>
  <si>
    <t>try: catch:</t>
  </si>
  <si>
    <t>try: except:</t>
  </si>
  <si>
    <t>try: fail:</t>
  </si>
  <si>
    <t>try: error:</t>
  </si>
  <si>
    <t xml:space="preserve">The answer is try: and except:						</t>
  </si>
  <si>
    <t>Which of the following commands results in the successful creation of a view on top of the delta stream(stream on delta table)?</t>
  </si>
  <si>
    <t>Spark.read.format(“delta“).table(“sales“).createOrReplaceTempView(“streaming_vw“)</t>
  </si>
  <si>
    <t>Spark.readStream.format(“delta“).table(“sales“).createOrReplaceTempView(“streaming_vw“)</t>
  </si>
  <si>
    <t>Spark.read.format(“delta“).table(“sales“).mode(“stream“).createOrReplaceTempView(“streaming_vw“)</t>
  </si>
  <si>
    <t>Spark.read.format(“delta“).table(“sales“).trigger(“stream“).createOrReplaceTempView(“streaming_vw“)</t>
  </si>
  <si>
    <t>Spark.read.format(“delta“).stream(“sales“).createOrReplaceTempView(“streaming_vw“)</t>
  </si>
  <si>
    <t>You can not create a view on streaming data source.</t>
  </si>
  <si>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</si>
  <si>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</si>
  <si>
    <t>Which of the following data workloads will utilize a gold table as its source?</t>
  </si>
  <si>
    <t>A job that queries aggregated data that already feeds into a dashboard</t>
  </si>
  <si>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</si>
  <si>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</si>
  <si>
    <t>AUTO LOADER</t>
  </si>
  <si>
    <t>DELTA LIVE TABLES</t>
  </si>
  <si>
    <t>JOBS and TASKS</t>
  </si>
  <si>
    <t>UNITY Catalog and Data Governance</t>
  </si>
  <si>
    <t>STRUCTURED STREAMING with MULTI HOP</t>
  </si>
  <si>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</si>
  <si>
    <t>While investigating a data issue in a Delta table, you wanted to review logs to see when and who updated the table, what is the best way to review this data?</t>
  </si>
  <si>
    <t>Review event logs in the Workspace</t>
  </si>
  <si>
    <t>Run SQL SHOW HISTORY table_name</t>
  </si>
  <si>
    <t>Check Databricks SQL Audit logs</t>
  </si>
  <si>
    <t>Run SQL command DESCRIBE HISTORY table_name</t>
  </si>
  <si>
    <t>Review workspace audit logs</t>
  </si>
  <si>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</si>
  <si>
    <t>While investigating a performance issue, you realized that you have too many small files for a given table, which command are you going to run to fix this issue</t>
  </si>
  <si>
    <t>The answer is OPTIMIZE table_name,	Optimize compacts small parquet files into a bigger file, by default the size of the files are determined based on the table size at the time of OPTIMIZE, the file size can also be set manually or adjusted based on the workload.	https://docs.databricks.com/delta/optimizations/file-mgmt.html	Tune file size based on Table size	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		
See Graphic.</t>
  </si>
  <si>
    <t>VACUUM table_name</t>
  </si>
  <si>
    <t>MERGE table_name</t>
  </si>
  <si>
    <t>SHRINK table_name</t>
  </si>
  <si>
    <t>OPTIMIZE table_name</t>
  </si>
  <si>
    <t>When building a DLT s pipeline you have two options to create a live tables, what is the main difference between CREATE STREAMING LIVE TABLE vs CREATE LIVE TABLE?</t>
  </si>
  <si>
    <t>CREATE STREAMING LIVE table is used in MULTI HOP Architecture</t>
  </si>
  <si>
    <t>CREATE LIVE TABLE is used when working with Streaming data sources and Incremental data</t>
  </si>
  <si>
    <t>CREATE STREAMING LIVE TABLE is used when working with Streaming data sources and Incremental data There is no difference both are the same,</t>
  </si>
  <si>
    <t>CREATE STRAMING LIVE will be deprecated soon</t>
  </si>
  <si>
    <t>CREATE LIVE TABLE is used in DELTA LIVE TABLES,</t>
  </si>
  <si>
    <t>CREATE STREAMING LIVE can only used in Structured Streaming applications</t>
  </si>
  <si>
    <t xml:space="preserve">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	Incorrect	Option A (CREATE STREAMING LIVE table is used in MULTI HOP Architecture): Multi-hop (medallion) architecture refers to bronze/silver/gold layering, not specific to streaming table creation syntax.	Option B (CREATE LIVE TABLE is used when working with Streaming data sources and Incremental data): CREATE LIVE TABLE handles batch/static data; streaming requires the explicit STREAMING keyword for incremental processing.	Option D (There is no difference both are the same, CREATE STRAMING LIVE will be deprecated soon): Distinct commands exist with different data processing modes; no deprecation announced.	Option E (CREATE LIVE TABLE is used in DELTA LIVE TABLES, CREATE STREAMING LIVE can only used in Structured Streaming applications): Both commands are DLT-native; streaming tables are DLT-specific, not limited to standalone Structured Streaming.	</t>
  </si>
  <si>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</si>
  <si>
    <t>Under jobs UI select the job you are interested, under runs we can see current active runs and last 60 days historical run</t>
  </si>
  <si>
    <t>Under jobs UI select the job cluster, under spark UI select the application job logs, then you can access last 60 day historical runs</t>
  </si>
  <si>
    <t>Under Workspace logs, select job logs and select the job you want to monitor to view the last 60 day historical runs</t>
  </si>
  <si>
    <t>Under Compute UI, select Job cluster and select the job cluster to see last 60 day historical runs</t>
  </si>
  <si>
    <t>Historical job runs can only be accessed by REST API</t>
  </si>
  <si>
    <t>What is the type of table created when you issue SQL DDL command CREATE TABLE sales (id int, units int)</t>
  </si>
  <si>
    <t>Query fails due to missing location</t>
  </si>
  <si>
    <t>Query fails due to missing format</t>
  </si>
  <si>
    <t>Managed Delta table</t>
  </si>
  <si>
    <t>External Table</t>
  </si>
  <si>
    <t>Managed Parquet table</t>
  </si>
  <si>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</si>
  <si>
    <t>They can turn on the Serverless feature for the SQL endpoint(SQL warehouse).</t>
  </si>
  <si>
    <t>They can increase the maximum bound of the SQL endpoint(SQL warehouse)’s scaling range</t>
  </si>
  <si>
    <t>They can increase the warehouse size from 2X-Smal to 4XLarge of the SQL endpoint(SQL warehouse).</t>
  </si>
  <si>
    <t>They can turn on the Auto Stop feature for the SQL endpoint(SQL warehouse).</t>
  </si>
  <si>
    <t>They can turn on the Serverless feature for the SQL endpoint(SQL warehouse) and change the Spot Instance Policy to “Reliability Optimized.”</t>
  </si>
  <si>
    <t>Which of the below SQL commands creates a session scoped temporary view?</t>
  </si>
  <si>
    <t>CREATE OR</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</si>
  <si>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</si>
  <si>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</si>
  <si>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</si>
  <si>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</si>
  <si>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</si>
  <si>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</si>
  <si>
    <t>They can turn on the Serverless feature for the SQL endpoint(SQL Warehouse).</t>
  </si>
  <si>
    <t>They can decrease the maximum bound of the SQL endpoint(SQL Warehouse) scaling range.</t>
  </si>
  <si>
    <t>They can decrease the cluster size of the SQL endpoint(SQL Warehouse).</t>
  </si>
  <si>
    <t>They can turn on the Auto Stop feature for the SQL endpoint(SQL Warehouse).</t>
  </si>
  <si>
    <t>They can turn on the Serverless feature for the SQL endpoint(SQL Warehouse) and change the Spot Instance Policy from “Reliability Optimized” to  “Cost optimized”</t>
  </si>
  <si>
    <t>Drop the customers database and associated tables and data, all of the tables inside the database are managed tables. Which of the following SQL commands will help you accomplish this?</t>
  </si>
  <si>
    <t>DROP DATABASE customers FORCE</t>
  </si>
  <si>
    <t>DROP DATABASE customers CASCADE</t>
  </si>
  <si>
    <t>DROP DATABASE customers  INCLUDE All the tables must be dropped first before dropping database</t>
  </si>
  <si>
    <t>DROP DELTA DATABSE customers</t>
  </si>
  <si>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</si>
  <si>
    <t>They can increase the maximum bound of the SQL endpoint(SQL warehouse) ’s scaling range.</t>
  </si>
  <si>
    <t>They can increase the cluster size from 2X-Small to 4X-Large of the SQL endpoint(SQL warehouse) .</t>
  </si>
  <si>
    <t>They can turn on the Auto Stop feature for the SQL endpoint(SQL warehouse) .</t>
  </si>
  <si>
    <t>They can turn on the Serverless feature for the SQL endpoint(SQL warehouse)  and change the Spot Instance Policy from “Cost optimized” to “Reliability Optimized.”</t>
  </si>
  <si>
    <t>Define an external SQL table by connecting to a local instance of an SQLite database using JDBC</t>
  </si>
  <si>
    <t>CREATE TABLE users_jdbc USING SQLITE OPTIONS ( url = “jdbc:/sqmple_db“, dbtable = “users“ )</t>
  </si>
  <si>
    <t>CREATE TABLE users_jdbc USING SQL URL = {server:“jdbc:/sqmple_db“,dbtable: “users”}</t>
  </si>
  <si>
    <t>CREATE TABLE users_jdbc USING SQL OPTIONS ( url = “jdbc:sqlite:/sqmple_db“, dbtable = “users“ )</t>
  </si>
  <si>
    <t>CREATE TABLE users_jdbc USING org.apache.spark.sql.jdbc.sqlite OPTIONS ( url = “jdbc:/sqmple_db“, dbtable = “users“ )</t>
  </si>
  <si>
    <t>CREATE TABLE users_jdbc USING org.apache.spark.sql.jdbc OPTIONS ( url = “jdbc:sqlite:/sqmple_db“, dbtable = “users“ )</t>
  </si>
  <si>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</si>
  <si>
    <t>They can increase the maximum bound of the SQL endpoint’s scaling range anywhere from between 1 to 100 to review the performance and select the size that meets the required SLA.</t>
  </si>
  <si>
    <t>They can increase the cluster size anywhere from X small to 3XL to review the performance and select the size that meets the required SLA.</t>
  </si>
  <si>
    <t>They can turn off the Auto Stop feature for the SQL endpoint to more than 30 mins.</t>
  </si>
  <si>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</si>
  <si>
    <t>UNCACHE TABLE table_name</t>
  </si>
  <si>
    <t>CACHE TABLE table_name</t>
  </si>
  <si>
    <t>REFRESH TABLE table_name</t>
  </si>
  <si>
    <t>BROADCAST TABLE table_name</t>
  </si>
  <si>
    <t>CLEAR CACH table_name</t>
  </si>
  <si>
    <t>Unity catalog simplifies managing multiple workspaces, by storing and managing permissions and ACL at _______ level</t>
  </si>
  <si>
    <t>Account</t>
  </si>
  <si>
    <t>Data pane</t>
  </si>
  <si>
    <t>Control pane</t>
  </si>
  <si>
    <t>The data engineering team is looking to add a new column to the table, but the QA team would like to test the change before implementing in production, which of the below options allow you to quickly copy the table from Prod to the QA environment, modify and run the tests?</t>
  </si>
  <si>
    <t>SHADOW CLONE</t>
  </si>
  <si>
    <t>ZERO COPY CLONE</t>
  </si>
  <si>
    <t>SHALLOW CLONE</t>
  </si>
  <si>
    <t>METADATA CLONE</t>
  </si>
  <si>
    <t>What is the best way to describe a data lakehouse compared to a data warehouse?</t>
  </si>
  <si>
    <t>A data lakehouse provides a relational system of data management</t>
  </si>
  <si>
    <t>A data lakehouse captures snapshots of data for version control purposes.</t>
  </si>
  <si>
    <t>A data lakehouse couples storage and compute for complete control.</t>
  </si>
  <si>
    <t>A data lakehouse utilizes proprietary storage formats for data.</t>
  </si>
  <si>
    <t>A data lakehouse enables both batch and streaming analytics.</t>
  </si>
  <si>
    <t>You are asked to write a python function that can read data from a delta table and return the DataFrame, which of the following is correct?</t>
  </si>
  <si>
    <t>Python function cannot return a DataFrame</t>
  </si>
  <si>
    <t>Write SQL UDF to return a DataFrame</t>
  </si>
  <si>
    <t>Write SQL UDF that can return tabular data</t>
  </si>
  <si>
    <t>Python function will result in out of memory error due to data volume</t>
  </si>
  <si>
    <t>Python function can return a DataFrame</t>
  </si>
  <si>
    <t>You are currently working on a production job failure with a job set up in job clusters due to a data issue, what cluster do you need to start to investigate and analyze the data?</t>
  </si>
  <si>
    <t>A Job cluster can be used to analyze the problem</t>
  </si>
  <si>
    <t>All-purpose cluster/ interactive cluster is the recommended way to run commands and view the data.</t>
  </si>
  <si>
    <t>Existing job cluster can be used to investigate the issue</t>
  </si>
  <si>
    <t>Databricks SQL Endpoint can be used to investigate the issue</t>
  </si>
  <si>
    <t>When writing streaming data, Spark’s structured stream supports the below write modes</t>
  </si>
  <si>
    <t>Append, Delta, Complete</t>
  </si>
  <si>
    <t>Delta, Complete, Continuous</t>
  </si>
  <si>
    <t>Append, Complete, Update</t>
  </si>
  <si>
    <t>Complete, Incremental, Update</t>
  </si>
  <si>
    <t>Append, overwrite, Continuous</t>
  </si>
  <si>
    <t>You noticed that colleague is manually copying the notebook with _bkp to store the previous versions, which of the following feature would you recommend instead.</t>
  </si>
  <si>
    <t>Databricks notebooks support change tracking and versioning</t>
  </si>
  <si>
    <t>Databricks notebooks should be copied to a local machine and setup source control locally to version the notebooks</t>
  </si>
  <si>
    <t>Databricks notebooks can be exported into dbc archive files and stored in data lake</t>
  </si>
  <si>
    <t>Databricks notebook can be exported as HTML and imported at a later time</t>
  </si>
  <si>
    <t>When using the complete mode to write stream data, how does it impact the target table?</t>
  </si>
  <si>
    <t>Entire stream waits for complete data to write</t>
  </si>
  <si>
    <t>Stream must complete to write the data</t>
  </si>
  <si>
    <t>Target table cannot be updated while stream is pending</t>
  </si>
  <si>
    <t>Target table is overwritten for each batch</t>
  </si>
  <si>
    <t>Delta commits transaction once the stream is stopped</t>
  </si>
  <si>
    <t>When working with AUTO LOADER you noticed that most of the columns that were inferred as part of loading are string data types including columns that were supposed to be integers, how can we fix this?</t>
  </si>
  <si>
    <t>Provide the schema of the source table in the cloudfiles.schemalocation</t>
  </si>
  <si>
    <t>Provide the schema of the target table in the cloudfiles.schemalocation</t>
  </si>
  <si>
    <t>Provide schema hints</t>
  </si>
  <si>
    <t>Update the checkpoint location</t>
  </si>
  <si>
    <t>Correct the incoming data by explicitly casting the data types</t>
  </si>
  <si>
    <t>Which of the following is a correct statement on how the data is organized in the storage when when managing a DELTA table?</t>
  </si>
  <si>
    <t>All of the data is broken down into one or many parquet files, log files are broken down into one or many JSON files, and each transaction creates a new data file(s) and log file.</t>
  </si>
  <si>
    <t>All of the data and log are stored in a single parquet file</t>
  </si>
  <si>
    <t>All of the data is broken down into one or many parquet files, but the log file is stored as a single json file, and every transaction creates a new data file(s) and log file gets appended.</t>
  </si>
  <si>
    <t>All of the data is broken down into one or many parquet files, log file is removed once the transaction is committed.</t>
  </si>
  <si>
    <t>All of the data is stored into one parquet file, log files are broken down into one or many json files.</t>
  </si>
  <si>
    <t>What is the underlying technology that makes the Auto Loader work?</t>
  </si>
  <si>
    <t>Loader</t>
  </si>
  <si>
    <t>DataFrames</t>
  </si>
  <si>
    <t>Live DataFames</t>
  </si>
  <si>
    <t>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t>
  </si>
  <si>
    <t>AUTO APPEND AUTO LOADER</t>
  </si>
  <si>
    <t>COPY INTO Structured Streaming Checkpoint</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</si>
  <si>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</si>
  <si>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format, checkpointlocation, schemalocation, overwrite</t>
  </si>
  <si>
    <t>cloudfiles.format, checkpointlocation, cloudfiles.schemalocation, overwrite</t>
  </si>
  <si>
    <t>cloudfiles.format, cloudfiles.schemalocation, checkpointlocation, mergeSchema</t>
  </si>
  <si>
    <t>cloudfiles.format, cloudfiles.schemalocation, checkpointlocation, overwrite</t>
  </si>
  <si>
    <t>cloudfiles.format, cloudfiles.schemalocation, checkpointlocation, append</t>
  </si>
  <si>
    <t>What is the purpose of the bronze layer in a Multi-hop architecture?</t>
  </si>
  <si>
    <t>Can be used to eliminate duplicate records</t>
  </si>
  <si>
    <t>Used as a data source for Machine learning applications.</t>
  </si>
  <si>
    <t>Perform data quality checks, corrupt data quarantined</t>
  </si>
  <si>
    <t>Contains aggregated data that is to be consumed into Silver</t>
  </si>
  <si>
    <t>Provides efficient storage and querying of full unprocessed history of data</t>
  </si>
  <si>
    <t>What is the purpose of a silver layer in Multi hop architecture?</t>
  </si>
  <si>
    <t>Replaces a traditional data lake</t>
  </si>
  <si>
    <t>Efficient storage and querying of full and unprocessed history of data</t>
  </si>
  <si>
    <t>A schema is enforced, with data quality checks.</t>
  </si>
  <si>
    <t>Refined views with aggregated data</t>
  </si>
  <si>
    <t>Optimized query performance for business-critical data</t>
  </si>
  <si>
    <t>What is the purpose of a gold layer in Multi-hop architecture?</t>
  </si>
  <si>
    <t>Optimizes ETL throughput and analytic query performance</t>
  </si>
  <si>
    <t>Eliminate duplicate records</t>
  </si>
  <si>
    <t>Preserves grain of original data, without any aggregations</t>
  </si>
  <si>
    <t>Data quality checks and schema enforcement</t>
  </si>
  <si>
    <t>Powers ML applications, reporting, dashboards and adhoc reports.</t>
  </si>
  <si>
    <t>You are currently asked to work on building a data pipeline, you have noticed that you are currently working on a very large scale ETL many data dependencies, which of the following tools can be used to address this problem?</t>
  </si>
  <si>
    <t>SQL Endpoints</t>
  </si>
  <si>
    <t>Data engineering team has provided 10 queries and asked Data Analyst team to build a dashboard and refresh the data every day at 8 AM, identify the best approach to set up data refresh for this dashaboard?</t>
  </si>
  <si>
    <t>Each query requires a separate task and setup 10 tasks under a single job to run at 8 AM to refresh the dashboard</t>
  </si>
  <si>
    <t>The entire dashboard with 10 queries can be refreshed at once, single schedule needs to be set up to refresh at 8 AM.</t>
  </si>
  <si>
    <t>Setup JOB with linear dependency to all load all 10 queries into a table so the dashboard can be refreshed at once.</t>
  </si>
  <si>
    <t>A dashboard can only refresh one query at a time, 10 schedules to set up the refresh.</t>
  </si>
  <si>
    <t>Use Incremental refresh to run at 8 AM every day.</t>
  </si>
  <si>
    <t>You are noticing job cluster is taking 6 to 8 mins to start which is delaying your job to finish on time, what steps you can take to reduce the amount of time cluster startup time</t>
  </si>
  <si>
    <t>Setup a second job ahead of first job to start the cluster, so the cluster is ready with resources when the job starts</t>
  </si>
  <si>
    <t>Use All purpose cluster instead to reduce cluster start up time</t>
  </si>
  <si>
    <t>Reduce the size of the cluster, smaller the cluster size shorter it takes to start the cluster</t>
  </si>
  <si>
    <t>Use cluster pools to reduce the startup time of the jobs</t>
  </si>
  <si>
    <t>Use SQL endpoints to reduce the startup time</t>
  </si>
  <si>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</si>
  <si>
    <t>They can set up an Alert for the accompanying dashboard to notify them if the returned value is greater than 60.</t>
  </si>
  <si>
    <t>They can set up an Alert for the query to notify when the ELT job fails.</t>
  </si>
  <si>
    <t>They can set up an Alert for the accompanying dashboard to notify when it has not refreshed in 60 minutes.</t>
  </si>
  <si>
    <t>They can set up an Alert for the query to notify them if the returned value is greater than 60.</t>
  </si>
  <si>
    <t>This type of alert is not possible in Databricks</t>
  </si>
  <si>
    <t>Which of the following programming languages can be used to build a Databricks SQL dashboard?</t>
  </si>
  <si>
    <t>Python</t>
  </si>
  <si>
    <t>Scala</t>
  </si>
  <si>
    <t>SQL</t>
  </si>
  <si>
    <t>R</t>
  </si>
  <si>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</si>
  <si>
    <t>They should use a single all-purpose cluster for all the tasks in the job</t>
  </si>
  <si>
    <t>They should use a shared job cluster for all the tasks in the job</t>
  </si>
  <si>
    <t>They should use a new all-purpose cluster for each task in the job</t>
  </si>
  <si>
    <t>They should use a new job cluster for each task in the job</t>
  </si>
  <si>
    <t>They should use few all-purpose clusters and few job clusters for different tasks in the job</t>
  </si>
  <si>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</si>
  <si>
    <t>Databricks Notebooks support the use of multiple languages in the same notebook</t>
  </si>
  <si>
    <t>Databricks Notebooks support automatic change-tracking and versioning</t>
  </si>
  <si>
    <t>Databricks Notebooks support commenting and notification comments</t>
  </si>
  <si>
    <t>Databricks Notebooks support real-time coauthoring on a single notebook</t>
  </si>
  <si>
    <t>Databricks Notebooks support the creation of interactive data visualizations</t>
  </si>
  <si>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</si>
  <si>
    <t>Table orders was a managed table</t>
  </si>
  <si>
    <t>Table orders was not dropped properly</t>
  </si>
  <si>
    <t>Table orders was an external table</t>
  </si>
  <si>
    <t>Table orders was partially dropped</t>
  </si>
  <si>
    <t>Table orders should be truncated first before dropping</t>
  </si>
  <si>
    <t>Which of the following code blocks can be used to create a lambda function in Python to find out whether a number is even or odd?</t>
  </si>
  <si>
    <t>my_func = lambda x: if x % 2 == 0 ‘Even‘ else ‘Odd‘</t>
  </si>
  <si>
    <t>my_func = lambda x: if x / 2 == 0 ‘Even‘ else ‘Odd‘</t>
  </si>
  <si>
    <t>my_func = lambda x: ‘Even‘ if x % 2 == 0 else ‘Odd‘</t>
  </si>
  <si>
    <t>my_func = lambda x: ‘Even‘ if x % 2 = 0 else ‘Odd‘</t>
  </si>
  <si>
    <t>my_func = lambda x: if x % 2 == 0 ‘Even‘ elif x % 2 != 0 ‘Odd‘</t>
  </si>
  <si>
    <t>A data engineer wants to figure out whether the Delta table called transactions is an external table or a managed table. Which of the following commands will help him to find out the type of table?</t>
  </si>
  <si>
    <t>SHOW CREATE TABLE transactions</t>
  </si>
  <si>
    <t>DESCRIBE EXTENDED transactions</t>
  </si>
  <si>
    <t>SHOW TABLE EXTENDED LIKE ‘transactions‘</t>
  </si>
  <si>
    <t>DESCRIBE FORMATTED transactions</t>
  </si>
  <si>
    <t>As part of ingesting data, which of the following options will help you to overwrite the existing data of a Delta table assuming that its schema remains the same?</t>
  </si>
  <si>
    <t>REPLACE TABLE</t>
  </si>
  <si>
    <t>A data engineer has to register a table called orders on an external CSV source in which the fields are pipe-delimited ( | ) and first row is the header having the column names. Which of the following Spark SQL DDL can be used to create that table?</t>
  </si>
  <si>
    <t>CREATE TABLE orders_csv ( order_id LONG, order_customer_id INTEGER, order_timestamp TIMESTAMP, total_item_quantity INTEGER, order_amount DOUBLE, order_status STRING ) USING CSV TABLEPROPERTIES ( header = “false“, delimiter = “|“ ) LOCATION “dbfs:/user/username/retail/orders-csv“</t>
  </si>
  <si>
    <t>CREATE TABLE orders_csv ( order_id LONG, order_customer_id INTEGER, order_timestamp TIMESTAMP, total_item_quantity INTEGER, order_amount DOUBLE, order_status STRING ) STORED AS CSV PROPERTIES ( header = “true“, delimiter = “|“ ) LOCATION “dbfs:/user/username/retail/orders-csv“</t>
  </si>
  <si>
    <t>CREATE CSV TABLE orders_csv ( order_id LONG, order_customer_id INTEGER, order_timestamp TIMESTAMP, total_item_quantity INTEGER, order_amount DOUBLE, order_status STRING ) OPTIONS ( header = “false“, delimiter = “|“ ) LOCATION “dbfs:/user/username/retail/orders-csv“</t>
  </si>
  <si>
    <t>CREATE TABLE orders_csv USING CSV ( order_id LONG, order_customer_id INTEGER, order_timestamp TIMESTAMP, total_item_quantity INTEGER, order_amount DOUBLE, order_status STRING ) OPTIONS ( header = “true“, delimiter = “|“ ) LOCATION “dbfs:/user/username/retail/orders-csv“</t>
  </si>
  <si>
    <t>CREATE TABLE orders_csv ( order_id LONG, order_customer_id INTEGER, order_timestamp TIMESTAMP, total_item_quantity INTEGER, order_amount DOUBLE, order_status STRING ) USING CSV OPTIONS ( header = “true“, delimiter = “|“ ) LOCATION “dbfs:/user/username/retail/orders-csv“</t>
  </si>
  <si>
    <t>Which of the following SQL keywords can be used to append new rows to an existing Delta table?</t>
  </si>
  <si>
    <t>COPY INTO UNION</t>
  </si>
  <si>
    <t>What are the two file detection modes available in the Auto Loader?</t>
  </si>
  <si>
    <t>Replayable Data Sources and Idempotent Sinks</t>
  </si>
  <si>
    <t>Checkpointing and Write Ahead Logs</t>
  </si>
  <si>
    <t>Directory Listing and File Notification</t>
  </si>
  <si>
    <t>Watermarking and Checkpointing</t>
  </si>
  <si>
    <t>Idempotent Sinks and Structured Streaming</t>
  </si>
  <si>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</si>
  <si>
    <t>Databricks Workflows</t>
  </si>
  <si>
    <t>Which of the following describes when to use CREATE STREAMING LIVE TABLE over CREATE LIVE TABLE while creating a Delta Live Tables pipeline?</t>
  </si>
  <si>
    <t>CREATE STREAMING LIVE TABLE should be used to process the entire data every time</t>
  </si>
  <si>
    <t>CREATE STREAMING LIVE TABLE should be used when working with streaming data sources and to process the data incrementally</t>
  </si>
  <si>
    <t>CREATE STREAMING LIVE TABLE should be used when the previous step in the DLT pipeline is static</t>
  </si>
  <si>
    <t>CREATE STREAMING LIVE TABLE should be used now because</t>
  </si>
  <si>
    <t>CREATE LIVE TABLE is going to be deprecated soon</t>
  </si>
  <si>
    <t>CREATE STREAMING LIVE TABLE should be used when the next step in the DLT pipeline is static</t>
  </si>
  <si>
    <t>Which of the following fields is optional while creating a Delta Live Table pipeline in Databricks?</t>
  </si>
  <si>
    <t>Pipeline Name</t>
  </si>
  <si>
    <t>Notebook Libraries</t>
  </si>
  <si>
    <t>Target Schema</t>
  </si>
  <si>
    <t>Pipeline Mode</t>
  </si>
  <si>
    <t>Min &amp; Max Workers when Autoscaling is enabled</t>
  </si>
  <si>
    <t>Which of the following statements best describes the Silver layer tables in the Medallion Architecture?</t>
  </si>
  <si>
    <t>Silver tables structure is similar to the source system table structure along with any additional metadata columns that capture the load time, process id, etc.</t>
  </si>
  <si>
    <t>Silver tables are those where we land all the data from external source systems.</t>
  </si>
  <si>
    <t>Silver tables provides different use cases like Inventory Analytics, Product Recommendations, Customer Segmentation, Sales Analytics, etc.</t>
  </si>
  <si>
    <t>Silver tables provide business-level aggregated version of data which is used for reporting.</t>
  </si>
  <si>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</si>
  <si>
    <t>A new .stream line should be added after the spark line</t>
  </si>
  <si>
    <t>The .read line should be replaced with .readStream</t>
  </si>
  <si>
    <t>A new .stream line should be added after the .read line</t>
  </si>
  <si>
    <t>A new .stream line should be added after the .load(dataSource) line</t>
  </si>
  <si>
    <t>The .format(“cloudFiles“) line should be replaced with .format(“streamingSource“)</t>
  </si>
  <si>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</si>
  <si>
    <t>dbutils.notebook.call(“path“, timeout_seconds, {“argument1“: “data1“, “argument2“: “data2“})</t>
  </si>
  <si>
    <t>dbutils.notebook.execute(“path“, timeout_seconds, {“argument1“: “data1“, “argument2“: “data2“})</t>
  </si>
  <si>
    <t>dbutils.notebook.trigger(“path“, timeout_seconds, {“argument1“: “data1“, “argument2“: “data2“})</t>
  </si>
  <si>
    <t>dbutils.notebook.implement(“path“, timeout_seconds, {“argument1“: “data1“, “argument2“: “data2“})</t>
  </si>
  <si>
    <t>dbutils.notebook.run(“path“, timeout_seconds, {“argument1“: “data1“, “argument2“: “data2“})</t>
  </si>
  <si>
    <t>Turn on the Auto Stop feature for the SQL endpoint</t>
  </si>
  <si>
    <t>Turn on the Serverless feature for the SQL endpoint and change the Spot Instance Policy to Reliability Optimized</t>
  </si>
  <si>
    <t>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t>
  </si>
  <si>
    <t>They can set up an Alert with a new webhook alert destination</t>
  </si>
  <si>
    <t>They can set up an Alert with a custom template</t>
  </si>
  <si>
    <t>They can set up an Alert with a new email address</t>
  </si>
  <si>
    <t>They can set up an Alert with one-time notifications</t>
  </si>
  <si>
    <t>This type of alerting is not possible in Databricks</t>
  </si>
  <si>
    <t>Where are the job results stored in the Databricks Architecture?</t>
  </si>
  <si>
    <t>Data Plane</t>
  </si>
  <si>
    <t>Control Plane</t>
  </si>
  <si>
    <t>DBFS layer on customer managed storage</t>
  </si>
  <si>
    <t>Databricks Cluster</t>
  </si>
  <si>
    <t>Which of the following statements correctly describes the Delta Lake?</t>
  </si>
  <si>
    <t>Delta Lake is an open source platform to help manage the complete machine learning lifecycle.</t>
  </si>
  <si>
    <t>Delta Lake is an open source data storage format for distributed data.</t>
  </si>
  <si>
    <t>Delta Lake is an open source analytics engine used for big data workloads.</t>
  </si>
  <si>
    <t>Delta Lake is an open format storage layer that delivers reliability, security, and performance.</t>
  </si>
  <si>
    <t>Delta Lake is an open format storage layer that processes data.</t>
  </si>
  <si>
    <t>Which of the following statements is incorrect about a managed table in Databricks?</t>
  </si>
  <si>
    <t>Managed tables are the default when creating a table in Databricks</t>
  </si>
  <si>
    <t>Data for a managed table does not resides in the LOCATION of the database it is registered to</t>
  </si>
  <si>
    <t>Databricks manages both the metadata and the data for a managed table</t>
  </si>
  <si>
    <t>Managed relationship between the data location and the database means that in order to move a managed table to a new database, you must rewrite all data to the new location</t>
  </si>
  <si>
    <t>Dropping a managed table will delete both the metadata and underlying data of that table</t>
  </si>
  <si>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</si>
  <si>
    <t>OPTIMIZE TABLE transactions ZORDER BY (transactionId)</t>
  </si>
  <si>
    <t>OPTIMIZE transactions ZORDER BY COLUMN transactionId</t>
  </si>
  <si>
    <t>OPTIMIZE TABLE transactions ZORDER BY COLUMN (transactionId)</t>
  </si>
  <si>
    <t>OPTIMIZE TABLE transactions ZORDER BY transactionId</t>
  </si>
  <si>
    <t>OPTIMIZE transactions ZORDER BY (transactionId)</t>
  </si>
  <si>
    <t>A data engineer has created an orders Delta table. A junior data engineer who has recently joined the team needs SELECT permission on this table. Which part of the Databricks Lakehouse Platform can the data engineer use to grant this privilege through the UI?</t>
  </si>
  <si>
    <t>Workflows</t>
  </si>
  <si>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</si>
  <si>
    <t>CREATE DATABASE retail USING LOCATION ‘dbfs:/mnt/datalake/databases/retail‘;</t>
  </si>
  <si>
    <t>CREATE DATABASE retail LOCATION ‘dbfs:/mnt/datalake/databases/retail‘;</t>
  </si>
  <si>
    <t>CREATE DATABASE IF NOT EXISTS retail;</t>
  </si>
  <si>
    <t>CREATE DATABASE IF NOT EXISTS retail LOCATION ‘dbfs:/mnt/datalake/databases/retail‘;</t>
  </si>
  <si>
    <t>CREATE DATABASE retail DELTA LOCATION ‘dbfs:/mnt/datalake/databases/retail‘;</t>
  </si>
  <si>
    <t>Which of the following data workloads will utilize a Gold table as its destination?</t>
  </si>
  <si>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</si>
  <si>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</si>
  <si>
    <t>TBLPROPERTIES (“Table contains PII“)</t>
  </si>
  <si>
    <t>DESCRIPTION {“Table contains PII“}</t>
  </si>
  <si>
    <t>COMMENT “Table contains PII“</t>
  </si>
  <si>
    <t>OPTIONS (“Table contains PII“)</t>
  </si>
  <si>
    <t>TEXT “Table contains PII“</t>
  </si>
  <si>
    <t>A job runs daily at 12:00 AM and loads data into the orders table. The job usually takes 30 minutes to complete. On a particular day, it ran for 5 minutes and then failed, leaving the table in an inconsistent state.</t>
  </si>
  <si>
    <t>A data engineer needs to upgrade a table to a Unity Catalog managed table. Which of the following queries can be used by the data engineer to complete this task?</t>
  </si>
  <si>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</si>
  <si>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</si>
  <si>
    <t>A data engineer has to manually delete all the files and directory associated with sales table present  in the location “/databricks-datasets/retail-org/sales“ Which of the following commands can be used to accomplish this task?</t>
  </si>
  <si>
    <t>dbutils.fs.remove(“/databricks-datasets/retail-org/sales“,True)</t>
  </si>
  <si>
    <t>dbutils.fs.delete(“/databricks-datasets/retail-org/sales“,True)</t>
  </si>
  <si>
    <t>dbutils.fs.drop(“/databricks-datasets/retail-org/sales“,True)</t>
  </si>
  <si>
    <t>dbutils.fs.rm(“/databricks-datasets/retail-org/sales“,True)</t>
  </si>
  <si>
    <t>dbutils.fs.mv(“/databricks-datasets/retail-org/sales“,True)</t>
  </si>
  <si>
    <t>Which of the following entities should the data engineer go for?</t>
  </si>
  <si>
    <t>Function</t>
  </si>
  <si>
    <t>What is the format in which data files are stored for a table in the Delta Lake?</t>
  </si>
  <si>
    <t>ORC</t>
  </si>
  <si>
    <t>Text</t>
  </si>
  <si>
    <t>Avro</t>
  </si>
  <si>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</si>
  <si>
    <t>OPTIMIZE TABLE orders WHERE order_date &gt;= ‘2022-01-01‘</t>
  </si>
  <si>
    <t>OPTIMIZE orders FILTER BY order_date &gt;= ‘2022-01-01‘</t>
  </si>
  <si>
    <t>OPTIMIZE TABLE orders WHEN order_date &gt;= ‘2022-01-01‘</t>
  </si>
  <si>
    <t>OPTIMIZE orders WHERE order_date &gt;= ‘2022-01-01‘</t>
  </si>
  <si>
    <t>OPTIMIZE TABLE orders USING order_date &gt;= ‘2022-01-01‘</t>
  </si>
  <si>
    <t>Which of the following commands will help you to find count of null values in the column alternate_email of an existing Delta table customers?</t>
  </si>
  <si>
    <t>SELECT count_if(alternate_email IS NULL) AS missing_alternate_emails FROM customers</t>
  </si>
  <si>
    <t>SELECT count_when(alternate_email IS NULL) AS missing_alternate_emails FROM customers</t>
  </si>
  <si>
    <t>SELECT count_where(alternate_email IS NULL) AS missing_alternate_emails FROM customers</t>
  </si>
  <si>
    <t>SELECT count_only(alternate_email IS NULL) AS missing_alternate_emails FROM customers</t>
  </si>
  <si>
    <t>SELECT count(alternate_email IS NULL) AS missing_alternate_emails FROM customers</t>
  </si>
  <si>
    <t>You need to create a table users in Databricks by extracting data from a table in an external SQLite database ecommerce. Which of the following queries you will use to create this table?</t>
  </si>
  <si>
    <t>CREATE TABLE users USING SQLite OPTIONS ( url = “jdbc:sqlite:/${da.username}_ecommerce.db“, dbtable = “users“ )</t>
  </si>
  <si>
    <t>CREATE TABLE users USING ODBC OPTIONS ( url = “jdbc:sqlite:/${da.username}_ecommerce.db“, dbtable = “users“ )</t>
  </si>
  <si>
    <t>CREATE TABLE users USING JDBC OPTIONS ( url = “jdbc:sqlite:/${da.username}_ecommerce.db“, dbtable = “users“ )</t>
  </si>
  <si>
    <t>CREATE TABLE users USING SQL OPTIONS ( url = “jdbc:sqlite:/${da.username}_ecommerce.db“, dbtable = “users“ )</t>
  </si>
  <si>
    <t>CREATE TABLE users USING DATABASE OPTIONS ( url = “jdbc:sqlite:/${da.username}_ecommerce.db“, dbtable = “users“ )</t>
  </si>
  <si>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</si>
  <si>
    <t>Which of the following code snippets you can use to print the numbers from 1 to 10 in Python?</t>
  </si>
  <si>
    <t>Which of the following SQL keywords can be used to delete all the rows from an existing Delta table in an efficient way without deleting the table itself?</t>
  </si>
  <si>
    <t>DELETE</t>
  </si>
  <si>
    <t>ALTER TRUNCATE</t>
  </si>
  <si>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</si>
  <si>
    <t>assert that row_count &gt; 0, else “Row count should be more than 0“</t>
  </si>
  <si>
    <t>assert(row_count &gt; 0, “Row count should be more than 0“)</t>
  </si>
  <si>
    <t>assert row_count &gt; 0, “Row count should be more than 0“</t>
  </si>
  <si>
    <t>assert if row_count &gt; 0, else “Row count should be more than 0“</t>
  </si>
  <si>
    <t>assert(if row_count &gt; 0, else “Row count should be more than 0“)</t>
  </si>
  <si>
    <t>A data engineer needs to drop retail database along with all the tables inside it provided that all tables inside the database are managed tables. Which of the following commands can be used by data engineer to accomplish this task?</t>
  </si>
  <si>
    <t>DROP DATABASE retail RESTRICT</t>
  </si>
  <si>
    <t>DROP DATABASE retail CASCADE</t>
  </si>
  <si>
    <t>DROP DATABASE retail</t>
  </si>
  <si>
    <t>DROP DATABASE retail INCLUDE ALL</t>
  </si>
  <si>
    <t>DROP DATABASE retail FORCE</t>
  </si>
  <si>
    <t>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t>
  </si>
  <si>
    <t>SELECT order_id, date_format(order_timestamp, ‘DD-MM-YYYY‘) as order_date FROM orders;</t>
  </si>
  <si>
    <t>SELECT order_id, date_format(order_timestamp, ‘MM-DD-YYYY‘) as order_date FROM orders;</t>
  </si>
  <si>
    <t>SELECT order_id, date_format(order_timestamp, ‘dd-MM-YYYY‘) as order_date FROM orders;</t>
  </si>
  <si>
    <t>SELECT order_id, date_format(order_timestamp, ‘MM-dd-YYYY‘) as order_date FROM orders;</t>
  </si>
  <si>
    <t>SELECT order_id, date_fmt(order_timestamp, ‘dd-MM-YYYY‘) as order_date FROM orders;</t>
  </si>
  <si>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</si>
  <si>
    <t>DEEP COPY</t>
  </si>
  <si>
    <t>SHALLOW COPY</t>
  </si>
  <si>
    <t>Which configuration property in Databricks you need to set before deleting files for a Delta table which are less than 7 days old?</t>
  </si>
  <si>
    <t>SET spark.databricks.delta.retentionDurationCheck.enabled = true</t>
  </si>
  <si>
    <t>SET spark.databricks.delta.retentionDurationFlag.enabled = false</t>
  </si>
  <si>
    <t>SET spark.databricks.delta.retentionDurationConstraint.enabled = true</t>
  </si>
  <si>
    <t>SET spark.databricks.delta.retentionDurationCheck.enabled = false</t>
  </si>
  <si>
    <t>SET spark.databricks.delta.retentionDurationFlag.enabled = true</t>
  </si>
  <si>
    <t>Which of the following Structured Streaming queries is performing a hop from a Source location to a Bronze table?</t>
  </si>
  <si>
    <t>( spark.read.load(rawSalesLocation) .writeStream .option(“checkpointLocation“, checkpointPath) .outputMode(“append“) .table(“uncleanedSales“) )</t>
  </si>
  <si>
    <t>( spark.table(“sales“) .withColumn(“avgPrice“, col(“sales“) / col(“units“)) .writeStream .option(“checkpointLocation“, checkpointPath) .outputMode(“append“) .table(“cleanedSales“) )</t>
  </si>
  <si>
    <t>( spark.table(“sales“) .groupBy(“store“) .agg(sum(“sales“)) .writeStream .option(“checkpointLocation“, checkpointPath) .outputMode(“complete“) .table(“aggregatedSales“) )</t>
  </si>
  <si>
    <t>( spark.readStream.load(rawSalesLocation) .format(“cloudFiles“) .option(“cloudFiles.format“, sourceFormat) .option(“cloudFiles.schemaLocation“, checkpointPath) .writeStream .option(“checkpointLocation“, checkpointPath) .outputMode(“append“) .table(“uncleanedSales“) )</t>
  </si>
  <si>
    <t>( spark.table(“sales“) .agg(sum(“sales“), sum(“units“)) .writeStream .option(“checkpointLocation“, checkpointPath) .outputMode(“complete“) .table(“aggregatedSales“) )</t>
  </si>
  <si>
    <t>Which of the following data workloads will utilize a Silver table as its destination?</t>
  </si>
  <si>
    <t>A job that checks the performance metrics of a machine learning application</t>
  </si>
  <si>
    <t>A job that enriches data by joining it with a static lookup table to add new columns</t>
  </si>
  <si>
    <t>What is the default output mode for a Structured Streaming Query in Spark provided that the target table is fault-tolerant and existing rows are never going to change?</t>
  </si>
  <si>
    <t>Merge</t>
  </si>
  <si>
    <t>Update</t>
  </si>
  <si>
    <t>Complete</t>
  </si>
  <si>
    <t>Append</t>
  </si>
  <si>
    <t>Overwrite</t>
  </si>
  <si>
    <t>Which of the following operations is not supported with streaming dataframe view? ( spark.readStream .table(“recordings_bronze“) .createOrReplaceTempView(“recordings_tmp_vw“) )</t>
  </si>
  <si>
    <t>SELECT * FROM recordings_tmp_vw</t>
  </si>
  <si>
    <t>SELECT device_id, count(device_id) AS total_recordings FROM recordings_tmp_vw GROUP BY device_id</t>
  </si>
  <si>
    <t>SELECT *, current_timestamp() as receipt_time FROM recordings_tmp_vw</t>
  </si>
  <si>
    <t>SELECT * FROM recordings_tmp_vw WHERE heartrate &gt; 0</t>
  </si>
  <si>
    <t>SELECT * FROM recordings_tmp_vw ORDER BY device_id</t>
  </si>
  <si>
    <t>A dataset has been defined using Delta Live Tables and includes an expectations clause: CONSTRAINT valid_timestamp EXPECT (timestamp &gt; ‘2022-01-01‘) ON VIOLATION DROP ROW What is the expected behavior when an incoming batch of data that violates this constraint gets processed?</t>
  </si>
  <si>
    <t>Which of the following is not a feature of Auto Loader in the Databricks?</t>
  </si>
  <si>
    <t>Auto Loader incrementally and efficiently processes new data files as they arrive in cloud storage. It can be used to process billions of files to migrate or backfill a table.</t>
  </si>
  <si>
    <t>Auto Loader can detect schema drifts, notify you when schema changes happen, and rescue data that would have been otherwise ignored or lost.</t>
  </si>
  <si>
    <t>Auto Loader can resume from where it left off by information stored in the checkpoint location and continue to provide exactly-once guarantees when writing data into Delta Lake in case of any failures.</t>
  </si>
  <si>
    <t>Auto Loader provides a SQL warehouse which is a compute resource that lets you run SQL commands on data objects within Databricks SQL.</t>
  </si>
  <si>
    <t>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t>
  </si>
  <si>
    <t>They can increase the cluster size of the SQL endpoint.</t>
  </si>
  <si>
    <t>They can turn on the Serverless feature for the SQL endpoint and change the Spot Instance Policy to Reliability Optimized.</t>
  </si>
  <si>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</si>
  <si>
    <t>A task in the job cannot take an input parameter.  So, create five notebooks with hardcoded department_name and setup five tasks with linear dependency in the job.</t>
  </si>
  <si>
    <t>Use a single notebook as task in the job and use dbutils.notebook.run() to run each notebook with input parameter department_name in a different cell.</t>
  </si>
  <si>
    <t>A parameter can only be passed at the job level, create five jobs, pass the parameter department_name to each job with no job dependency on each other.</t>
  </si>
  <si>
    <t>A task accepts key-value pair parameters, creates five tasks, pass department_name as parameter for each task with no dependency in the job as they can all run in parallel.</t>
  </si>
  <si>
    <t>A parameter can only be passed at the job level, create five jobs, pass department_name to each job with a linear job dependency.</t>
  </si>
  <si>
    <t>A data engineering team has created a Databricks Job having multiple tasks to process the data. The team members want to be notified when the job either succeeds or fails. Which of the following approaches can be used to send emails to the team members?</t>
  </si>
  <si>
    <t>They can develop a Python script to send the email every time a job succeeds or fails</t>
  </si>
  <si>
    <t>They can add multiple email addresses in email notifications settings and select both the checkboxes Success and Failure.</t>
  </si>
  <si>
    <t>They can manually check the status of job every day depending on the time it takes to run</t>
  </si>
  <si>
    <t>Only the job owner can be configured to be notified in case of job success or failure</t>
  </si>
  <si>
    <t>There is no such way in Databricks Lakehouse Platform to notify users when a job completes</t>
  </si>
  <si>
    <t>A data engineer is leaving the organization. He is currently the owner of the retail database. As an administrator, you need to assign the ownership of this database to a user called user@myteam.com Which of the following commands you can use to accomplish this task?</t>
  </si>
  <si>
    <t>Which of the following statements is incorrect about the Unity Catalog in Databricks?</t>
  </si>
  <si>
    <t>Unity Catalog offers a single place to administer data access policies that apply across all workspaces and personas.</t>
  </si>
  <si>
    <t>Unity Catalog automatically captures user-level audit logs that record access to your data.</t>
  </si>
  <si>
    <t>External tables are the default way to create tables in Unity Catalog. These tables are stored in the root storage location you configure when you create a metastore. They use the Delta table format.</t>
  </si>
  <si>
    <t>Unity Catalog is used to capture runtime data lineage across queries in any language executed on a Databricks cluster or SQL warehouse. Lineage is captured down to the column level, and includes notebooks, workflows and dashboards related to the query.</t>
  </si>
  <si>
    <t>As a data engineer, you have to create summary of a data set for reporting. You have scheduled a Databricks notebook as a job for this task but you noticed that it takes around 10 minutes to start the cluster. Which of the following options can be used to solve this problem?</t>
  </si>
  <si>
    <t>Disable auto terminate option of cluster so that it‘s always up and running</t>
  </si>
  <si>
    <t>Setup an additional job to run ahead of the actual job so that cluster is running before actual job starts up</t>
  </si>
  <si>
    <t>Use the Job Cluster for creating a new cluster to reduce the start up time</t>
  </si>
  <si>
    <t>Select a High Concurrent cluster instead of a Standard cluster to solve this issue</t>
  </si>
  <si>
    <t>Use the Databricks cluster pools feature to reduce the start up time</t>
  </si>
  <si>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</si>
  <si>
    <t>Use SHALLOW CLONE to copy data of the Delta table, run tests directly on main table and in case of any issues, restore data from clone table</t>
  </si>
  <si>
    <t>Cloud object support automatic change-tracking and versioning</t>
  </si>
  <si>
    <t>Use DEEP CLONE to copy data of the Delta table, run tests on clone table and once satisfied, delete the main table and then use clone table as main table</t>
  </si>
  <si>
    <t>Use time travel feature of Delta table to rollback to its previous version in case of any issues</t>
  </si>
  <si>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</si>
  <si>
    <t>Configuration spark.databricks.delta.retentionDurationCheck.enabled was set to true</t>
  </si>
  <si>
    <t>Data ingestion process to load data into orders Delta table got completed partially</t>
  </si>
  <si>
    <t>No records were present in the source table, so no data got ingested into orders Delta table</t>
  </si>
  <si>
    <t>Someone might have deleted all the records from orders Delta table</t>
  </si>
  <si>
    <t>When VACUUM command is configured to retain 0 hours, it can delete any file that is not part of the version that is being vacuumed. This includes committed files, uncommitted files, and temporary files for concurrent transactions.</t>
  </si>
  <si>
    <t>A data engineer wants to schedule a query in Databricks SQL so that it can run automatically every week to process the data which he needs to share with the data analysis team. Which of the following approaches can be used by the data engineer to accomplish this task?</t>
  </si>
  <si>
    <t>He can schedule the query to refresh every week from the Workflows UI</t>
  </si>
  <si>
    <t>He can schedule the query to refresh every week from the Dashboards page in Databricks SQL</t>
  </si>
  <si>
    <t>He can schedule the query to run every week from the Queries page in Databricks SQL</t>
  </si>
  <si>
    <t>He can schedule the query to refresh every week from the Alerts page in Databricks SQL</t>
  </si>
  <si>
    <t>There is no way to automatically refresh a query in the Databricks SQL</t>
  </si>
  <si>
    <t>Which of the following SQL keywords can be used to change the schema or properties of an existing Delta table?</t>
  </si>
  <si>
    <t>A data engineering team is using a Databricks SQL query to monitor the performance of an ELT job. The ELT job is triggered by a specific number of input records being ready to process. Databricks SQL query returns the number of hours since the job’s most recent runtime.</t>
  </si>
  <si>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</si>
  <si>
    <t>Use a single cluster for all the jobs across different business units. In this way, costs can be easily tracked.</t>
  </si>
  <si>
    <t>Ask the workspace admin to monitor the usage of DBUs for different jobs across multiple business units and prepare an analysis sheet.</t>
  </si>
  <si>
    <t>Create a different workspace for every business unit which will have its respective jobs. It will help to track the cost easily.</t>
  </si>
  <si>
    <t>Investigate the logs for a job to figure out the run time for each job across different business units and get the approximate usage cost according to the cluster pricing.</t>
  </si>
  <si>
    <t>Use appropriate tags while creating a cluster used for every job across different business units.</t>
  </si>
  <si>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</si>
  <si>
    <t>Use cluster pools to help the Jobs run more efficiently</t>
  </si>
  <si>
    <t>Set up a retry policy on the first Job to help it run more quickly</t>
  </si>
  <si>
    <t>Utilize multiple tasks in a single job with a linear dependency</t>
  </si>
  <si>
    <t>Limit the size of the output in the second Job so that it will not fail as easily</t>
  </si>
  <si>
    <t>Set up the data to stream from the first Job to the second Job</t>
  </si>
  <si>
    <t>What is the top-level container of objects in Unity Catalog which stores data assets and the permissions that govern access to them?</t>
  </si>
  <si>
    <t>Schema</t>
  </si>
  <si>
    <t>Which of the following formats is used to store transaction log files for a table in the Delta Lake?</t>
  </si>
  <si>
    <t>Which of the following methods in Databricks notebook can be used to view the contents of a Spark DataFrame df in a tabular format along with the option of creating different embedded visualizations on the data?</t>
  </si>
  <si>
    <t>view(df)</t>
  </si>
  <si>
    <t>show(df)</t>
  </si>
  <si>
    <t>print(df)</t>
  </si>
  <si>
    <t>take(df)</t>
  </si>
  <si>
    <t>display(df)</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</si>
  <si>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</si>
  <si>
    <t>trigger(once=True)</t>
  </si>
  <si>
    <t>trigger(available_Now=“True“)</t>
  </si>
  <si>
    <t>trigger(processingTime=“now“)</t>
  </si>
  <si>
    <t>trigger(processingTime=“500ms“)</t>
  </si>
  <si>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</si>
  <si>
    <t>Setup two different jobs, run the DLT Pipeline job in triggered mode and once that gets succeeded, then manually run the Notebook job.</t>
  </si>
  <si>
    <t>Single job can be used to setup both DLT Pipeline task and Notebook task. So, use two different tasks in same job with a linear dependency.</t>
  </si>
  <si>
    <t>Single job cannot have a DLT Pipeline task and Notebook task. So, use two different jobs with a linear dependency.</t>
  </si>
  <si>
    <t>Single job can be used to setup both DLT Pipeline task and Notebook task. So, use two different tasks in same job and run them in parallel.</t>
  </si>
  <si>
    <t>There is no such way to orchestrate this type of workflow in the Databricks.</t>
  </si>
  <si>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</si>
  <si>
    <t>They can manually execute the code for last 2 tasks to repair the job run</t>
  </si>
  <si>
    <t>They can repair this job so that all the 5 tasks will be re-run</t>
  </si>
  <si>
    <t>They can repair this job so that only the last 2 tasks will be re-run</t>
  </si>
  <si>
    <t>They need to delete the failed job run and trigger a new run for this job</t>
  </si>
  <si>
    <t>They can keep the failed job run and simply start a new run for the job</t>
  </si>
  <si>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</si>
  <si>
    <t>Create a view for every state and then query it to get the data directly for that particular state</t>
  </si>
  <si>
    <t>Create a SQL UDF and pass the parameter state at runtime to get the data for that state</t>
  </si>
  <si>
    <t>Use dropdown list with single value select option as query parameter and select any value of State from that list to substitute into query at runtime for getting the desired results</t>
  </si>
  <si>
    <t>Manually provide the value of state in the where clause of query and then run it to get the corresponding data</t>
  </si>
  <si>
    <t>This type of querying to filter the data at runtime is not possible in Databricks</t>
  </si>
  <si>
    <t>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t>
  </si>
  <si>
    <t>Which of the following commands can be used to grant the appropriate permissions to the new data engineer?</t>
  </si>
  <si>
    <t>GRANT USAGE ON TABLE sales TO new.engineer@company.com;</t>
  </si>
  <si>
    <t>GRANT SELECT, UPDATE TO new.engineer@company.com ON TABLE sales;</t>
  </si>
  <si>
    <t>GRANT SELECT, MODIFY ON TABLE sales TO new.engineer@company.com;</t>
  </si>
  <si>
    <t>GRANT SELECT, UPDATE ON TABLE sales TO new.engineer@company.com;</t>
  </si>
  <si>
    <t>GRANT SELECT, MODIFY TO new.engineer@company.com ON TABLE sales;</t>
  </si>
  <si>
    <t>In Spark SQL, which of the following is necessary to perform a PIVOT operation?</t>
  </si>
  <si>
    <t>A DISTINCT clause to ensure unique values</t>
  </si>
  <si>
    <t>An aggregate function to summarize the data</t>
  </si>
  <si>
    <t>A LIMIT clause to restrict the number of rows returned</t>
  </si>
  <si>
    <t>A JOIN clause to merge data from different tables</t>
  </si>
  <si>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</si>
  <si>
    <t>If you need to associate a numerical value with each key in a SQL table, which data type would be most appropriate?</t>
  </si>
  <si>
    <t>A new team member Tom Hanks has joined the data analysis team in the organization. He currently has access to read data from the inventory table but he does not have the access to insert and delete rows. Which of the following commands can be used to grant him this access?</t>
  </si>
  <si>
    <t>GRANT INSERT, DELETE ON TABLE inventory TO tom.hanks@organization.com</t>
  </si>
  <si>
    <t>GRANT USAGE ON TABLE inventory TO tom.hanks@organization.com</t>
  </si>
  <si>
    <t>GRANT MODIFY TO tom.hanks@organization.com ON inventory</t>
  </si>
  <si>
    <t>GRANT INSERT, DELETE TO tom.hanks@organization.com ON TABLE inventory</t>
  </si>
  <si>
    <t>GRANT MODIFY ON TABLE inventory TO tom.hanks@organization.com</t>
  </si>
  <si>
    <t>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t>
  </si>
  <si>
    <t>map(“delimiter“, “\t“, “header“, “true“))</t>
  </si>
  <si>
    <t>options(“delimiter“, “\t“, “header“, “true“))</t>
  </si>
  <si>
    <t>map(“lineSep“, “\t“, “header“, “true“))</t>
  </si>
  <si>
    <t>options(“lineSep“, “\t“, “header“, “true“))</t>
  </si>
  <si>
    <t>map(“delimiter“, “    “, “header“, “true“))</t>
  </si>
  <si>
    <t>What is the output of the below function in Python? def my_func(x, y=1): if x &lt; y: x = 2 * x if x == y: x += 1 y -= 2 return (x, y) output = my_func(1, 2)</t>
  </si>
  <si>
    <t>(2, 1)</t>
  </si>
  <si>
    <t>(1, 2)</t>
  </si>
  <si>
    <t>(3, 0)</t>
  </si>
  <si>
    <t>(1, 1)</t>
  </si>
  <si>
    <t>(2, 2)</t>
  </si>
  <si>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</si>
  <si>
    <t>James and Michael both are owners of new table called digital_marketing</t>
  </si>
  <si>
    <t>James is the owner of marketing schema. So, all the tables in this schema will be owned by him.</t>
  </si>
  <si>
    <t>Michael is the owner of the digital_marketing table.</t>
  </si>
  <si>
    <t>Workspace admin is the owner of new table digital_marketing by default.</t>
  </si>
  <si>
    <t>Account admin is the owner of new table digital_marketinng by default.</t>
  </si>
  <si>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</si>
  <si>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</si>
  <si>
    <t>What are the two types of enforced constraints that are supported on a Delta table in the Databricks?</t>
  </si>
  <si>
    <t>A data engineer is working on a task involving two Delta tables having the same schema. She wants to figure out the records which are common and present in both of these tables. Which of the following SQL commands can be used by her to accomplish this task?</t>
  </si>
  <si>
    <t>Which of the following data workloads will utilize a Bronze table as its source?</t>
  </si>
  <si>
    <t>A job that cleanses data by removing junk characters from its columns and parse them into a human-readable format</t>
  </si>
  <si>
    <t>What are the output modes available in the Spark Structured Streaming?</t>
  </si>
  <si>
    <t>Append, Complete, Merge</t>
  </si>
  <si>
    <t>Merge, Overwrite, Append</t>
  </si>
  <si>
    <t>Merge, Update, Complete</t>
  </si>
  <si>
    <t>Overwrite, Append, Update</t>
  </si>
  <si>
    <t>A data engineer has set up a Delta Live Tables pipeline that updates all the tables once and then stops. The compute resources of the pipeline persist to allow for additional testing. Which of the following options correctly describes the execution modes of this DLT pipeline?</t>
  </si>
  <si>
    <t>DLT pipeline is configured to run in Development mode using the Continuous Pipeline mode.</t>
  </si>
  <si>
    <t>DLT pipeline is configured to run in Production mode using the Continuous Pipeline mode.</t>
  </si>
  <si>
    <t>DLT pipeline is configured to run in Development mode using the Triggered Pipeline mode.</t>
  </si>
  <si>
    <t>DLT pipeline is configured to run in Production mode mode using the Triggered Pipeline mode.</t>
  </si>
  <si>
    <t>Cannot infer the execution mode of DLT Pipeline from the above information</t>
  </si>
  <si>
    <t>What is the underlying mechanism used by the Auto Loader to incrementally and efficiently process new data files as they arrive in cloud storage?</t>
  </si>
  <si>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</si>
  <si>
    <t>Manually reload and process the data which got skipped due to this issue and then trigger the pipeline again.</t>
  </si>
  <si>
    <t>Start ingesting the data from scratch and reprocess everything again.</t>
  </si>
  <si>
    <t>Auto Loader uses checkpointing and write-ahead logs to allow a terminated stream to be restarted and continue from where it left off to ensure end-to-end, exactly-once semantics under any failure condition.</t>
  </si>
  <si>
    <t>Using Auto Loader, create a separate pipeline for the new data files arriving in cloud storage.</t>
  </si>
  <si>
    <t>Move the data files that were not processed to another location and manually run the queries on them to process data and then merge into original target location.</t>
  </si>
  <si>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</si>
  <si>
    <t>Manually refresh the dashboard in every 1 hour instead of setting an automatic refresh schedule</t>
  </si>
  <si>
    <t>Temporarily pause scheduled dashboard updates when it has been refreshed recently</t>
  </si>
  <si>
    <t>Stop automatically updating the dashboard after one week to reduce the cost of SQL warehouse</t>
  </si>
  <si>
    <t>What is the normalized unit of processing power on the Databricks Lakehouse Platform used for measurement and pricing purpose of different workloads?</t>
  </si>
  <si>
    <t>Databricks Normalized Unit (DNU)</t>
  </si>
  <si>
    <t>Databricks Lakehouse Platform Unit (DLPU)</t>
  </si>
  <si>
    <t>Databricks Unit (DBU)</t>
  </si>
  <si>
    <t>Databricks Cluster Unit (DCU)</t>
  </si>
  <si>
    <t>Databricks Standard Unit (DSU)</t>
  </si>
  <si>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</si>
  <si>
    <t>David needs to be the owner of regional_sales_vw to access it</t>
  </si>
  <si>
    <t>Ross needs to take the transfer of ownership of sales table from Mike</t>
  </si>
  <si>
    <t>Mike needs to provide SELECT privilege to David on sales table</t>
  </si>
  <si>
    <t>David needs to be the owner of sales table in order to access regional_sales_vw</t>
  </si>
  <si>
    <t>Ross needs to provide SELECT privilege to David on sales table</t>
  </si>
  <si>
    <t>Where are the interactive notebook results stored in the Databricks Architecture?</t>
  </si>
  <si>
    <t>Customer Managed Cloud Storage</t>
  </si>
  <si>
    <t>Control Plane &amp; Customer Managed Cloud Storage</t>
  </si>
  <si>
    <t>Which of the following is not a key feature of Databricks Lakehouse Platform?</t>
  </si>
  <si>
    <t>Support for ACID transactions</t>
  </si>
  <si>
    <t>Support for diverse data types ranging from unstructured to structured data</t>
  </si>
  <si>
    <t>Schema enforcement and governance</t>
  </si>
  <si>
    <t>Support for diverse workloads like Machine Learning and SQL analytics</t>
  </si>
  <si>
    <t>Storage is coupled with compute</t>
  </si>
  <si>
    <t>What are the two main task orchestration services available in the Databricks?</t>
  </si>
  <si>
    <t>Workflow Jobs (Workflows) and Delta Live Tables (DLT)</t>
  </si>
  <si>
    <t>Auto Loader and Delta Live Tables (DLT)</t>
  </si>
  <si>
    <t>Delta Live Tables (DLT) and Databricks SQL</t>
  </si>
  <si>
    <t>Data Science &amp; Engineering and Machine Learning</t>
  </si>
  <si>
    <t>Databricks SQL and Auto Loader</t>
  </si>
  <si>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</si>
  <si>
    <t>Upgrade the existing SQL warehouse to a serverless SQL warehouse</t>
  </si>
  <si>
    <t>Restart the SQL warehouse and then manually refresh the dashboard</t>
  </si>
  <si>
    <t>Limit the amount of data fetched by the query</t>
  </si>
  <si>
    <t>Use Query History, click the name of the query and then click View Query Profile to see the time spent in each step</t>
  </si>
  <si>
    <t>Perform Optimization and Z-Ordering on the table which is used by the query</t>
  </si>
  <si>
    <t>A data engineer has set up a notebook to automatically process it using a Databricks Job. The data engineer’s manager wants to version control the schedule due to its complexity.</t>
  </si>
  <si>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</si>
  <si>
    <t>(spark.readStream .format(“cloudFiles“) .option(“cloudFiles.format“, “json“) .option(“cloudFiles.enforceSchema“, “time TIMESTAMP“) .option(“cloudFiles.schemaLocation“, “dbfs:/mnt/datalake/bronze/checkpoint“) .load(“dbfs:/mnt/datalake/bronze/recordings“) .createOrReplaceTempView(“recordings_raw_temp“) )</t>
  </si>
  <si>
    <t>(spark.readStream .format(“cloudFiles“) .option(“cloudFiles.format“, “json“) .option(“cloudFiles.inferColumnTypes“, “time TIMESTAMP“) .option(“cloudFiles.schemaLocation“, “dbfs:/mnt/datalake/bronze/checkpoint“) .load(“dbfs:/mnt/datalake/bronze/recordings“) .createOrReplaceTempView(“recordings_raw_temp“) )</t>
  </si>
  <si>
    <t>(spark.readStream .format(“cloudFiles“) .option(“cloudFiles.format“, “json“) .option(“cloudFiles.schemaHints“, “time TIMESTAMP“) .option(“cloudFiles.schemaLocation“, “dbfs:/mnt/datalake/bronze/checkpoint“) .load(“dbfs:/mnt/datalake/bronze/recordings“) .createOrReplaceTempView(“recordings_raw_temp“) )</t>
  </si>
  <si>
    <t>(spark.readStream .format(“cloudFiles“) .option(“cloudFiles.format“, “json“) .option(“cloudFiles.schemaDetails“, “time TIMESTAMP“) .option(“cloudFiles.schemaLocation“, “dbfs:/mnt/datalake/bronze/checkpoint“) .load(“dbfs:/mnt/datalake/bronze/recordings“) .createOrReplaceTempView(“recordings_raw_temp“) )</t>
  </si>
  <si>
    <t>(spark.readStream .format(“cloudFiles“) .option(“cloudFiles.format“, “json“) .option(“cloudFiles.schemaHint“, “time TIMESTAMP“) .option(“cloudFiles.schemaLocation“, “dbfs:/mnt/datalake/bronze/checkpoint“) .load(“dbfs:/mnt/datalake/bronze/recordings“) .createOrReplaceTempView(“recordings_raw_temp“) )</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</si>
  <si>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</si>
  <si>
    <t>50 seconds</t>
  </si>
  <si>
    <t>5 minutes</t>
  </si>
  <si>
    <t>500 milliseconds</t>
  </si>
  <si>
    <t>0.5 hours</t>
  </si>
  <si>
    <t>5000 microseconds</t>
  </si>
  <si>
    <t>Which of the following is present in the Control Plane of Databricks Architecture?</t>
  </si>
  <si>
    <t>Databricks File System</t>
  </si>
  <si>
    <t>Driver Node</t>
  </si>
  <si>
    <t>Worker Node</t>
  </si>
  <si>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</si>
  <si>
    <t>GRANT ALL PRIVILEGES ON TABLE products TO peter.parker@mycompany.com;</t>
  </si>
  <si>
    <t>GRANT USAGE TO peter.parker@mycompany.com ON products;</t>
  </si>
  <si>
    <t>GRANT ALL PRIVILEGES TO peter.parker@mycompany.com ON products;</t>
  </si>
  <si>
    <t>GRANT SELECT ON TABLE products TO peter.parker@mycompany.com;</t>
  </si>
  <si>
    <t>GRANT ALL PRIVILEGES ON TABLE peter.parker@mycompany.com TO customers;</t>
  </si>
  <si>
    <t>A data engineer has to upgrade a schema called retail from the default Hive metastore to the Unity Catalog metastore. Which of the following options inside Databricks Lakehouse Platform can be used by him to accomplish this task through the UI?</t>
  </si>
  <si>
    <t>What is the first level of object hierarchy that is used to reference data by three-level namespace in the Unity Catalog?</t>
  </si>
  <si>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</si>
  <si>
    <t>SQL, Alert, Job, Email Address</t>
  </si>
  <si>
    <t>SQL, Alarm, Update, Email Address</t>
  </si>
  <si>
    <t>SQL, Alert, Refresh, Email Address</t>
  </si>
  <si>
    <t>SQL, Alarm, Renew, Email Address</t>
  </si>
  <si>
    <t>SQL, Job, Refresh, Email Address</t>
  </si>
  <si>
    <t>What is the output of below function when executed with input parameters 1, 3 : def check_input(x,y): if x &lt; y: x= x+1 if x&gt;y: x= x+1 if x &lt;y: x = x+1 return x</t>
  </si>
  <si>
    <t>You are working to set up two notebooks to run on a schedule, the second notebook is dependent on the first notebook but both notebooks need different types of compute to run in an optimal fashion, what is the best way to set up these notebooks as jobs?</t>
  </si>
  <si>
    <t>Use DELTA LIVE PIPELINES instead of notebook tasks</t>
  </si>
  <si>
    <t>A Job can only use single cluster, setup job for each notebook and use job dependency to link both jobs together</t>
  </si>
  <si>
    <t>Each task can use different cluster, add these two notebooks as two tasks in a single job with linear dependency and modify the cluster as needed for each of the tasks</t>
  </si>
  <si>
    <t>Use a single job to setup both notebooks as individual tasks, but use the cluster API to setup the second cluster before the start of second task</t>
  </si>
  <si>
    <t>Use a very large cluster to run both the tasks in a single job</t>
  </si>
  <si>
    <t>What is the output of the below function when executed with input parameters 1, 3  : def check_input(x,y): if x &lt; y: x= x+1 if x&lt;y: x= x+1 if x &lt;y: x = x+1 return x check_input(1,3)</t>
  </si>
  <si>
    <t>A data engineer needs to normalize text data within a Databricks notebook by creating a User-Defined Function (UDF) that converts all strings to lowercase and removes spaces. Which approach should they take to achieve this within Databricks?</t>
  </si>
  <si>
    <t>Manually edit each string in the dataset before loading it into Databricks.</t>
  </si>
  <si>
    <t>Implement a UDF in Databricks that lowercases and trims spaces from strings, applying it via a Spark SQL query.</t>
  </si>
  <si>
    <t>Export the dataset, process it with a script outside of Databricks, and then re-import the cleaned data.</t>
  </si>
  <si>
    <t>How does the ‘Share‘ functionality within the Catalog framework in Databricks facilitate collaboration?</t>
  </si>
  <si>
    <t>By restricting access to data objects to a single user.</t>
  </si>
  <si>
    <t>By creating duplicate copies of data objects for each user.</t>
  </si>
  <si>
    <t>By enabling data objects in the Catalog to be shared with designated recipients.</t>
  </si>
  <si>
    <t>By preventing any sharing of data objects to maintain data isolation.</t>
  </si>
  <si>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</si>
  <si>
    <t>Checkpointing and Idempotent Sinks</t>
  </si>
  <si>
    <t>Replayable Sources and Idempotent Sinks</t>
  </si>
  <si>
    <t>Checkpointing and Write-ahead Logs</t>
  </si>
  <si>
    <t>Structured Streaming cannot record the offset range of the data being processed in each trigger.</t>
  </si>
  <si>
    <t>Write-ahead Logs and Idempotent Sinks</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</si>
  <si>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</si>
  <si>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Which of the following commands you can use to revoke all the privileges from the group former_employees on the schema retail?</t>
  </si>
  <si>
    <t>How can you use the count_if function to count the number of rows in a table sales where the amount column is greater than 100?</t>
  </si>
  <si>
    <t>SELECT COUNT_IF(amount &gt; 100) FROM sales;</t>
  </si>
  <si>
    <t>SELECT COUNT_IF(amount &gt; 100) AS count_above_100 FROM sales;</t>
  </si>
  <si>
    <t>SELECT COUNT(*) FROM sales WHERE amount &gt; 100;</t>
  </si>
  <si>
    <t>SELECT COUNT(amount &gt; 100) FROM sales;</t>
  </si>
  <si>
    <t>What prefix is used in Databricks SQL to query data directly from Parquet files?</t>
  </si>
  <si>
    <t>DATA</t>
  </si>
  <si>
    <t>PARQUET</t>
  </si>
  <si>
    <t>parquet</t>
  </si>
  <si>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</si>
  <si>
    <t>Check the directory manually to figure out new files, create a temporary view on it and then load data into the actual table</t>
  </si>
  <si>
    <t>Drop and recreate the table on a daily basis</t>
  </si>
  <si>
    <t>Refresh the table to invalidate cache before running next query</t>
  </si>
  <si>
    <t>Table should be converted to the Delta format</t>
  </si>
  <si>
    <t>Table should be stored in a cloud-based external system</t>
  </si>
  <si>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</si>
  <si>
    <t>Records that violate the expectation are added to the target dataset and flagged as invalid in a field added to the target dataset</t>
  </si>
  <si>
    <t>Records that violate the expectation are dropped from the target dataset and loaded into a quarantine table</t>
  </si>
  <si>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</si>
  <si>
    <t>They can turn on the Serverless feature for the SQL endpoint and change the Spot Instance Policy to "Reliability Optimized."</t>
  </si>
  <si>
    <t>Consider a column of JSON strings that needs to be converted to structs. Which SQL command creates a new table to store these structs with no null fields, based on a schema generated from an example JSON string?</t>
  </si>
  <si>
    <t>Which of the following is not a Higher Order Function in Spark SQL?</t>
  </si>
  <si>
    <t>FILTER</t>
  </si>
  <si>
    <t>EXIST</t>
  </si>
  <si>
    <t>Which syntax is used in Spark SQL to access subfields in JSON strings?</t>
  </si>
  <si>
    <t>When a data engineer needs to monitor the performance and status of Delta Live Tables (DLT) pipelines, which option allows them to query the event log for detailed metrics and update history?</t>
  </si>
  <si>
    <t>Directly accessing the DLT UI for real-time metrics without querying.</t>
  </si>
  <si>
    <t>Querying the Delta Lake table directly for pipeline metrics without using the event log.</t>
  </si>
  <si>
    <t>Using the SELECT * FROM event_log command to retrieve all event log entries.</t>
  </si>
  <si>
    <t>Creating a temporary view on the event log path and querying this view for specific metrics.</t>
  </si>
  <si>
    <t>What does ACID stand for in the context of Delta Lake transactions on Databricks?</t>
  </si>
  <si>
    <t>Atomic, Consistent, Isolated, Durable</t>
  </si>
  <si>
    <t>Atomicity, Consistency, Isolation, Durability</t>
  </si>
  <si>
    <t>Automatic, Consistent, Integrated, Durable</t>
  </si>
  <si>
    <t>Automated, Consistency, Isolation, Dynamic</t>
  </si>
  <si>
    <t>Which of the following operations can only be implemented through a GIT provider when using Databricks Repos?</t>
  </si>
  <si>
    <t>Commit and push to feature branch</t>
  </si>
  <si>
    <t>Create a new branch based on main branch</t>
  </si>
  <si>
    <t>Create and edit code</t>
  </si>
  <si>
    <t>Pull request and review process</t>
  </si>
  <si>
    <t>Clone remote repository to user folder</t>
  </si>
  <si>
    <t>Which of the following statements is incorrect about an all-purpose cluster in Databricks?</t>
  </si>
  <si>
    <t>An all-purpose cluster can be manually terminated when not in use</t>
  </si>
  <si>
    <t>An all-purpose cluster can be created using the UI, CLI or REST API</t>
  </si>
  <si>
    <t>An all-purpose cluster can be shared by multiple users to do collaborative interactive analysis</t>
  </si>
  <si>
    <t>An all-purpose cluster can be used to run fast and robust automated jobs</t>
  </si>
  <si>
    <t>An all-purpose cluster can be manually restarted when required</t>
  </si>
  <si>
    <t>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t>
  </si>
  <si>
    <t>He can schedule the dashboard to refresh every 1 day from the Alerts page in Databricks SQL</t>
  </si>
  <si>
    <t>He can schedule the dashboard to refresh every 1 day from the Workflows UI</t>
  </si>
  <si>
    <t>He can schedule the dashboard to refresh every 1 day from the SQL Warehouses page in Databricks SQL</t>
  </si>
  <si>
    <t>He can schedule the dashboard to run every 1 day from the Queries page in Databricks SQL</t>
  </si>
  <si>
    <t>He can schedule the dashboard to refresh every 1 day from the Dashboards page in Databricks SQL</t>
  </si>
  <si>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</si>
  <si>
    <t>CREATE TABLE AS SELECT statements result in tables where schemas are optional.</t>
  </si>
  <si>
    <t>CREATE TABLE AS SELECT statements derive schema details from the query and you must not specify a column_specification</t>
  </si>
  <si>
    <t>CREATE TABLE AS SELECT statements result in tables that do not support schemas.</t>
  </si>
  <si>
    <t>CREATE TABLE AS SELECT statements infer the schema by scanning the data.</t>
  </si>
  <si>
    <t>CREATE TABLE AS SELECT statements assign all columns the type STRING by default.</t>
  </si>
  <si>
    <t>You are currently working on storing data you received from different customer surveys, this data is highly unstructured and changes over time,  why Lakehouse is a better choice compared to a Data warehouse?</t>
  </si>
  <si>
    <t>Lakehouse supports schema enforcement and evolution, traditional data warehouses lack schema evolution.</t>
  </si>
  <si>
    <t>Lakehouse supports SQL</t>
  </si>
  <si>
    <t>Lakehouse supports ACID</t>
  </si>
  <si>
    <t>Lakehouse enforces data integrity</t>
  </si>
  <si>
    <t>Lakehouse supports primary and foreign keys like a data warehouse</t>
  </si>
  <si>
    <t>A newly joined team member John Smith in the Marketing team currently has access read access to sales tables but does not have access to update the table, which of the following commands help you accomplish this?</t>
  </si>
  <si>
    <t>GRANT UPDATE ON TABLE table_name TO john.smith@marketing.com</t>
  </si>
  <si>
    <t>GRANT USAGE ON TABLE table_name TO john.smith@marketing.com</t>
  </si>
  <si>
    <t>GRANT MODIFY ON TABLE table_name TO john.smith@marketing.com</t>
  </si>
  <si>
    <t>GRANT UPDATE TO TABLE table_name ON john.smith@marketing.com</t>
  </si>
  <si>
    <t>GRANT MODIFY TO TABLE table_name ON john.smith@marketing.com</t>
  </si>
  <si>
    <t>Which of the statement is correct about the cluster pools?</t>
  </si>
  <si>
    <t>Cluster pools allow you to perform load balancing</t>
  </si>
  <si>
    <t>Cluster pools allow you to create a cluster</t>
  </si>
  <si>
    <t>Cluster pools allow you to save time when starting a new cluster</t>
  </si>
  <si>
    <t>Cluster pools are used to share resources among multiple teams</t>
  </si>
  <si>
    <t>Cluster pools allow you to have all the nodes in the cluster from single physical server rack</t>
  </si>
  <si>
    <t>Once a cluster is deleted, below additional actions need to performed by the administrator</t>
  </si>
  <si>
    <t>Remove virtual machines but storage and networking are automatically dropped</t>
  </si>
  <si>
    <t>Drop storage disks but Virtual machines and networking are automatically dropped</t>
  </si>
  <si>
    <t>Remove networking but Virtual machines and storage disks are automatically dropped</t>
  </si>
  <si>
    <t>Remove logs</t>
  </si>
  <si>
    <t>No action needs to be performed. All resources are automatically removed.</t>
  </si>
  <si>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</si>
  <si>
    <t>Create BLOOM FLTER index on the transactionId</t>
  </si>
  <si>
    <t>Perform Optimize with Zorder on transactionId</t>
  </si>
  <si>
    <t>transactionId has high cardinality, you cannot enable any optimization.</t>
  </si>
  <si>
    <t>Increase the cluster size and enable delta optimization</t>
  </si>
  <si>
    <t>Increase the driver size and enable delta optimization</t>
  </si>
  <si>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</si>
  <si>
    <t>Databricks notebooks support automatic change tracking and versioning</t>
  </si>
  <si>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</si>
  <si>
    <t>You currently do not have access to view historical data</t>
  </si>
  <si>
    <t>By default, historical data is cleaned every 180 days in DELTA</t>
  </si>
  <si>
    <t>A command VACUUM table_name RETAIN 0 was ran on the table</t>
  </si>
  <si>
    <t>Time travel is disabled</t>
  </si>
  <si>
    <t>Time travel must be enabled before you query previous data</t>
  </si>
  <si>
    <t>Identify one of the below statements that can query a delta table in PySpark Dataframe API</t>
  </si>
  <si>
    <t>Spark.read.mode(“delta“).table(“table_name“)</t>
  </si>
  <si>
    <t>Spark.read.table.delta(“table_name“)</t>
  </si>
  <si>
    <t>Spark.read.table(“table_name“)</t>
  </si>
  <si>
    <t>Spark.read.format(“delta“).LoadTableAs(“table_name“)</t>
  </si>
  <si>
    <t>Spark.read.format(“delta“).TableAs(“table_name“)</t>
  </si>
  <si>
    <t>When you drop an external DELTA table using the SQL Command DROP TABLE table_name, how does it impact metadata(delta log, history), and data stored in the storage?</t>
  </si>
  <si>
    <t>Drops table from metastore, metadata(delta log, history)and data in storage</t>
  </si>
  <si>
    <t>Drops table from metastore, data but keeps metadata(delta log, history) in storage</t>
  </si>
  <si>
    <t>Drops table from metastore, metadata(delta log, history)but keeps the data in storage</t>
  </si>
  <si>
    <t>Drops table from metastore, but keeps metadata(delta log, history)and data in storage</t>
  </si>
  <si>
    <t>Drops table from metastore and data in storage but keeps metadata(delta log, history)</t>
  </si>
  <si>
    <t>Which of the following commands can be used to query a delta table?</t>
  </si>
  <si>
    <t>How do you check the location of an existing schema in Delta Lake?</t>
  </si>
  <si>
    <t>Run SQL command SHOW LOCATION schema_name</t>
  </si>
  <si>
    <t>Check unity catalog UI</t>
  </si>
  <si>
    <t>Use Data explorer</t>
  </si>
  <si>
    <t>Run SQL command DESCRIBE SCHEMA EXTENDED schema_name</t>
  </si>
  <si>
    <t>Schemas are internally in-store external hive meta stores like MySQL or SQL Server</t>
  </si>
  <si>
    <t>Which of the following is correct for the global temporary view?</t>
  </si>
  <si>
    <t>global temporary views cannot be accessed once the notebook is detached and attached</t>
  </si>
  <si>
    <t>global temporary views can be accessed across many clusters</t>
  </si>
  <si>
    <t>global temporary views can be still accessed even if the notebook is detached and attached</t>
  </si>
  <si>
    <t>global temporary views can be still accessed even if the cluster is restarted</t>
  </si>
  <si>
    <t>global temporary views are created in a database called temp database</t>
  </si>
  <si>
    <t>Which of the following python statement can be used to replace the schema name and table name in the query statement?</t>
  </si>
  <si>
    <t>You are looking to process the data based on two variables, one to check if the department is supply chain and second to check if process flag is set to True</t>
  </si>
  <si>
    <t>if department = “supply chain” &amp; process:</t>
  </si>
  <si>
    <t>if department == “supply chain” &amp;&amp; process:</t>
  </si>
  <si>
    <t>if department == “supply chain” and process == TRUE:</t>
  </si>
  <si>
    <t>if department == “supply chain” &amp; if process == TRUE:</t>
  </si>
  <si>
    <t>if department == “supply chain“ and process:</t>
  </si>
  <si>
    <t>Which of the following techniques structured streaming uses to ensure recovery of failures during stream processing?</t>
  </si>
  <si>
    <t>Checkpointing and Watermarking</t>
  </si>
  <si>
    <t>Write ahead logging and watermarking</t>
  </si>
  <si>
    <t>Checkpointing and write-ahead logging</t>
  </si>
  <si>
    <t>Delta time travel</t>
  </si>
  <si>
    <t>The stream will failover to available nodes in the cluster</t>
  </si>
  <si>
    <t>Checkpointing and Idempotent sinks</t>
  </si>
  <si>
    <t>Which of the following statements can successfully read the notebook widget and pass the python variable to a SQL statement in a Python notebook cell?</t>
  </si>
  <si>
    <t>You are working on a process to query the table based on batch date, and batch date is an input parameter and expected to change every time the program runs, what is the best way to we can parameterize the query to run without manually changing the batch date?</t>
  </si>
  <si>
    <t>Create a notebook parameter for batch date and assign the value to a python variable and use a spark data frame to filter the data based on the python variable</t>
  </si>
  <si>
    <t>Create a dynamic view that can calculate the batch date automatically and use the view to query the data</t>
  </si>
  <si>
    <t>There is no way we can combine python variable and spark code</t>
  </si>
  <si>
    <t>Manually edit code every time to change the batch date</t>
  </si>
  <si>
    <t>Store the batch date in the spark configuration and use a spark data frame to filter the data based on the spark configuration.</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</si>
  <si>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</si>
  <si>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You would like to build a spark streaming process to read from a Kafka queue and write to a Delta table every 15 minutes, what is the correct trigger option</t>
  </si>
  <si>
    <t>trigger(“15 minutes“)</t>
  </si>
  <si>
    <t>trigger(process “15 minutes“)</t>
  </si>
  <si>
    <t>trigger(processingTime = 15)</t>
  </si>
  <si>
    <t>trigger(processingTime = “15 Minutes“)</t>
  </si>
  <si>
    <t>trigger(15)</t>
  </si>
  <si>
    <t>Which of the following techniques structured streaming uses to create an end-to-end fault tolerance?</t>
  </si>
  <si>
    <t>Checkpointing and Water marking</t>
  </si>
  <si>
    <t>Write ahead logging and water marking</t>
  </si>
  <si>
    <t>Checkpointing and idempotent sinks</t>
  </si>
  <si>
    <t>Write ahead logging and idempotent sinks</t>
  </si>
  <si>
    <t>Stream will failover to available nodes in the cluster</t>
  </si>
  <si>
    <t>You had AUTO LOADER to process millions of files a day and noticed slowness in load process, so you scaled up the Databricks cluster but realized the performance of the Auto loader is still not improving, what is the best way to resolve this.</t>
  </si>
  <si>
    <t>AUTO LOADER is not suitable to process millions of files a day</t>
  </si>
  <si>
    <t>Setup a second AUTO LOADER process to process the data</t>
  </si>
  <si>
    <t>Increase the maxFilesPerTrigger option to a sufficiently high number</t>
  </si>
  <si>
    <t>Copy the data from cloud storage to local disk on the cluster for faster access</t>
  </si>
  <si>
    <t>Merge files to one large file</t>
  </si>
  <si>
    <t>Which of the following two options are supported in identifying the arrival of new files, and incremental data from Cloud object storage using Auto Loader?</t>
  </si>
  <si>
    <t>Directory listing, File notification</t>
  </si>
  <si>
    <t>Checking pointing, watermarking</t>
  </si>
  <si>
    <t>Writing ahead logging, read head logging</t>
  </si>
  <si>
    <t>File hashing, Dynamic file lookup</t>
  </si>
  <si>
    <t>Checkpointing and Write ahead logging</t>
  </si>
  <si>
    <t>What is the purpose of the silver layer in a Multi hop architecture?</t>
  </si>
  <si>
    <t>Efficient storage and querying of full, unprocessed history of data</t>
  </si>
  <si>
    <t>Eliminates duplicate data, quarantines bad data</t>
  </si>
  <si>
    <t>The Delta Live Tables Pipeline is configured to run in Development mode using the Triggered Pipeline Mode. what is the expected outcome after clicking Start to update the pipeline?</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</si>
  <si>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</si>
  <si>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</si>
  <si>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All datasets will be updated at set intervals until the pipeline is shut down. The compute resources will persist after the pipeline is stopped to allow for additional development and testing</t>
  </si>
  <si>
    <t>All datasets will be updated once and the pipeline will shut down. The compute resources will persist to allow for additional development and testing</t>
  </si>
  <si>
    <t>All datasets will be updated continuously and the pipeline will not shut down. The compute resources will persist with the pipeline</t>
  </si>
  <si>
    <t>The Delta Live Table Pipeline is configured to run in Production mode using the continuous Pipeline Mode.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</si>
  <si>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</si>
  <si>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once and the pipeline will shut down. The compute resources will persist to allow for additional testing</t>
  </si>
  <si>
    <t>What are the different ways you can schedule a job in Databricks workspace?</t>
  </si>
  <si>
    <t>Continuous, Incremental</t>
  </si>
  <si>
    <t>On-Demand runs, File notification from Cloud object storage</t>
  </si>
  <si>
    <t>Cron, On Demand runs,File notification from Cloud object storage</t>
  </si>
  <si>
    <t>Cron, File notification from Cloud object storage</t>
  </si>
  <si>
    <t>Once, Continuous</t>
  </si>
  <si>
    <t>You are working on a dashboard that takes a long time to load in the browser, due to the fact that each visualization contains a lot of data to populate, which of the following approaches can be taken to address this issue?</t>
  </si>
  <si>
    <t>Increase size of the SQL endpoint cluster</t>
  </si>
  <si>
    <t>Increase the scale of maximum range of SQL endpoint cluster</t>
  </si>
  <si>
    <t>Use Databricks SQL Query filter to limit the amount of data in each visualization</t>
  </si>
  <si>
    <t>Remove data from Delta Lake</t>
  </si>
  <si>
    <t>Use Delta cache to store the intermediate results</t>
  </si>
  <si>
    <t>John Smith is a newly joined team member in the Marketing team who currently has access read access to sales tables but does not have access to delete rows from the table, which of the following commands help you accomplish this?</t>
  </si>
  <si>
    <t>GRANT DELETE ON TABLE table_name TO john.smith@marketing.com</t>
  </si>
  <si>
    <t>GRANT DELETE TO TABLE table_name ON john.smith@marketing.com</t>
  </si>
  <si>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</si>
  <si>
    <t>The data engineering team is using a SQL query to review data completeness every day to monitor the ETL job, and query output is being used in multiple dashboards which of the following approaches can be used to set up a schedule and automate this process?</t>
  </si>
  <si>
    <t>They can schedule the query to run every day from the Jobs UI.</t>
  </si>
  <si>
    <t>They can schedule the query to refresh every day from the query’s page in Databricks SQL</t>
  </si>
  <si>
    <t>They can schedule the query to refresh every day from the SQL endpoint’s page in Databricks SQL.</t>
  </si>
  <si>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</si>
  <si>
    <t>All datasets will be updated once and the pipeline will persist without any processing. The compute resources will persist but go unused.</t>
  </si>
  <si>
    <t>All datasets will be updated at set intervals until the pipeline is shut down. The compute resources will persist to allow for additional testing.</t>
  </si>
  <si>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</si>
  <si>
    <t>Setup an alert using the custom template and include the information in built-in template variable called QUERY_RESULT_ROWS</t>
  </si>
  <si>
    <t>Setup an alert using the default template and include the specific information in that.</t>
  </si>
  <si>
    <t>Setup an alert using the custom template and include the information in built-in template variable called QUERY_RESULT_COLS</t>
  </si>
  <si>
    <t>Use Python‘s libraries to send the email when alert is triggered and customize the details in that.</t>
  </si>
  <si>
    <t>Setup an alert using the custom template and include the information in built-in template variable called QUERY_RESULT_VALUE</t>
  </si>
  <si>
    <t>Which of the following statements is incorrect about a job cluster in Databricks?</t>
  </si>
  <si>
    <t>Databricks job scheduler creates a job cluster when you run a job</t>
  </si>
  <si>
    <t>Job cluster can be created using the UI, CLI or REST API</t>
  </si>
  <si>
    <t>Job cluster terminates when the job is completed</t>
  </si>
  <si>
    <t>Job cluster cannot be restarted</t>
  </si>
  <si>
    <t>Job cluster is used to run fast and robust automated jobs</t>
  </si>
  <si>
    <t>Which of the following operations is done through the Databricks Repos?</t>
  </si>
  <si>
    <t>Merge into main branch</t>
  </si>
  <si>
    <t>Git automation calls Databricks Repos API</t>
  </si>
  <si>
    <t>Databricks Repos API call to bring Repo in Production folder to the latest version</t>
  </si>
  <si>
    <t>A data engineer needs to create an unmanaged table called inventory using an existing directory path ‘dbfs:/user/username/retail‘ where the data files are stored. Which of the following SQL statements can be used to create this external table?</t>
  </si>
  <si>
    <t>Which of the following statements is incorrect about autoscaling a cluster in the Databricks?</t>
  </si>
  <si>
    <t>Workloads can run faster compared to a constant-sized under-provisioned cluster</t>
  </si>
  <si>
    <t>Autoscaling clusters can reduce overall costs compared to a statically-sized cluster</t>
  </si>
  <si>
    <t>You need to configure the Min Workers and Max Workers to enable autoscaling for a cluster</t>
  </si>
  <si>
    <t>Cluster size cannot go below the minimum number of workers selected while enabling autoscaling</t>
  </si>
  <si>
    <t>The default threshold of VACUUM is 7 days, internal audit team asked to certain tables to maintain at least 365 days as part of compliance requirement, which of the below setting is needed to implement.</t>
  </si>
  <si>
    <t>ALTER TABLE table_name set TBLPROPERTIES (delta.deletedFileRetentionDuration= ‘interval 365 days’)</t>
  </si>
  <si>
    <t>MODIFY TABLE table_name set TBLPROPERTY (delta.maxRetentionDays = ‘interval 365 days’)</t>
  </si>
  <si>
    <t>ALTER TABLE table_name set EXTENDED TBLPROPERTIES (delta.deletedFileRetentionDuration= ‘interval 365 days’)</t>
  </si>
  <si>
    <t>ALTER TABLE table_name set EXTENDED TBLPROPERTIES (delta.vaccum.duration= ‘interval 365 days’)</t>
  </si>
  <si>
    <t>Which of the following functions can be used to convert JSON string to Struct data type?</t>
  </si>
  <si>
    <t>TO_STRUCT (json value)</t>
  </si>
  <si>
    <t>FROM_JSON (json value)</t>
  </si>
  <si>
    <t>FROM_JSON (json value, schema of json)</t>
  </si>
  <si>
    <t>CONVERT (json value, schema of json)</t>
  </si>
  <si>
    <t>CAST (json value as STRUCT)</t>
  </si>
  <si>
    <t>You were asked to write python code to stop all running streams, which of the following command can be used to get a list of all active streams currently running so we can stop them, fill in the blank. for s in _______________: s.stop()</t>
  </si>
  <si>
    <t>Spark.getActiveStreams()</t>
  </si>
  <si>
    <t>spark.streams.active</t>
  </si>
  <si>
    <t>activeStreams()</t>
  </si>
  <si>
    <t>getActiveStreams()</t>
  </si>
  <si>
    <t>spark.streams.getActive</t>
  </si>
  <si>
    <t>You have noticed the Data scientist team is using the notebook versioning feature with git integration, you have recommended them to switch to using Databricks Repos, which of the below reasons could be the reason the why the team needs to switch to Databricks Repos.</t>
  </si>
  <si>
    <t>Databricks Repos allows multiple users to make changes</t>
  </si>
  <si>
    <t>Databricks Repos allows merge and conflict resolution</t>
  </si>
  <si>
    <t>Databricks Repos has a built-in version control system</t>
  </si>
  <si>
    <t>Databricks Repos automatically saves changes</t>
  </si>
  <si>
    <t>Databricks Repos allow you to add comments and select the changes you want to commit.</t>
  </si>
  <si>
    <t>Which technique can be used to implement fine-grained access control to rows and columns of a Delta table based on the user’s access?</t>
  </si>
  <si>
    <t>Use Unity catalog to grant access to rows and columns</t>
  </si>
  <si>
    <t>Row and column access control lists</t>
  </si>
  <si>
    <t>Use dynamic view functions</t>
  </si>
  <si>
    <t>Data access control lists</t>
  </si>
  <si>
    <t>Dynamic Access control lists with Unity Catalog</t>
  </si>
  <si>
    <t>Kevin owns both the sales table and the regional_sales_vw view (which uses the sales table as its source). He wants to grant SELECT privilege on the view to Steven, a new team member. Which statement is true?</t>
  </si>
  <si>
    <t>Kevin can not grant access to Steven since he does not have security admin privilege</t>
  </si>
  <si>
    <t>Kevin although is the owner but does not have ALL PRIVILEGES permission</t>
  </si>
  <si>
    <t>Kevin can grant access to the view, because he is the owner of the view and the underlying table</t>
  </si>
  <si>
    <t>Kevin can not grant access to Steven since he does have workspace admin privilege</t>
  </si>
  <si>
    <t>Steve will also require SELECT access on the underlying table</t>
  </si>
  <si>
    <t>Which cluster configuration is most suitable for a pipeline that includes data union operations across multiple large datasets, where minimizing data shuffle is a priority?</t>
  </si>
  <si>
    <t>Configure a cluster with a large number of small instances.</t>
  </si>
  <si>
    <t>Use a single-node cluster with a very large node type.</t>
  </si>
  <si>
    <t>Select storage-optimized instances with local storage and disk caching enabled.</t>
  </si>
  <si>
    <t>Increase instance size and decrease the number of workers.</t>
  </si>
  <si>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</si>
  <si>
    <t>Enable Liquid Clustering on customer_id and transaction_date together as clustering keys.</t>
  </si>
  <si>
    <t>Enable Liquid Clustering only on customer_id.</t>
  </si>
  <si>
    <t>Enable Liquid Clustering only on transaction_date.</t>
  </si>
  <si>
    <t>Use no clustering and rely on Z-Ordering with periodic OPTIMIZE commands.</t>
  </si>
  <si>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</si>
  <si>
    <t>.option(“cloudFiles.schemaEvolutionMode“, “none“)</t>
  </si>
  <si>
    <t>.option(“cloudFiles.schemaEvolutionMode“, “failOnNewColumn“)</t>
  </si>
  <si>
    <t>.option(“cloudFiles.inferColumnChanges“, “true“)</t>
  </si>
  <si>
    <t>.option(“mergeSchema“, “false“)</t>
  </si>
  <si>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</si>
  <si>
    <t>Use an all-purpose cluster with Photon enabled and on-demand instances</t>
  </si>
  <si>
    <t>Use a job cluster with Photon enabled and on-demand instances</t>
  </si>
  <si>
    <t>Use a job cluster with spot instances, without Photon, for cost savings</t>
  </si>
  <si>
    <t>Use an all-purpose cluster with spot instances, without Photon</t>
  </si>
  <si>
    <t>A data engineering team wants to develop and test Databricks code locally using their preferred IDEs (such as PyCharm, VS Code, or IntelliJ) and then deploy the code to Databricks. Which of the following statements best describes Databricks Connect requirements and capabilities?</t>
  </si>
  <si>
    <t>Databricks Connect can only be used with the online Databricks notebook interface provided in the Databricks workspace.</t>
  </si>
  <si>
    <t>Databricks Connect requires the use of dbx-compatible IDEs only, restricting developers to specific tools.</t>
  </si>
  <si>
    <t>Databricks Connect allows developers to use any Python IDE locally to interact with remote Databricks clusters, as long as the environment matches the Databricks Runtime version.</t>
  </si>
  <si>
    <t>Databricks Connect is only supported in a single environment and cannot be used to develop locally and deploy to test or production.</t>
  </si>
  <si>
    <t>A data engineering team wants to migrate from classic SQL warehouses to serverless in order to reduce cost and improve scalability. They plan to move workloads gradually instead of all at once. Which is the best first step in their migration strategy?</t>
  </si>
  <si>
    <t>Move the least frequent dashboard and ad-hoc analytics workloads to serverless first to test performance and cost savings.</t>
  </si>
  <si>
    <t>Migrate all Python notebooks immediately to serverless to reduce manual job cost.</t>
  </si>
  <si>
    <t>Move Scala-based ETL pipelines first since serverless is optimized for Scala workloads.</t>
  </si>
  <si>
    <t>Replace production-critical dashboards with serverless to realize maximum savings upfront.</t>
  </si>
  <si>
    <t>A data platform team is setting up clusters for different workloads in Databricks. They need to choose the appropriate cluster types for various use cases. Which of the following statements is correct?</t>
  </si>
  <si>
    <t>A job cluster is ideal for scheduled ETL pipelines because it is created for the job run and terminates automatically after completion.</t>
  </si>
  <si>
    <t>An interactive (all-purpose) cluster is designed for non-interactive scheduled jobs only and cannot be shared by multiple users.</t>
  </si>
  <si>
    <t>A single-user cluster allows multiple users to run notebooks concurrently while isolating permissions.</t>
  </si>
  <si>
    <t>A shared cluster restricts usage to one user only for strict data access control.</t>
  </si>
  <si>
    <t>A data engineer is using a job cluster to execute a Databricks notebook as part of a scheduled job. The job fails with an error related to output size. What is the maximum notebook output size supported by Databricks job clusters?</t>
  </si>
  <si>
    <t>10 MB</t>
  </si>
  <si>
    <t>15 MB</t>
  </si>
  <si>
    <t>25 MB</t>
  </si>
  <si>
    <t>30 MB</t>
  </si>
  <si>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</si>
  <si>
    <t>GRANT ALL PRIVILEGES ON TABLE transactions TO alex.smith@dataco.com;</t>
  </si>
  <si>
    <t>GRANT USAGE ON TABLE transactions TO alex.smith@dataco.com;</t>
  </si>
  <si>
    <t>GRANT ALL PRIVILEGES ON TABLE alex.smith@dataco.com TO transactions;</t>
  </si>
  <si>
    <t>GRANT SELECT ON TABLE transactions TO alex.smith@dataco.com;</t>
  </si>
  <si>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</si>
  <si>
    <t>Only the metadata is dropped; the underlying data files remain in storage.</t>
  </si>
  <si>
    <t>Both the metadata and the data files are deleted permanently.</t>
  </si>
  <si>
    <t>The metadata is moved to a trash folder; data remains accessible.</t>
  </si>
  <si>
    <t>The metadata is deleted, but the data is automatically backed up to Unity Catalog.</t>
  </si>
  <si>
    <t>In a Databricks Delta Live Tables (DLT) pipeline, you have defined a constraint to ensure all transaction amounts are non-negative. The constraint is violated by some incoming data. What would be the consequence of using ‘ON VIOLATION DROP ROW‘ for this constraint?</t>
  </si>
  <si>
    <t>The entire DLT job will fail, stopping the data processing.</t>
  </si>
  <si>
    <t>The rows violating the constraint will be omitted from the output.</t>
  </si>
  <si>
    <t>The rows violating the constraint will be updated with default values.</t>
  </si>
  <si>
    <t>An alert will be triggered, but the violating rows will remain in the dataset.</t>
  </si>
  <si>
    <t>Which of the following statements correctly describes the default behaviors of development mode versus production mode in Databricks Delta Live Tables (DLT) pipelines?</t>
  </si>
  <si>
    <t>In development mode, the cluster remains active after updates for rapid testing, while in production mode, the cluster shuts down immediately after job completion.</t>
  </si>
  <si>
    <t>Production mode allows overriding cluster configurations on each run for fast iteration, while development mode uses locked, pre-defined compute for consistency.</t>
  </si>
  <si>
    <t>Both development and production modes keep the cluster alive post-update to support debugging and fast development.</t>
  </si>
  <si>
    <t>In development mode, scheduled pipeline triggers and concurrent job runs are prevented, while in production mode, they are always enabled.</t>
  </si>
  <si>
    <t>A team is setting up a new data pipeline on Databricks using Unity Catalog. What should they do to simplify data layout decisions and optimize query performance?</t>
  </si>
  <si>
    <t>Enable predictive optimization</t>
  </si>
  <si>
    <t>Disable AQE</t>
  </si>
  <si>
    <t>Rely on default configurations without adjustments</t>
  </si>
  <si>
    <t>Avoid using Unity Catalog managed tables</t>
  </si>
  <si>
    <t>A data engineer needs to deploy a set of Databricks resources, including jobs and pipelines, in a consistent manner across multiple environments. Which Databricks feature should be used to programmatically define and manage these resources?</t>
  </si>
  <si>
    <t>Databricks Asset Bundles</t>
  </si>
  <si>
    <t>Git folders</t>
  </si>
  <si>
    <t>A company uses Auto Loader to ingest CSV files into Delta Lake. They need to ensure exactly-once processing even in case of failures. Where does Auto Loader store metadata to support this requirement?</t>
  </si>
  <si>
    <t>In the Delta Lake metadata</t>
  </si>
  <si>
    <t>In a relational database</t>
  </si>
  <si>
    <t>In a key-value store at the checkpoint location</t>
  </si>
  <si>
    <t>In an external NoSQL database</t>
  </si>
  <si>
    <t>Which of the following is a DDL (Data Definition Language) statement that defines a new object in the database?</t>
  </si>
  <si>
    <t>INSERT INTO sales (region, amount) VALUES (‘North‘, 100);</t>
  </si>
  <si>
    <t>DELETE FROM customers WHERE country = ‘US‘;</t>
  </si>
  <si>
    <t>CREATE TABLE products (id INT, name STRING, price DECIMAL(10,2));</t>
  </si>
  <si>
    <t>UPDATE orders SET status = ‘Completed‘ WHERE order_id = 101;</t>
  </si>
  <si>
    <t>A data engineer is tasked with setting up an ETL pipeline using Databricks Live Tables (DLT). They need to ensure data quality by enforcing constraints on the incoming data. Which feature of DLT should they utilize?</t>
  </si>
  <si>
    <t>Data expectations</t>
  </si>
  <si>
    <t>Data deduplication</t>
  </si>
  <si>
    <t>Schema inference</t>
  </si>
  <si>
    <t>During a data governance audit, it is discovered that a Delta table is marked as a managed table within Databricks. What implications does this have for the control and management of the underlying data files? Choose two.</t>
  </si>
  <si>
    <t>The data files are stored in a location managed by Databricks, and users do not have control over the physical storage path.</t>
  </si>
  <si>
    <t>The data files can be directly accessed and modified in their storage location by users.</t>
  </si>
  <si>
    <t>The user must specify the exact location of data files during table creation.</t>
  </si>
  <si>
    <t>Data files are automatically deleted when the managed table is dropped.</t>
  </si>
  <si>
    <t>Which of the following commands will successfully revoke the ‘CREATE TABLE‘ privilege from a group named ‘analysts‘ on a schema named ‘reporting‘ within the catalog ‘finance‘?</t>
  </si>
  <si>
    <t>REVOKE CREATE TABLE ON TABLE finance.reporting FROM ′analysts′;</t>
  </si>
  <si>
    <t>REVOKE CREATE TABLE ON SCHEMA finance.reporting FROM ′analysts′;</t>
  </si>
  <si>
    <t>REVOKE CREATE ON SCHEMA finance.reporting FROM ′analysts′;</t>
  </si>
  <si>
    <t>REVOKE ALL PRIVILEGES ON SCHEMA finance.reporting FROM ′analysts′;</t>
  </si>
  <si>
    <t>Which of the following is NOT a feature provided by Unity Catalog in Databricks?</t>
  </si>
  <si>
    <t>Access Control</t>
  </si>
  <si>
    <t>Data Lineage</t>
  </si>
  <si>
    <t>Real-time Streaming</t>
  </si>
  <si>
    <t>Data Discovery</t>
  </si>
  <si>
    <t>An organization needs to ensure that all data lineage information is accurately captured in Databricks. Which service name relates to tracking data lineage events in the audit logs?</t>
  </si>
  <si>
    <t>dataMonitoring</t>
  </si>
  <si>
    <t>lineageTracking</t>
  </si>
  <si>
    <t>databrickssql</t>
  </si>
  <si>
    <t>database</t>
  </si>
  <si>
    <t>A data engineer needs to ensure that only specific columns from a table are shared with a partner organization using Delta Sharing. Which of the following actions should be taken?</t>
  </si>
  <si>
    <t>Create a view with the required columns and share the view.</t>
  </si>
  <si>
    <t>Share the entire table and instruct the partner to ignore unnecessary columns.</t>
  </si>
  <si>
    <t>Use Unity Catalog to restrict columns during sharing.</t>
  </si>
  <si>
    <t>Create a new table with only the required columns and share it.</t>
  </si>
  <si>
    <t>A company wants to ensure that sensitive data is only accessible to specific users within their Databricks Lakehouse Platform. Which strategy should they use to manage data access effectively?</t>
  </si>
  <si>
    <t>Assign broad privileges at the catalog level to simplify access management.</t>
  </si>
  <si>
    <t>Use external location securable objects to manage access to cloud storage.</t>
  </si>
  <si>
    <t>Implement the principle of least privilege by granting minimum necessary permissions at the required level.</t>
  </si>
  <si>
    <t>Create multiple Hive metastores to isolate data access for different teams.</t>
  </si>
  <si>
    <t>Which of the following is a primary advantage of using Delta Sharing in Databricks for data governance?</t>
  </si>
  <si>
    <t>It allows real-time data updates to be pushed to recipients.</t>
  </si>
  <si>
    <t>It enhances data security and privacy through integrated access control and auditing.</t>
  </si>
  <si>
    <t>It automatically transforms data into formats compatible with recipient platforms.</t>
  </si>
  <si>
    <t>It provides mechanisms for data deduplication before sharing.</t>
  </si>
  <si>
    <t>What is a primary advantage of using Databricks-to-Databricks Delta Sharing over open sharing with bearer tokens?</t>
  </si>
  <si>
    <t>It allows for write access to shared datasets.</t>
  </si>
  <si>
    <t>It eliminates the need for token-based credentials for secure access.</t>
  </si>
  <si>
    <t>It allows sharing with recipients without Databricks workspaces.</t>
  </si>
  <si>
    <t>It provides faster data transfer speeds.</t>
  </si>
  <si>
    <t>A provider organization is using Unity Catalog-enabled Databricks workspace to share data with multiple recipients. What happens if a recipient is deleted from the Unity Catalog metastore?</t>
  </si>
  <si>
    <t>The recipient retains access to the data until the share itself is deleted.</t>
  </si>
  <si>
    <t>The recipient immediately loses access to all shares they previously had.</t>
  </si>
  <si>
    <t>The recipient can still access the data using their existing credentials for a limited time.</t>
  </si>
  <si>
    <t>The recipient loses access only if the provider deletes the share.</t>
  </si>
  <si>
    <t>A data pipeline is being set up to handle real-time data ingestion using Auto Loader in Databricks. Which of the following is a unique feature of Auto Loader that provides a significant advantage over traditional file source ingestion methods?</t>
  </si>
  <si>
    <t>Auto Loader can automatically infer schema changes and apply them without any manual intervention.</t>
  </si>
  <si>
    <t>Auto Loader provides exactly-once processing guarantees without any additional configuration.</t>
  </si>
  <si>
    <t>Auto Loader can scale to accommodate high volumes of data using cloud-native optimizations.</t>
  </si>
  <si>
    <t>Auto Loader requires the data to be pre-partitioned before ingestion.</t>
  </si>
  <si>
    <t>In the context of Databricks Asset Bundles, which command should a data engineer use to create a YAML configuration file for existing resources?</t>
  </si>
  <si>
    <t>databricks bundle init</t>
  </si>
  <si>
    <t>databricks bundle validate</t>
  </si>
  <si>
    <t>databricks bundle generate</t>
  </si>
  <si>
    <t>databricks bundle deploy</t>
  </si>
  <si>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</si>
  <si>
    <t>Use the Repair run to retry the failed task</t>
  </si>
  <si>
    <t>Use the Run Now button to manually trigger a new run</t>
  </si>
  <si>
    <t>Clone the notebook and create a new workflow</t>
  </si>
  <si>
    <t>Delete the failed run and create a new job definition</t>
  </si>
  <si>
    <t>A data engineer inherits a Databricks pipeline that runs very slowly due to memory spills. Question: What is the most cost-effective action to fix the pipeline performance?</t>
  </si>
  <si>
    <t>Enable autoscaling on the cluster</t>
  </si>
  <si>
    <t>Enable Photon</t>
  </si>
  <si>
    <t>Upgrade to memory-optimized workers/drivers</t>
  </si>
  <si>
    <t>Manually increase the cluster size without autoscaling</t>
  </si>
  <si>
    <t>A data engineer is learning about Databricks Asset Bundles (DAB). Which of the following best describes the structure and configuration file used by a DAB?</t>
  </si>
  <si>
    <t>YAML</t>
  </si>
  <si>
    <t>Docker</t>
  </si>
  <si>
    <t>Terraform</t>
  </si>
  <si>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</si>
  <si>
    <t>Set the ‘cloudFiles.inferColumnTypes‘ option to ‘true‘.</t>
  </si>
  <si>
    <t>Use the ‘cloudFiles.maxFilesPerTrigger‘ option.</t>
  </si>
  <si>
    <t>Enable the ‘cloudFiles.validationMode‘ option.</t>
  </si>
  <si>
    <t>Configure the ‘cloudFiles.includeExistingFiles‘ option to ‘false‘.</t>
  </si>
  <si>
    <t>A data engineer is debugging a Python script in a Databricks notebook that processes data from a Spark DataFrame. The script is not producing the expected output. What is the most effective way to identify issues in the script using Databricks‘ debugging tools?</t>
  </si>
  <si>
    <t>Add breakpoints to the lines where the DataFrame is created and transformed, and use the debugger to inspect variable values.</t>
  </si>
  <si>
    <t>Use print statements to output the values of the DataFrame at different stages of the script.</t>
  </si>
  <si>
    <t>Reload the entire notebook to ensure all changes are applied and then rerun the script.</t>
  </si>
  <si>
    <t>Enable the Databricks Assistant to automatically correct errors in the script.</t>
  </si>
  <si>
    <t>A data engineer is implementing a data pipeline using the Medallion Architecture. In which layer would they typically perform transformations to create a star schema for analytics purposes?</t>
  </si>
  <si>
    <t>Bronze layer</t>
  </si>
  <si>
    <t>Silver layer</t>
  </si>
  <si>
    <t>Gold layer</t>
  </si>
  <si>
    <t>Data Lake layer</t>
  </si>
  <si>
    <t>A data engineer is designing a data pipeline that follows the Medallion Architecture. They need to ensure that data is cleansed and validated before it is available for analytics and reporting. Which layer of the Medallion Architecture should they focus on for this purpose?</t>
  </si>
  <si>
    <t>Bronze Layer</t>
  </si>
  <si>
    <t>Silver Layer</t>
  </si>
  <si>
    <t>Gold Layer</t>
  </si>
  <si>
    <t>Raw Layer</t>
  </si>
  <si>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</si>
  <si>
    <t>Increase the number of workers to distribute the load.</t>
  </si>
  <si>
    <t>Switch to a single node with a large instance type.</t>
  </si>
  <si>
    <t>Use general-purpose instances that support Photon.</t>
  </si>
  <si>
    <t>Increase the size of the instances and use fewer workers.</t>
  </si>
  <si>
    <t>In a Databricks workspace, a data engineer is tasked with setting up an ETL pipeline to process streaming data efficiently. They decide to use Lakeflow Declarative Pipelines and Auto Loader. What is one significant advantage of using Auto Loader for this task?</t>
  </si>
  <si>
    <t>Auto Loader requires manual intervention to detect new data files.</t>
  </si>
  <si>
    <t>Auto Loader can only process data from on-premise storage systems.</t>
  </si>
  <si>
    <t>Auto Loader provides automatic schema inference and evolution.</t>
  </si>
  <si>
    <t>Auto Loader processes data in batch mode only.</t>
  </si>
  <si>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</si>
  <si>
    <t>groupBy([‘customer_id‘]).agg({‘amount‘: ‘avg‘})</t>
  </si>
  <si>
    <t>select([‘customer_id‘, ‘avg(amount)‘])</t>
  </si>
  <si>
    <t>groupBy(‘transaction_id‘).avg(‘amount‘)</t>
  </si>
  <si>
    <t>withColumn(‘avg_revenue‘, avg(‘amount‘))</t>
  </si>
  <si>
    <t>A company wants to securely share a subset of their Delta tables with an external partner using Delta Sharing within Unity Catalog. What is a prerequisite step before they can share these tables?</t>
  </si>
  <si>
    <t>Ensure that the tables are stored in a Unity Catalog-enabled metastore and that Delta Sharing is enabled for the metastore by an account admin.</t>
  </si>
  <si>
    <t>Enable Structured Streaming in the existing workspace.</t>
  </si>
  <si>
    <t>Create external tables in the partner‘s workspace.</t>
  </si>
  <si>
    <t>Bind cloud storage access to the partner‘s workspace.</t>
  </si>
  <si>
    <t>A data engineering team needs to share a set of Delta tables with an external partner who does not use Databricks. Which Delta Sharing protocol should be used in this scenario?</t>
  </si>
  <si>
    <t>Databricks-to-Databricks sharing protocol</t>
  </si>
  <si>
    <t>Databricks open sharing protocol</t>
  </si>
  <si>
    <t>Incorrect. Customer-managed open-source Delta Sharing server</t>
  </si>
  <si>
    <t>HTTP-based REST API</t>
  </si>
  <si>
    <t>A data engineer at a company needs to share data stored in a Databricks workspace with a partner company that uses a different Databricks account on Azure. The partner company also has Unity Catalog enabled. Which method should the data engineer use to securely share this data?</t>
  </si>
  <si>
    <t>Use Delta Sharing via Databricks-to-Databricks sharing.</t>
  </si>
  <si>
    <t>Use open-source Delta Sharing with token-based authentication.</t>
  </si>
  <si>
    <t>Use a direct network connection between the two Databricks workspaces.</t>
  </si>
  <si>
    <t>Use Unity Catalog‘s built-in sharing capabilities between different accounts.</t>
  </si>
  <si>
    <t>A data engineer is tasked with sharing data stored in a Databricks Lakehouse across different cloud platforms. What is the most cost-effective way to achieve this while maintaining governance and security using Unity Catalog?</t>
  </si>
  <si>
    <t>Use Delta Sharing to share data with external platforms without copying data.</t>
  </si>
  <si>
    <t>Copy data to each cloud platform and manage permissions separately.</t>
  </si>
  <si>
    <t>Deploy a multi-cloud data warehouse to centralize data management.</t>
  </si>
  <si>
    <t>Utilize third-party data sharing services.</t>
  </si>
  <si>
    <t>A company wants to leverage Lakehouse Federation to enable its data analysts to query data from an external Oracle database without data migration. Which of the following steps should the data engineer take to set this up?</t>
  </si>
  <si>
    <t>Create a connection to the Oracle database using the Databricks REST API.</t>
  </si>
  <si>
    <t>Migrate all Oracle data to Databricks Delta Lake before querying.</t>
  </si>
  <si>
    <t>Use Unity Catalog to create a foreign catalog that mirrors the Oracle database.</t>
  </si>
  <si>
    <t>Set up a real-time data replication system from Oracle to Databricks.</t>
  </si>
  <si>
    <t>A data engineering team is using Databricks Lakehouse Federation to integrate data from various external sources. They have noticed that some table names are not being imported into the foreign catalog. What could be the reason for this issue?</t>
  </si>
  <si>
    <t>The table names contain case-sensitive identifiers.</t>
  </si>
  <si>
    <t>The table names do not comply with Unity Catalog naming rules.</t>
  </si>
  <si>
    <t>The tables are exceeding the resource quotas set by Databricks.</t>
  </si>
  <si>
    <t>The tables use uppercase letters in their names.</t>
  </si>
  <si>
    <t>A data engineer is writing a Databricks notebook that uses both PySpark and SQL. In a %sql cell, they try to reference a Python variable defined earlier, but they get an error. What is the most likely reason?</t>
  </si>
  <si>
    <t>Databricks notebooks only support Scala and SQL, not Python.</t>
  </si>
  <si>
    <t>Databricks does not allow using Python variables inside SQL cells directly without using a special syntax.</t>
  </si>
  <si>
    <t>Only one programming language is allowed per notebook in Databricks.</t>
  </si>
  <si>
    <t>Databricks allows using Python variables in SQL cells directly without any conversion.</t>
  </si>
  <si>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</si>
  <si>
    <t>A Databricks workspace is integrated with GitHub, and a team of data engineers wants to productionize their Databricks workflows in a repeatable and automated way. Which of the following is the best approach to promote and deploy workloads to production?</t>
  </si>
  <si>
    <t>Manually copy notebooks and workflows to the production environment</t>
  </si>
  <si>
    <t>Use GitHub Actions to deploy a Databricks Asset Bundle (DAB) using the Databricks CLI</t>
  </si>
  <si>
    <t>Use Terraform to export and apply notebook source files directly without Git</t>
  </si>
  <si>
    <t>Export notebooks as HTML and archive them in the production environment</t>
  </si>
  <si>
    <t>A data engineer is tasked with setting up a secure and scalable mechanism to share a subset of Delta tables with external partners who are not on the same Databricks workspace or account. Which Databricks feature should they leverage?</t>
  </si>
  <si>
    <t>Unity Catalog with Delta Sharing</t>
  </si>
  <si>
    <t>Unity Catalog Lineage</t>
  </si>
  <si>
    <t>Databricks Jobs API</t>
  </si>
  <si>
    <t>Mount ADLS folder with access credentials</t>
  </si>
  <si>
    <t>How are audit logs saved in the Databricks Data Intelligence Platform by default?</t>
  </si>
  <si>
    <t>Plain text</t>
  </si>
  <si>
    <t>XML</t>
  </si>
  <si>
    <t>If you need to find all dependencies (such as upstream tables, notebooks, jobs) of a data object in Databricks using data lineage, what should you do?</t>
  </si>
  <si>
    <t>Use data lineage  it captures all table, notebook, job, and pipeline dependencies</t>
  </si>
  <si>
    <t>Manually trace dependencies using queries outside Databricks</t>
  </si>
  <si>
    <t>Use lineage, but it only works for column dependencies</t>
  </si>
  <si>
    <t>A data engineering team is using a Databricks notebook to process data using Python but needs to perform some advanced statistical analysis using R in the same notebook. How should they proceed?</t>
  </si>
  <si>
    <t>Embed R code within Python code using ′rpy2′ package.</t>
  </si>
  <si>
    <t>Open a new notebook dedicated to R and export data from the Python notebook.</t>
  </si>
  <si>
    <t>Use the ′%r′ magic command to execute R code directly in the same notebook.</t>
  </si>
  <si>
    <t>Use a Databricks connector to send data to an external R environment.</t>
  </si>
  <si>
    <t>A data engineer is tasked with setting up an ETL pipeline using Databricks to process new files as they arrive in a cloud storage directory. Which feature should they use to efficiently handle this task?</t>
  </si>
  <si>
    <t>Lakeflow Declarative Pipelines</t>
  </si>
  <si>
    <t>Databricks Terraform provider</t>
  </si>
  <si>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</si>
  <si>
    <t>Replace .read with .readStream.</t>
  </si>
  <si>
    <t>Add a .stream method call after .read.</t>
  </si>
  <si>
    <t>Change .format(“cloudFiles“) to .format(“stream“).</t>
  </si>
  <si>
    <t>Add a .stream method after the spark object.</t>
  </si>
  <si>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</si>
  <si>
    <t>Export both datasets to a Delta Lake table in ADLS using scheduled ETL jobs</t>
  </si>
  <si>
    <t>Copy the data from both sources into Databricks and create temporary views</t>
  </si>
  <si>
    <t>Use Databricks Query Federation to directly query the external sources</t>
  </si>
  <si>
    <t>Write separate queries for each source and join the results manually in a notebook</t>
  </si>
  <si>
    <t>You want to ingest a large number of .png image files stored in a cloud object store into Databricks using Auto Loader. Which code snippet below correctly configures the Auto Loader to efficiently ingest only the PNG images?</t>
  </si>
  <si>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</si>
  <si>
    <t>df.select(“region“).agg(sum(“sales“).alias(“total_sales“)).show()</t>
  </si>
  <si>
    <t>df.groupBy(“region“).agg(sum(“sales“).alias(“total_sales“)).show()</t>
  </si>
  <si>
    <t>df.groupBy(“region“).sum(“sales“).alias(“total_sales“).show()</t>
  </si>
  <si>
    <t>df.groupBy().agg(sum(“sales“)).show()</t>
  </si>
  <si>
    <t>A data engineer is querying a managed Delta table that has Predictive I/O Optimization enabled, but query performance is still poor for selective filters on high-cardinality columns. What is the most effective next step to improve performance?</t>
  </si>
  <si>
    <t>Convert the table to an external table and re-run the query</t>
  </si>
  <si>
    <t>Enable Z-Ordering on frequently filtered columns</t>
  </si>
  <si>
    <t>Enable Liquid Clustering and define clustering keys</t>
  </si>
  <si>
    <t>Disable Predictive Optimization and re-enable it manually after running OPTIMIZE</t>
  </si>
  <si>
    <t>Which of the following best describes a common characteristic of the gold layer in the medallion architecture?</t>
  </si>
  <si>
    <t>The gold layer contains raw source data with all its original structure and duplicates</t>
  </si>
  <si>
    <t>The gold layer is normalized, write-optimized, and used primarily for ETL staging</t>
  </si>
  <si>
    <t>The gold layer is denormalized, business-ready, and read-optimized for analytics and reporting</t>
  </si>
  <si>
    <t>The gold layer is used to capture failed records and corrupted data for later remediation</t>
  </si>
  <si>
    <t>Which of the following best captures the key advantages of using Delta Live Tables (DLT) in Databricks?</t>
  </si>
  <si>
    <t>Supports only batch pipelines with SQL-based transformations and schema drift handling</t>
  </si>
  <si>
    <t>Offers CDC tracking, real-time data quality checks via expectations, and unified batch &amp; streaming processing</t>
  </si>
  <si>
    <t>Provides fully manual ETL orchestration, Spark-native notebooks, and file-level schema editing</t>
  </si>
  <si>
    <t>Allows only Python-based pipeline definitions and requires external tools for data validation</t>
  </si>
  <si>
    <t>A data engineer needs to share data from one Databricks workspace to another Databricks workspace used by an external team/department. What is the first piece of information you should ask them to enable secure sharing?</t>
  </si>
  <si>
    <t>IP address of the Unity Catalog cluster.</t>
  </si>
  <si>
    <t>Metastore identifier of the Unity Catalog.</t>
  </si>
  <si>
    <t>Workspace password.</t>
  </si>
  <si>
    <t>Personal access token (PAT) of the recipient.</t>
  </si>
  <si>
    <t>You are ingesting streaming data from Kafka into Databricks and want to maintain the full history of the data while keeping storage costs low. In which layer should you store this data?</t>
  </si>
  <si>
    <t>Raw layer</t>
  </si>
  <si>
    <t>Which of the following best describes Auto Loader in Databricks?</t>
  </si>
  <si>
    <t>Supports batch ingestion only and schema evolution, but not streaming.</t>
  </si>
  <si>
    <t>Supports both batch and streaming ingestion, but does not support schema evolution.</t>
  </si>
  <si>
    <t>Supports streaming ingestion only, along with schema evolution, but not batch.</t>
  </si>
  <si>
    <t>Supports both batch and streaming ingestion, and also supports schema evolution.</t>
  </si>
  <si>
    <t>A Databricks job keeps failing, and the Spark UI shows the following error: java.lang.OutOfMemoryError: Java heap space What is the most appropriate action to fix this issue?</t>
  </si>
  <si>
    <t>Increase the worker node memory or use a larger cluster instance type.</t>
  </si>
  <si>
    <t>Add more partitions to increase parallelism without changing memory.</t>
  </si>
  <si>
    <t>Ignore the error and re-run the job.</t>
  </si>
  <si>
    <t>Switch the cluster to serverless mode.</t>
  </si>
  <si>
    <t>In the medallion architecture, which two of the following correctly describe the gold layer?</t>
  </si>
  <si>
    <t>Normalized</t>
  </si>
  <si>
    <t>Denormalized</t>
  </si>
  <si>
    <t>Read-optimized</t>
  </si>
  <si>
    <t>Legacy of history</t>
  </si>
  <si>
    <t>Raw format</t>
  </si>
  <si>
    <t>A PySpark job is failing because a function breaks whenever the input data type changes. What is the best way to find out what data type is being passed so you can identify the issue?</t>
  </si>
  <si>
    <t>Use a variable watcher tool to track the variable during execution.</t>
  </si>
  <si>
    <t>Add print() statements or log the schema/data type before the function is called.</t>
  </si>
  <si>
    <t>Check the Spark UI for the data type information.</t>
  </si>
  <si>
    <t>Set a breakpoint in the function to inspect the variable.</t>
  </si>
  <si>
    <t>Given a PySpark DataFrame df with columns region and sales, which code correctly calculates total sales, average sales, and total number of sales per region?</t>
  </si>
  <si>
    <t>You need to ingest data from a JSON file in Amazon S3 (s3://my-bucket/data.json) without Auto Loader and write it as a DLT table. Which code correctly implements this?</t>
  </si>
  <si>
    <t>You need to identify objects and dependencies (tables/views/columns, notebooks, jobs, and dashboards) across your Databricks lakehouse. Which statement about using Unity Catalog data lineage is correct?</t>
  </si>
  <si>
    <t>Databricks Documentation</t>
  </si>
  <si>
    <t>Use lineage only for reports/dashboards.</t>
  </si>
  <si>
    <t>Use lineage only for notebooks.</t>
  </si>
  <si>
    <t>Use Unity Catalog lineage to analyze dependencies across reports, notebooks, jobs, SQL queries, and tables/columns (via Catalog Explorer or lineage system tables).</t>
  </si>
  <si>
    <t>You have a Delta table partitioned by date with a high-cardinality customer_id. Most queries filter by customer_id first, then by date. What is the best layout change to optimize reads?</t>
  </si>
  <si>
    <t>Enable Liquid Clustering on (customer_id, date) and drop partitions.</t>
  </si>
  <si>
    <t>Enable Liquid Clustering on (customer_id) but keep date partitioning.</t>
  </si>
  <si>
    <t>Keep only date partitioning; do not use Liquid Clustering.</t>
  </si>
  <si>
    <t>Enable Liquid Clustering on (date) only and drop partitions.</t>
  </si>
  <si>
    <t>You must grant read access to shared Delta tables for an external non-Databricks workspace. Which authentication approach is the best practice for cross-org access?</t>
  </si>
  <si>
    <t>Generate a long-lived bearer token and share it with the recipient.</t>
  </si>
  <si>
    <t>Share the Databricks workspace password with the recipient.</t>
  </si>
  <si>
    <t>Provide an SSH key for cluster nodes to the recipient.</t>
  </si>
  <si>
    <t>In a scenario where a data engineering team is utilizing Databricks for processing a large dataset with complex transformations, which engine should they leverage to maximize performance, and why?</t>
  </si>
  <si>
    <t>Use the default Python interpreter for processing data.</t>
  </si>
  <si>
    <t>Enable Photon engine for enhanced query performance.</t>
  </si>
  <si>
    <t>Use Apache Hive for its compatibility with SQL.</t>
  </si>
  <si>
    <t>Use Apache Spark for its distributed processing capabilities.</t>
  </si>
  <si>
    <t>A new data-analyst group must have read-only access to specific schema in Unity Catalog. What minimum privileges should you grant so they can query the tables in a particula schema but cannot create/modify anything?</t>
  </si>
  <si>
    <t>In Unity Catalog, a team needs write access to an existing table in the catalog manufacturing, schema quality. What is the minimum set of grants you should give to the group manufacting-team?</t>
  </si>
  <si>
    <t>You need to share tables and views between internal and external users. Internal users should have read/write access. External users should have read-only access. What is the most suitable approach?</t>
  </si>
  <si>
    <t>Set up Delta Sharing with read-only access for external users, and grant read/write permissions directly to internal users in Unity Catalog.</t>
  </si>
  <si>
    <t>Grant both internal and external users read/write access via Delta Sharing.</t>
  </si>
  <si>
    <t>Use Delta Sharing for internal users and direct Unity Catalog access for external users.</t>
  </si>
  <si>
    <t>Export tables to files and share them with external users via cloud storage.</t>
  </si>
  <si>
    <t>A new data engineering team team has been assigned to an ELT project. The new data engineering team will need full privileges on the table sales to fully manage the project. Which command can be used to grant full permissions on the database to the new data engineering team?</t>
  </si>
  <si>
    <t>GRANT SELECT ON TABLE sales TO team;</t>
  </si>
  <si>
    <t>GRANT USAGE ON TABLE sales TO team;</t>
  </si>
  <si>
    <t>GRANT ALL PRIVILEGES ON TABLE team TO sales;</t>
  </si>
  <si>
    <t>GRANT ALL PRIVILEGES ON TABLE sales TO team;</t>
  </si>
  <si>
    <t>In Databricks Delta Live Tables (DLT), what is the key difference between defining a LIVE TABLE and a STREAMING TABLE?</t>
  </si>
  <si>
    <t>LIVE TABLE continuously ingests data in real-time, while STREAMING TABLE only works with batch data.</t>
  </si>
  <si>
    <t>LIVE TABLE may recompute the entire dataset on each update, while STREAMING TABLE processes only new or changed data since the last update.</t>
  </si>
  <si>
    <t>STREAMING TABLE requires manual pipeline management, while LIVE TABLE enables full automation.</t>
  </si>
  <si>
    <t>STREAMING TABLEs cannot be queried by downstream tables in a pipeline, while LIVE TABLEs can.</t>
  </si>
  <si>
    <t>Which of the below options is correct about the medallion layers?</t>
  </si>
  <si>
    <t>Raw layer: An official medallion layer used for BI dashboards; data is stored as CSV and frequently overwritten for freshness.</t>
  </si>
  <si>
    <t>Gold layer: Highly normalized and optimized for fast writes during ETL; not intended for analytics.</t>
  </si>
  <si>
    <t>Bronze layer: Data is kept very close to the source (column names/types largely preserved) with minimal transformations and stored in Delta format.</t>
  </si>
  <si>
    <t>How do you calculate the average value of the “salary“ column grouped by “department“ in PySpark?</t>
  </si>
  <si>
    <t>df.groupBy(“department“).avg(“salary“)</t>
  </si>
  <si>
    <t>df.groupBy(“department“).sum(“salary“)</t>
  </si>
  <si>
    <t>df.groupBy(“department“).count(“salary“)</t>
  </si>
  <si>
    <t>df.groupBy(“department“).max(“salary“)</t>
  </si>
  <si>
    <t>Your gold table sales_gold is being used by a powers BI dashboards that commonly filter on customer_id and order_date. Due to frequent small writes, the table has many small files and reads are slow. Which command best improves read performance while also compacting files?</t>
  </si>
  <si>
    <t>OPTIMIZE sales_gold ZORDER BY (customer_id, order_date);</t>
  </si>
  <si>
    <t>VACUUM sales_gold;</t>
  </si>
  <si>
    <t>ANALYZE TABLE sales_gold COMPUTE STATISTICS;</t>
  </si>
  <si>
    <t>OPTIMIZE sales_gold;</t>
  </si>
  <si>
    <t>A data engineer needs to perform data processing in a Databricks notebook using both Python and SQL. They want to create a DataFrame using Python and process it using SQL in the same notebook. What is a valid approach to achieve this?</t>
  </si>
  <si>
    <t>Convert the DataFrame to a temporary view and then use SQL magic commands to query it.</t>
  </si>
  <si>
    <t>Use the %run magic command to execute SQL code in the Python cell.</t>
  </si>
  <si>
    <t>Import the DataFrame directly into SQL using a special import statement.</t>
  </si>
  <si>
    <t>Switch the notebook‘s language to SQL and access the DataFrame directly.</t>
  </si>
  <si>
    <t>You need to extract data from a directory of Parquet files stored in an S3 bucket and load it into a Delta Lake table. Which of the following steps should you take as part of your ETL pipeline?</t>
  </si>
  <si>
    <t>Create a new Delta Lake table from an empty DataFrame.</t>
  </si>
  <si>
    <t>Use Databricks SQL to extract data from Parquet files and insert into Delta Lake.</t>
  </si>
  <si>
    <t>Use the COPY INTO command to load data directly from S3 into a Delta table.</t>
  </si>
  <si>
    <t>Manually copy files from S3 to a local directory and load them using Spark.</t>
  </si>
  <si>
    <t>While inspecting the directory structure of Delta Lake files, a data engineer notices multiple ‘_delta_log‘ directories. What is the primary purpose of these directories?</t>
  </si>
  <si>
    <t>To store the actual data files</t>
  </si>
  <si>
    <t>To maintain a version history of the table</t>
  </si>
  <si>
    <t>To store backup copies of data</t>
  </si>
  <si>
    <t>To organize data into partitions</t>
  </si>
  <si>
    <t>A data engineering team is tasked with converting a column ‘event_time‘ from a string format ‘yyyy-MM-dd HH:mm:ss‘ to a timestamp in Databricks. They want to ensure that any malformed timestamps return NULL instead of raising an error. Which function should they use?</t>
  </si>
  <si>
    <t>CAST(event_time AS TIMESTAMP)</t>
  </si>
  <si>
    <t>TO_TIMESTAMP(event_time, ‘yyyy-MM-dd HH:mm:ss‘)</t>
  </si>
  <si>
    <t>try_to_timestamp(event_time)</t>
  </si>
  <si>
    <t>STR_TO_TIMESTAMP(event_time, ‘yyyy-MM-dd HH:mm:ss‘)</t>
  </si>
  <si>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</si>
  <si>
    <t>All datasets will be updated at set intervals until the pipeline is shut down.The compute resources will persist after the pipeline is stopped to allow for additional testing.</t>
  </si>
  <si>
    <t>All datasets will be updated at set intervals until the pipeline is shut down.The compute resources will be deployed for the update and terminated when the pipeline is stopped.</t>
  </si>
  <si>
    <t>A company needs to share data between two systems ‘ one on AWS and another on Azure ‘ while keeping egress costs minimal. Which approach is most suitable?</t>
  </si>
  <si>
    <t>Set up a VPN connection between the two systems.</t>
  </si>
  <si>
    <t>Use Cloudflare R2 for cross-cloud storage.</t>
  </si>
  <si>
    <t>Use Delta Sharing to share data without replication.</t>
  </si>
  <si>
    <t>Generate read-only signed URLs for the files.</t>
  </si>
  <si>
    <t>A data engineer needs to build a DLT pipeline to ingest messages from a Kafka topic named “sales_events“ and write the processed data into a Delta table. Which of the following code snippets correctly defines a DLT table to achieve this?</t>
  </si>
  <si>
    <t>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t>
  </si>
  <si>
    <t>The column should have a high cardinality.</t>
  </si>
  <si>
    <t>The column should have statistics collected on it.</t>
  </si>
  <si>
    <t>The column should have few unique values.</t>
  </si>
  <si>
    <t>The column should be the first column in the table schema.</t>
  </si>
  <si>
    <t>Imagine you have a Delta Live Table pipeline with the following constraint: CONSTRAINT recent_date EXPECT(date &gt;= current_date() – INTERVAL 30 DAYS) ON VIOLATION FAIL UPDATE What happens if a row with an outdated date is processed?</t>
  </si>
  <si>
    <t>The row is removed from the processing pipeline.</t>
  </si>
  <si>
    <t>The row is logged and processed as usual.</t>
  </si>
  <si>
    <t>The entire pipeline update fails, requiring manual intervention.</t>
  </si>
  <si>
    <t>The row is written to an error log but not to the target table.</t>
  </si>
  <si>
    <t>You are implementing a Delta Sharing solution where recipients will access data using Databricks-to-Databricks sharing. What is a key requirement for the recipient workspace in this scenario?</t>
  </si>
  <si>
    <t>The recipient workspace must have Unity Catalog enabled.</t>
  </si>
  <si>
    <t>The recipient must be on the same cloud provider as the data provider.</t>
  </si>
  <si>
    <t>The recipient must use OIDC token federation.</t>
  </si>
  <si>
    <t>The recipient must have a separate account in the provider‘s Databricks workspace.</t>
  </si>
  <si>
    <t>How can data lineage in Unity Catalog help reduce the costs associated with cross-cloud data sharing?</t>
  </si>
  <si>
    <t>By providing detailed cost analysis reports.</t>
  </si>
  <si>
    <t>By optimizing data placement to minimize transfer fees.</t>
  </si>
  <si>
    <t>By identifying unused data assets that can be archived.</t>
  </si>
  <si>
    <t>By automatically compressing data before transfer.</t>
  </si>
  <si>
    <t>When using Lakehouse Federation to connect to an external MySQL database, a data engineer notices that queries are being throttled. What could be a potential cause and solution for this issue?</t>
  </si>
  <si>
    <t>The data engineer should increase the Databricks SQL concurrent query limit.</t>
  </si>
  <si>
    <t>Ensure the foreign catalog is properly configured with the correct data type mappings.</t>
  </si>
  <si>
    <t>Check if the MySQL server has reached its connection limit and increase it if necessary.</t>
  </si>
  <si>
    <t>Reduce the number of active queries running across all SQL warehouses.</t>
  </si>
  <si>
    <t>Which optimized storage layer in the Databricks Data Intelligence Platform provides full ACID transaction support?</t>
  </si>
  <si>
    <t>Data Lake</t>
  </si>
  <si>
    <t>File System</t>
  </si>
  <si>
    <t>Parquet Files</t>
  </si>
  <si>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</si>
  <si>
    <t>The engineer should change format(“cloudFiles“) to format(“autoLoader“).</t>
  </si>
  <si>
    <t>No change is needed; Databricks automatically uses Auto Loader for all streaming reads.</t>
  </si>
  <si>
    <t>No change is needed; using format(“cloudFiles“) is the correct way to enable Auto Loader.</t>
  </si>
  <si>
    <t>The engineer needs to add a .autoLoader method before .load(sourcePath).</t>
  </si>
  <si>
    <t>A task in your Databricks job has failed, and you need to diagnose and address the issue. Upon inspecting the task run details, you notice an error message indicating insufficient compute resources. Which action is most appropriate to resolve this issue?</t>
  </si>
  <si>
    <t>Increase the cluster size for the task and repair the failed job run.</t>
  </si>
  <si>
    <t>Check if the upstream data source is available and repair the job run.</t>
  </si>
  <si>
    <t>Re-run the entire job without any changes and hope it succeeds.</t>
  </si>
  <si>
    <t>Modify the task to use a different notebook path and repair the job run.</t>
  </si>
  <si>
    <t>In an ETL pipeline using Databricks Delta Live Tables (DLT), you have set a constraint to ensure that no duplicate entries are written into a target table. What happens if a record violates this constraint when using ‘ON VIOLATION DROP ROW‘?</t>
  </si>
  <si>
    <t>The violating record is written to a separate error table for later review.</t>
  </si>
  <si>
    <t>The entire data flow fails, requiring manual intervention to proceed.</t>
  </si>
  <si>
    <t>The violating record is dropped before being written to the target table.</t>
  </si>
  <si>
    <t>The violating record is written to the target table with a warning.</t>
  </si>
  <si>
    <t>A data engineer is using Auto Loader to process JSON files stored in a cloud storage. They notice that all columns are inferred as STRING types. Which of the following could be a reason for this behavior?</t>
  </si>
  <si>
    <t>The cloudFiles.inferColumnTypes option is not set to true.</t>
  </si>
  <si>
    <t>The JSON files are malformed and contain syntax errors.</t>
  </si>
  <si>
    <t>The Auto Loader is configured with the schemaEvolutionMode set to rescue.</t>
  </si>
  <si>
    <t>The schema of the JSON files contains nested structures.</t>
  </si>
  <si>
    <t>There is a dataframe like beow: | Region | Product | Sales | |——–|————-|——-| | North | Books | 100 | | North | Electronics | 200 | | South | Books | 150 | | South | Electronics | 300 | | East | Books | 50 | | East | Electronics | 120 | Which code correctly returns total sales and average sales for each product?</t>
  </si>
  <si>
    <t>df.groupBy(“product“).agg(sum(“sales“).alias(“total_sales“)).show()</t>
  </si>
  <si>
    <t>df.select(“product“, sum(“sales“), avg(“sales“)).show()</t>
  </si>
  <si>
    <t>df.groupBy(“product“).agg(sum(“sales“).alias(“total_sales“), avg(“sales“).alias(“avg_sales“)).show()</t>
  </si>
  <si>
    <t>df.groupBy(“product“).sum(“sales“, “avg(sales)“).show()</t>
  </si>
  <si>
    <t>Which of the following best describes language support in Databricks notebooks?</t>
  </si>
  <si>
    <t>Only SQL and Scala are supported in Databricks notebooks.</t>
  </si>
  <si>
    <t>You can mix multiple languages in a single cell.</t>
  </si>
  <si>
    <t>You can mix multiple languages in a notebook, but only one language per cell.</t>
  </si>
  <si>
    <t>Each notebook is restricted to a single language type.</t>
  </si>
  <si>
    <t>Which of the following statements accurately describes Databricks Auto Loader?</t>
  </si>
  <si>
    <t>Auto Loader only supports batch ingestion of data.</t>
  </si>
  <si>
    <t>Auto Loader only supports streaming ingestion and does not support batch mode.</t>
  </si>
  <si>
    <t>Auto Loader supports both streaming and batch ingestion of data using optimized APIs.</t>
  </si>
  <si>
    <t>Auto Loader does not support schema evolution.</t>
  </si>
  <si>
    <t>When managing a Databricks table, how can you add a comment to the table to provide additional context or documentation?</t>
  </si>
  <si>
    <t>In Databricks Delta Live Tables (DLT), what is the key difference between defining a MATERIALIZED VIEWS and a STREAMING TABLE?</t>
  </si>
  <si>
    <t>MATERIALIZED VIEWS continuously ingests data in real-time, while STREAMING TABLE only works with batch data.</t>
  </si>
  <si>
    <t>MATERIALIZED VIEWS  always recomputes the entire dataset on each update, while STREAMING TABLE processes only new or changed data since the last update.</t>
  </si>
  <si>
    <t>STREAMING TABLE requires manual pipeline management, while MATERIALIZED VIEWS  enables full automation.</t>
  </si>
  <si>
    <t>STREAMING TABLEs cannot be queried by downstream tables in a pipeline, while MATERIALIZED VIEWS can.</t>
  </si>
  <si>
    <t>Which of the following is a key difference between all-purpose clusters and jobs clusters in Databricks?</t>
  </si>
  <si>
    <t>All-purpose clusters can be shared among multiple users, while jobs clusters are dedicated to a single job run.</t>
  </si>
  <si>
    <t>Jobs clusters remain active indefinitely unless manually terminated.</t>
  </si>
  <si>
    <t>All-purpose clusters are automatically terminated after a job completes.</t>
  </si>
  <si>
    <t>Jobs clusters are ideal for interactive analytics and ad-hoc data exploration.</t>
  </si>
  <si>
    <t>A data engineer wants to share a set of Delta tables with a third-party organization that does not use Databricks. What is the appropriate approach to enable this data sharing while ensuring security?</t>
  </si>
  <si>
    <t>Use Databricks-to-Databricks Delta Sharing.</t>
  </si>
  <si>
    <t>Implement open-source Delta Sharing with bearer-token-based credentials.</t>
  </si>
  <si>
    <t>Export the data as CSV files and email them to the third-party organization.</t>
  </si>
  <si>
    <t>Create a REST API to handle data requests from the third-party organization.</t>
  </si>
  <si>
    <t>To grant all privileges on a specific table to a user or a group in Databricks Unity Catalog, which of the following SQL statements would you use?</t>
  </si>
  <si>
    <t>GRANT ALL PRIVILEGES ON TABLE table_name TO user_or_group;</t>
  </si>
  <si>
    <t>ALLOW ALL RIGHTS ON TABLE table_name TO user_or_group;</t>
  </si>
  <si>
    <t>GIVE FULL ACCESS ON TABLE table_name TO user_or_group;</t>
  </si>
  <si>
    <t>GRANT ALL ON DATABASE database_name TO user_or_group;</t>
  </si>
  <si>
    <t>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t>
  </si>
  <si>
    <t>Databricks File System (DBFS)</t>
  </si>
  <si>
    <t>A Delta Live Tables dataset has been defined with an EXPECTATIONS clause to enforce data quality: CONSTRAINT check_valid_date EXPECT (event_time &gt; ‘2021-01-01‘) What happens when a batch of incoming data includes records that fail this constraint?</t>
  </si>
  <si>
    <t>The records that do not meet the condition are still written to the output table and marked as invalid in the event log.</t>
  </si>
  <si>
    <t>The invalid records are excluded from the output table and are captured as invalid entries in the event log.</t>
  </si>
  <si>
    <t>The job fails when it encounters records that violate the constraint.</t>
  </si>
  <si>
    <t>The records are written to the output table but flagged as invalid using an extra column.</t>
  </si>
  <si>
    <t>Which of the following best describes Open Delta Sharing in Databricks?</t>
  </si>
  <si>
    <t>A feature that allows sharing Delta tables only with other Databricks workspaces within the same account.</t>
  </si>
  <si>
    <t>A feature that allows securely sharing Delta tables with external recipients, even if they do not use Databricks.</t>
  </si>
  <si>
    <t>A service used to replicate data across regions for disaster recovery.</t>
  </si>
  <si>
    <t>A feature for exporting Delta tables to CSV for non-Databricks users.</t>
  </si>
  <si>
    <t>Which of the following are valid authentication methods supported by Open Delta Sharing in Databricks?</t>
  </si>
  <si>
    <t>Long-lived bearer tokens and OpenID Connect (OIDC) federation.</t>
  </si>
  <si>
    <t>Shared database credentials (username/password) and CSV file passwords.</t>
  </si>
  <si>
    <t>Temporary SSH keys and SAML-based session tokens only.</t>
  </si>
  <si>
    <t>Only Databricks personal access tokens.</t>
  </si>
  <si>
    <t>A data engineering team wants to share a Delta table of sales data with an external business partner who does not have a Databricks account but uses a BI tool that supports open protocols. Which approach should they use?</t>
  </si>
  <si>
    <t>Export the table as a CSV file and send it manually to the partner weekly.</t>
  </si>
  <si>
    <t>Use Open Delta Sharing and provide secure access via either a bearer token or OIDC federation.</t>
  </si>
  <si>
    <t>Set up a cross-account mount in Azure Databricks to share the table directly.</t>
  </si>
  <si>
    <t>A data engineer wants to allow user_jane to create new tables in the schema main.sales_schema, following the principle of least privilege. Which set of privilege grants should the engineer use?</t>
  </si>
  <si>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</si>
  <si>
    <t>Use an interactive debugger directly on the Databricks cluster to step through UDF execution.</t>
  </si>
  <si>
    <t>Check cluster logs and driver/executor error messages to trace the failure and identify the unexpected data types.</t>
  </si>
  <si>
    <t>Rerun the notebook manually with %run magic command to see if it works next time.</t>
  </si>
  <si>
    <t>Enable Photon execution engine to optimize the UDF and automatically handle schema changes.</t>
  </si>
  <si>
    <t>Which of the following statements correctly describes the different types of Databricks SQL Warehouses available for running SQL queries?</t>
  </si>
  <si>
    <t>Classic SQL Warehouse supports basic SQL execution but lacks advanced features like Predictive I/O and workload management that are available in Pro SQL Warehouses.</t>
  </si>
  <si>
    <t>Pro SQL Warehouses run in your cloud account, support Photon and Predictive IO, but not Intelligent Workload Management, and have slower startup and limited autoscaling.</t>
  </si>
  <si>
    <t>Serverless SQL Warehouses remove the need for cluster management, automatically scale compute resources, and reduce startup latency for SQL queries.</t>
  </si>
  <si>
    <t>All of the above.</t>
  </si>
  <si>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</si>
  <si>
    <t>Grant read access directly on the ADLS storage container to analysts.</t>
  </si>
  <si>
    <t>Grant SELECT on all tables in the schema to analysts.</t>
  </si>
  <si>
    <t>Use Unity Catalog GRANT SELECT only on the required external tables for analysts.</t>
  </si>
  <si>
    <t>Manually copy only the required data into a separate Delta table and share that with analysts.</t>
  </si>
  <si>
    <t>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t>
  </si>
  <si>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</si>
  <si>
    <t>spark.conf.set(“spark.sql.shuffle.partitions“, 50) to reduce the number of shuffle partitions to match the dataset size.</t>
  </si>
  <si>
    <t>spark.conf.set(“spark.dynamicAllocation.enabled“, false) to disable autoscaling and reduce shuffle cost.</t>
  </si>
  <si>
    <t>spark.conf.set(“spark.executor.memory“, “50g“) to increase executor memory and avoid shuffle.</t>
  </si>
  <si>
    <t>spark.conf.set(“spark.sql.adaptive.enabled“, false) to disable Adaptive Query Execution (AQE) for better control over shuffle partitions.</t>
  </si>
  <si>
    <t>A data engineer observes that a PySpark job is running slower than expected. In the Spark UI, they notice that the CPU Time is much higher than the Task Time across multiple stages. What should the data engineer do to address this issue?</t>
  </si>
  <si>
    <t>High CPU Time vs Task Time means the cluster is being efficiently utilized, hence no action is required.</t>
  </si>
  <si>
    <t>High CPU Time vs Task Time means overutilized memory and something needs to be done.</t>
  </si>
  <si>
    <t>High CPU Time vs Task Time means we need to fine-tune the worker nodes by improving the compute.</t>
  </si>
  <si>
    <t>High CPU Time vs Task Time means we need to partition so that parallelism can be achieved.</t>
  </si>
  <si>
    <t>What does the basic structure of a Databricks Asset Bundle (DAB) project look like?</t>
  </si>
  <si>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</si>
  <si>
    <t>Query Execution Timeout</t>
  </si>
  <si>
    <t>Auto Termination</t>
  </si>
  <si>
    <t>Compute Scaling Policy</t>
  </si>
  <si>
    <t>Cluster Timeout</t>
  </si>
  <si>
    <t>Auto-Stop</t>
  </si>
  <si>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</si>
  <si>
    <t>Their local cluster is out of sync with the control plane, and they need to restart it to apply Git changes.</t>
  </si>
  <si>
    <t>The engineer tried to push to a read-only branch and must request write access from the repo owner.</t>
  </si>
  <si>
    <t>Databricks does not support simultaneous editing in Repos, so the notebook must be locked for exclusive use.</t>
  </si>
  <si>
    <t>They committed the notebook with the wrong Git user settings and should configure Git credentials again.</t>
  </si>
  <si>
    <t>A data engineer needs to refresh a Delta table named customer_data with new data from a staging table. They want to: Replace all rows in the table Keep the existing schema and table metadata Avoid dropping and recreating the table Which SQL command should they use?</t>
  </si>
  <si>
    <t>A data engineer is working with a column named items that contains arrays of item names. They want to convert each item name to uppercase without changing the structure of the array. Which Spark SQL function should they use?</t>
  </si>
  <si>
    <t>filter</t>
  </si>
  <si>
    <t>explode</t>
  </si>
  <si>
    <t>flatten</t>
  </si>
  <si>
    <t>array_upper</t>
  </si>
  <si>
    <t>transform</t>
  </si>
  <si>
    <t>How do Databricks Repos support CI/CD workflows in Databricks?</t>
  </si>
  <si>
    <t>By allowing users to define CI/CD pipelines using notebook widgets and job parameters within the Databricks workspace</t>
  </si>
  <si>
    <t>By enabling automated cluster restarts after every notebook edit</t>
  </si>
  <si>
    <t>By syncing notebooks and code with Git repositories to enable version control, code reviews, and automated deployment through external CI/CD tools</t>
  </si>
  <si>
    <t>By storing notebook outputs as data tables for auditing purposes</t>
  </si>
  <si>
    <t>By automatically deploying notebooks as REST APIs with every commit</t>
  </si>
  <si>
    <t>A developer has defined a Databricks Asset Bundle in a databricks.yml file and wants to check for syntax errors and configuration issues before deploying it to any environment. Which Databricks CLI command should they use?</t>
  </si>
  <si>
    <t>databricks bundle inspect</t>
  </si>
  <si>
    <t>databricks bundle test</t>
  </si>
  <si>
    <t>databricks bundle verify</t>
  </si>
  <si>
    <t>databricks bundle check</t>
  </si>
  <si>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</si>
  <si>
    <t>Configure a job-level alert that triggers on task failures and sends notifications to the Slack destination.</t>
  </si>
  <si>
    <t>Configure a task-level notification specifically on the audit log task to trigger on failure and send a Slack alert.</t>
  </si>
  <si>
    <t>Add Slack notifications to all tasks and use Slack filtering to focus only on the audit log task.</t>
  </si>
  <si>
    <t>Add a custom task after the audit log task to manually send Slack alerts if it detects a failure.</t>
  </si>
  <si>
    <t>Use cluster-level logging and external monitoring tools to notify Slack when the audit log fails.</t>
  </si>
  <si>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</si>
  <si>
    <t>spark.sql(“SELECT * FROM transactions_view WHERE amount &gt; 1000“)</t>
  </si>
  <si>
    <t>spark.query(“SELECT * FROM transactions_view WHERE amount &gt; 1000“)</t>
  </si>
  <si>
    <t>spark.read.sql(“SELECT * FROM transactions_view WHERE amount &gt; 1000“)</t>
  </si>
  <si>
    <t>sqlContext.read(“SELECT * FROM transactions_view WHERE amount &gt; 1000“)</t>
  </si>
  <si>
    <t>transactions_view.sql(“SELECT * FROM transactions_view WHERE amount &gt; 1000“)</t>
  </si>
  <si>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</si>
  <si>
    <t>Commit the notebook changes again using a different commit message</t>
  </si>
  <si>
    <t>Force push their local changes to overwrite the remote branch</t>
  </si>
  <si>
    <t>Pull the latest changes from the remote repository to merge updates into their branch before pushing again</t>
  </si>
  <si>
    <t>Restart their cluster and reinitialize the Databricks Repo to fetch updates</t>
  </si>
  <si>
    <t>Delete their branch and recreate it from the main branch with a new name</t>
  </si>
  <si>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</si>
  <si>
    <t>Standard View</t>
  </si>
  <si>
    <t>Managed Table</t>
  </si>
  <si>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</si>
  <si>
    <t>SELECT COUNT(*) FROM returns_data WHERE return_reason IS NULL;</t>
  </si>
  <si>
    <t>SELECT COUNT(return_reason IS NULL) FROM returns_data;</t>
  </si>
  <si>
    <t>SELECT COUNT(return_reason) FROM returns_data WHERE return_reason IS NULL;</t>
  </si>
  <si>
    <t>SELECT COUNT(*) FROM returns_data WHERE return_reason = NULL;</t>
  </si>
  <si>
    <t>SELECT COUNT_IF(return_reason IS NULL) FROM returns_data;</t>
  </si>
  <si>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</si>
  <si>
    <t>The driver node is managed independently from the compute cluster</t>
  </si>
  <si>
    <t>Unity Catalog separates secure and insecure clusters using data tags</t>
  </si>
  <si>
    <t>Databricks SQL provides serverless access to files across multiple regions</t>
  </si>
  <si>
    <t>Jobs run on ephemeral clusters with encrypted secrets stored in the control plane</t>
  </si>
  <si>
    <t>A logistics company collects sensor data from delivery vehicles, including GPS location, engine status, and temperature readings. The data is initially ingested in raw JSON format with inconsistent timestamps and missing values.</t>
  </si>
  <si>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</si>
  <si>
    <t>A data engineer is working with a Spark table that contains a column named product_categories with the following structure:</t>
  </si>
  <si>
    <t>Which of the following is a limitation of Databricks‘ built-in notebook version history compared to using Databricks Repos?</t>
  </si>
  <si>
    <t>It automatically syncs notebook changes with Git repositories without user intervention.</t>
  </si>
  <si>
    <t>It cannot be used with notebooks written in multiple languages.</t>
  </si>
  <si>
    <t>It lacks full Git version control features like branching, pull requests, and commit messages.</t>
  </si>
  <si>
    <t>It does not allow multiple users to view or edit the notebook at the same time.</t>
  </si>
  <si>
    <t>It does not support running the same notebook in different environments.</t>
  </si>
  <si>
    <t>DESCRIBE DETAIL sales.orders</t>
  </si>
  <si>
    <t>SELECT * FROM sales.orders LOCATION</t>
  </si>
  <si>
    <t>SELECT location FROM sales.orders</t>
  </si>
  <si>
    <t>DESCRIBE TABLE sales.orders</t>
  </si>
  <si>
    <t>DESCRIBE EXTENDED sales.orders</t>
  </si>
  <si>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</si>
  <si>
    <t>The row is silently ignored, and no violation is logged</t>
  </si>
  <si>
    <t>The row is dropped before being written to the target table</t>
  </si>
  <si>
    <t>The row is moved to a quarantine table for manual inspection</t>
  </si>
  <si>
    <t>The row is written to the target, and the violation is recorded in dataset metrics</t>
  </si>
  <si>
    <t>The row causes the pipeline to fail immediately</t>
  </si>
  <si>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</si>
  <si>
    <t>Use Databricks Asset Bundles</t>
  </si>
  <si>
    <t>Use dbx from Databricks Labs to apply job changes manually</t>
  </si>
  <si>
    <t>Copy jobs between environments using the Databricks UI</t>
  </si>
  <si>
    <t>Manually export and import job definitions between workspaces</t>
  </si>
  <si>
    <t>Use Delta Sharing to replicate job metadata across environments</t>
  </si>
  <si>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</si>
  <si>
    <t>Unity Metadata Tracker</t>
  </si>
  <si>
    <t>Discovery Hub</t>
  </si>
  <si>
    <t>Data Map Viewer</t>
  </si>
  <si>
    <t>Asset Insight Panel</t>
  </si>
  <si>
    <t>Catalog Explorer</t>
  </si>
  <si>
    <t>Which statement correctly distinguishes Query Federation from Catalog Federation in Databricks Lakehouse Federation?</t>
  </si>
  <si>
    <t>Both Query Federation and Catalog Federation push queries down to the external system.</t>
  </si>
  <si>
    <t>Query Federation only works with Snowflake, while Catalog Federation works with all external systems.</t>
  </si>
  <si>
    <t>In Query Federation, queries are executed on Databricks compute, while in Catalog Federation they run on the external catalog.</t>
  </si>
  <si>
    <t>In Query Federation, queries are pushed down and executed on the external database; in Catalog Federation, data is accessed from external catalogs and queries run on Databricks compute.</t>
  </si>
  <si>
    <t>Both Query Federation and Catalog Federation run queries on Databricks compute</t>
  </si>
  <si>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</si>
  <si>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</si>
  <si>
    <t>SELECT * FROM dbfs.′/Volumes/data/customers/′</t>
  </si>
  <si>
    <t>SELECT * FROM ′/Volumes/data/customers/′ USING JSON</t>
  </si>
  <si>
    <t>SELECT * FROM read.json(‘/Volumes/data/customers/‘)</t>
  </si>
  <si>
    <t>SELECT * FROM json.′/Volumes/data/customers/′</t>
  </si>
  <si>
    <t>SELECT * FROM format.′json:/Volumes/data/customers/′</t>
  </si>
  <si>
    <t>Delta Live Tables Pipeline Cluster</t>
  </si>
  <si>
    <t>Databricks Jobs Compute</t>
  </si>
  <si>
    <t>SQL Warehouse</t>
  </si>
  <si>
    <t>Notebook Cluster</t>
  </si>
  <si>
    <t>All-purpose Compute Cluster</t>
  </si>
  <si>
    <t>Select a high-concurrency cluster from the cluster pool</t>
  </si>
  <si>
    <t>Configure the task to use a job cluster defined in the task settings</t>
  </si>
  <si>
    <t>Attach the task to a shared all-purpose cluster with auto-scaling enabled</t>
  </si>
  <si>
    <t>Use an interactive cluster with auto-termination set</t>
  </si>
  <si>
    <t>Attach the task to a workspace default cluster and enable cluster reuse</t>
  </si>
  <si>
    <t>A Spark table contains a column named items with the following structure:</t>
  </si>
  <si>
    <t>A job is configured to run on a custom cron expression in Databricks. The engineer wants to monitor the execution history, including run status, duration, and any associated logs for each scheduled run.</t>
  </si>
  <si>
    <t>Which location in the Databricks UI provides this information?</t>
  </si>
  <si>
    <t>Monitoring tab in the SQL Warehouse</t>
  </si>
  <si>
    <t>Driver logs in the Cluster UI</t>
  </si>
  <si>
    <t>Metrics dashboard in the Admin Console</t>
  </si>
  <si>
    <t>Job Runs tab in the Job details page</t>
  </si>
  <si>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</si>
  <si>
    <t>Increase SQL warehouse size (scale up compute resources)</t>
  </si>
  <si>
    <t>Enable query result caching</t>
  </si>
  <si>
    <t>Increase the size of the cluster to improve compute resources for the query</t>
  </si>
  <si>
    <t>Enable Photon acceleration for the warehouse</t>
  </si>
  <si>
    <t>Increase the number of clusters in the scaling configuration</t>
  </si>
  <si>
    <t>Scenario: Which of the following best describes the difference between all-purpose clusters and job clusters in Databricks?</t>
  </si>
  <si>
    <t>Job clusters support SQL only, while all-purpose clusters support Python and Scala</t>
  </si>
  <si>
    <t>All-purpose clusters are serverless, while job clusters require manual configuration</t>
  </si>
  <si>
    <t>All-purpose clusters are for collaborative, interactive use and persist across sessions; job clusters are created for a single run and terminate after completion</t>
  </si>
  <si>
    <t>All-purpose clusters: Shared, reusable, ideal for development and collaboration</t>
  </si>
  <si>
    <t>Job clusters: Created automatically for job runs, isolated per job, and terminate on completion, ideal for automated production pipelines</t>
  </si>
  <si>
    <t>Which feature allows users to write and execute code in multiple languages within the same Databricks notebook?</t>
  </si>
  <si>
    <t>Cross-language SQL translation engine</t>
  </si>
  <si>
    <t>Magic commands engine using default notebook language setting</t>
  </si>
  <si>
    <t>Databricks Repos with integrated CI/CD pipelines</t>
  </si>
  <si>
    <t>Use of language-specific magic commands like %python, %sql, %scala, and %sh</t>
  </si>
  <si>
    <t>Multi-kernel runtime attached to the notebook</t>
  </si>
  <si>
    <t>You are managing a Delta Lake table and want to enforce a new constraint to ensure that a certain column, ‘age‘, always has values greater than zero. Which command would you use to add this constraint?</t>
  </si>
  <si>
    <t>In a Databricks Lakehouse environment, you are tasked with setting up tables for a new data pipeline. Your goal is to optimize for both performance and governance. Which of the following scenarios is best suited for using a managed table over an external table?</t>
  </si>
  <si>
    <t>You have data stored in a cloud-based data lake that you want to query without moving it.</t>
  </si>
  <si>
    <t>You need to ensure that the lifecycle of the data is automatically managed along with the table.</t>
  </si>
  <si>
    <t>You need to share the data with other systems that do not use Databricks.</t>
  </si>
  <si>
    <t>You want to directly manage the location and format of the underlying data files.</t>
  </si>
  <si>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</si>
  <si>
    <t>numSourceRows</t>
  </si>
  <si>
    <t>numTargetRowsInserted</t>
  </si>
  <si>
    <t>numOutputRows</t>
  </si>
  <si>
    <t>numTargetRowsUpdated</t>
  </si>
  <si>
    <t>A data engineer is setting up Delta Sharing for a new partner who does not have a Databricks workspace. What is a limitation they should consider when using open sharing with OIDC token federation?</t>
  </si>
  <si>
    <t>OIDC token federation requires the recipient to have a Databricks workspace.</t>
  </si>
  <si>
    <t>It does not support real-time data updates.</t>
  </si>
  <si>
    <t>It requires the recipient to manage their own authentication mechanism.</t>
  </si>
  <si>
    <t>OIDC tokens allow unlimited access to the shared data without requiring token renewal.</t>
  </si>
  <si>
    <t>A data provider has shared several Delta tables with a partner organization using Databricks-to-Databricks Delta Sharing. They now want to monitor who is accessing the shared data for governance and auditing purposes. Which feature should they use?</t>
  </si>
  <si>
    <t>Enable OIDC federation to capture external IdP-level access logs</t>
  </si>
  <si>
    <t>Use Unity Catalog audit logs to track access to the shared Delta tables</t>
  </si>
  <si>
    <t>Configure cluster driver logs to record queries on shared data</t>
  </si>
  <si>
    <t>Use Delta Sharing profiles to capture recipient usage statistics</t>
  </si>
  <si>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</si>
  <si>
    <t>“org.apache.spark.sql.jdbc“</t>
  </si>
  <si>
    <t>“jdbc“</t>
  </si>
  <si>
    <t>“sqlite“</t>
  </si>
  <si>
    <t>“delta“</t>
  </si>
  <si>
    <t>What is the primary purpose of an alert in the Databricks SQL environment?</t>
  </si>
  <si>
    <t>To trigger notifications when the result of a scheduled query meets a condition</t>
  </si>
  <si>
    <t>To automatically apply cost-based optimization to SQL queries</t>
  </si>
  <si>
    <t>To periodically refresh SQL dashboards and apply real-time visual filters</t>
  </si>
  <si>
    <t>To track changes to Delta tables</t>
  </si>
  <si>
    <t>To enforce access control policies on SQL dashboards using tags and ACLs</t>
  </si>
  <si>
    <t>A data engineer is implementing a medallion architecture using Spark Structured Streaming.</t>
  </si>
  <si>
    <t>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t>
  </si>
  <si>
    <t>(spark.readStream .format(“delta“) .load(“/mnt/bronze“) .filter(“event_type IS NOT NULL“) .select(“user_id“, “event_type“) .writeStream .format(“delta“) .option(“checkpointLocation“, “/mnt/checkpoints/silver“) .start(“/mnt/silver“))</t>
  </si>
  <si>
    <t>(spark.readStream .format(“delta“) .load(“/mnt/bronze“) .filter(“event_type IS NOT NULL“) .select(“user_id“, “event_type“, “timestamp“) .write .format(“delta“) .mode(“append“) .save(“/mnt/silver“))</t>
  </si>
  <si>
    <t>(spark.readStream .format(“delta“) .load(“/mnt/bronze“) .filter(“event_type IS NOT NULL“) .select(“user_id“, “event_type“, “timestamp“) .writeStream .format(“delta“) .option(“checkpointLocation“, “/mnt/checkpoints/silver“) .start(“/mnt/silver“))</t>
  </si>
  <si>
    <t>(spark.readStream .format(“delta“) .load(“/mnt/bronze“) .select(“user_id“, “event_type“, “timestamp“) .writeStream .format(“delta“) .option(“checkpointLocation“, “/mnt/checkpoints/silver“) .start(“/mnt/silver“))</t>
  </si>
  <si>
    <t>(spark.read .format(“delta“) .load(“/mnt/bronze“) .filter(“event_type IS NOT NULL“) .select(“user_id“, “event_type“, “timestamp“) .write .format(“delta“) .mode(“append“) .save(“/mnt/silver“))</t>
  </si>
  <si>
    <t>What is a key benefit of ACID transactions in Delta Lake? (Choose 2 Choices)</t>
  </si>
  <si>
    <t>They allow faster query execution using Delta caching</t>
  </si>
  <si>
    <t>They ensure data consistency during concurrent reads and writes</t>
  </si>
  <si>
    <t>They guarantee that write operations are either fully committed or rolled back</t>
  </si>
  <si>
    <t>They automatically compact small Parquet files</t>
  </si>
  <si>
    <t>They remove the need for schema enforcement</t>
  </si>
  <si>
    <t>Which of the following is a limitation of Delta Sharing?</t>
  </si>
  <si>
    <t>Recipients must have access to a Databricks workspace to query shared data.</t>
  </si>
  <si>
    <t>Delta sharing only enables sharing of data. Other databricks assets cannot be shared</t>
  </si>
  <si>
    <t>Recipients can only access data in Parquet format.</t>
  </si>
  <si>
    <t>Both provider and recipient must be on the same cloud provider.</t>
  </si>
  <si>
    <t>Recipients can only query shared data in read-only mode.</t>
  </si>
  <si>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</si>
  <si>
    <t>Continuous mode</t>
  </si>
  <si>
    <t>Streaming with Auto Loader mode</t>
  </si>
  <si>
    <t>Triggered mode</t>
  </si>
  <si>
    <t>Interactive mode</t>
  </si>
  <si>
    <t>Real-time mode</t>
  </si>
  <si>
    <t>A marketing agency wants to share campaign performance data stored in Databricks with a partner that uses Tableau for analytics but does not have a Databricks workspace. The partner requires direct access from their BI tool. Which type of Delta Sharing should the agency use?</t>
  </si>
  <si>
    <t>Databricks REST API</t>
  </si>
  <si>
    <t>Open Sharing protocol</t>
  </si>
  <si>
    <t>Lakehouse Federation</t>
  </si>
  <si>
    <t>Databricks-to-Databricks protocol</t>
  </si>
  <si>
    <t>Unity Catalog external locations</t>
  </si>
  <si>
    <t>Which of the following best describes the relationship between a Data Lakehouse and a traditional data warehouse?</t>
  </si>
  <si>
    <t>A Data Lakehouse is simply a cloud-hosted version of a Data Warehouse.</t>
  </si>
  <si>
    <t>A Data Lakehouse combines the capabilities of Data Lakes and Data Warehouses, enabling ACID transactions and support for both structured and unstructured data.</t>
  </si>
  <si>
    <t>A Data Lakehouse uses the same architecture as a Data Warehouse but adds streaming capabilities.</t>
  </si>
  <si>
    <t>A Data Lakehouse completely replaces traditional Data Warehouses by storing only structured data.</t>
  </si>
  <si>
    <t>A Data Lakehouse separates raw and processed data into different storage systems.</t>
  </si>
  <si>
    <t>As a data engineer, you need to revert a Delta Lake table to a previous state due to an erroneous update. However, you must ensure no data is lost during this process. Which operation should you perform?</t>
  </si>
  <si>
    <t>A data engineer is working with a column containing raw JSON strings and they want to retrieve the schema from one of the strings to help parse it later. Which Spark SQL function should they use to infer the schema from a JSON string?</t>
  </si>
  <si>
    <t>parse_schema()</t>
  </si>
  <si>
    <t>infer_json_schema()</t>
  </si>
  <si>
    <t>json_schema_extract()</t>
  </si>
  <si>
    <t>get_json_schema()</t>
  </si>
  <si>
    <t>schema_of_json()</t>
  </si>
  <si>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</si>
  <si>
    <t>Copy and paste the code from the config notebook into each Medallion stage notebook</t>
  </si>
  <si>
    <t>Use the %run /Shared/Includes/config command at the top of each notebook</t>
  </si>
  <si>
    <t>Clone the config notebook into each Medallion stage directory</t>
  </si>
  <si>
    <t>Reference the config notebook via Unity Catalog schema mappings</t>
  </si>
  <si>
    <t>Create a separate SQL warehouse for each layer and reference config as a parameter</t>
  </si>
  <si>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</si>
  <si>
    <t>Job retry configuration</t>
  </si>
  <si>
    <t>Notebook-level retry configuration</t>
  </si>
  <si>
    <t>Cluster recovery configuration</t>
  </si>
  <si>
    <t>Task retry configuration</t>
  </si>
  <si>
    <t>Job timeout configuration</t>
  </si>
  <si>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</si>
  <si>
    <t>Run Spark locally with sampled datasets for development.</t>
  </si>
  <si>
    <t>Upload Python files to Databricks and run them as scheduled jobs.</t>
  </si>
  <si>
    <t>Use Databricks Connect to link their IDE with a Databricks cluster for execution.</t>
  </si>
  <si>
    <t>Export their code as a JAR and run it from the Databricks CLI.</t>
  </si>
  <si>
    <t>Switch entirely to Databricks notebooks for development.</t>
  </si>
  <si>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</si>
  <si>
    <t>Databricks Schedulers</t>
  </si>
  <si>
    <t>Databricks Jobs</t>
  </si>
  <si>
    <t>Databricks Triggers</t>
  </si>
  <si>
    <t>Databricks Pipelines</t>
  </si>
  <si>
    <t>Databricks Task Scheduler</t>
  </si>
  <si>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</si>
  <si>
    <t>Assign each business unit a separate catalog inside a single global metastore</t>
  </si>
  <si>
    <t>Use Hive metastores with custom audit logging for each region</t>
  </si>
  <si>
    <t>Create one metastore per region to minimize egress costs and improve latency</t>
  </si>
  <si>
    <t>Use a single Unity Catalog metastore across all regions to simplify management</t>
  </si>
  <si>
    <t>Deploy one metastore per workspace and synchronize them weekly</t>
  </si>
  <si>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</si>
  <si>
    <t>The pipeline uses a batch read from Azure Data Lake</t>
  </si>
  <si>
    <t>The pipeline uses Kafka for real-time JSON ingestion</t>
  </si>
  <si>
    <t>The pipeline uses Auto Loader to ingest streaming JSON files</t>
  </si>
  <si>
    <t>The pipeline uses COPY INTO to ingest files from the raw zone</t>
  </si>
  <si>
    <t>A data engineer wants to apply a 20% value added tax to all item prices stored in a map column named item_prices, where the item names are the keys and prices are the values. Which of the following SQL expressions correctly updates the prices while keeping the keys unchanged?</t>
  </si>
  <si>
    <t>SELECT transform_keys(item_prices, (k, v) -&gt; v * 1.20) FROM order_items;</t>
  </si>
  <si>
    <t>SELECT map_values(item_prices, v -&gt; v * 1.20) FROM order_items;</t>
  </si>
  <si>
    <t>SELECT transform(item_prices, (k, v) -&gt; struct(k, v * 1.20)) FROM order_items;</t>
  </si>
  <si>
    <t>SELECT map(item_prices, (k, v) -&gt; (k, v * 1.20)) FROM order_items;</t>
  </si>
  <si>
    <t>SELECT transform_values(item_prices, (k, v) -&gt; round(v * 1.20, 2)) FROM order_items;</t>
  </si>
  <si>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</si>
  <si>
    <t>Enable lineage tracking for the reporting_team group in the Unity Catalog metastore.</t>
  </si>
  <si>
    <t>Grant the ALL PRIVILEGES on the sales_q1 schema to the reporting_team group.</t>
  </si>
  <si>
    <t>Grant the SELECT privilege again using the ALL PRIVILEGES keyword on the orders_summary table.</t>
  </si>
  <si>
    <t>Grant the USE CATALOG privilege on the analytics catalog to the reporting_team group.</t>
  </si>
  <si>
    <t>Assign the reporting_team group as the owner of the orders_summary table.</t>
  </si>
  <si>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</si>
  <si>
    <t>Enable Unity Catalog to propagate cluster configurations</t>
  </si>
  <si>
    <t>Create a new notebook session to inherit the cluster changes</t>
  </si>
  <si>
    <t>Restart the cluster to apply the updated environment variables</t>
  </si>
  <si>
    <t>Detach and reattach the notebook to refresh the configurations</t>
  </si>
  <si>
    <t>Re-run all cells in the notebook from the beginning</t>
  </si>
  <si>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</si>
  <si>
    <t>Trigger.AvailableNow(“60 seconds“)</t>
  </si>
  <si>
    <t>Trigger.ProcessingTime(“1 minute“)</t>
  </si>
  <si>
    <t>Trigger.Once()</t>
  </si>
  <si>
    <t>Trigger.ProcessingTime(“60000“)</t>
  </si>
  <si>
    <t>Trigger.Continuous(“60 seconds“)</t>
  </si>
  <si>
    <t>A developer runs a PySpark application through Databricks Connect in VS Code. The code reads a Delta table, performs aggregations with Spark SQL, and then uses regular Python list comprehensions to process the collected results. Where does each part of the code run?</t>
  </si>
  <si>
    <t>Both Spark and Python code execute on the Databricks cluster.</t>
  </si>
  <si>
    <t>Only SQL queries can be executed with Databricks Connect.</t>
  </si>
  <si>
    <t>Spark code executes on the Databricks cluster, while Python code executes locally.</t>
  </si>
  <si>
    <t>Both Spark and Python code execute locally in the IDE.</t>
  </si>
  <si>
    <t>Spark code executes locally in the IDE, while Python code executes on the cluster.</t>
  </si>
  <si>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</si>
  <si>
    <t>EXPLODE</t>
  </si>
  <si>
    <t>WINDOW</t>
  </si>
  <si>
    <t>UNION</t>
  </si>
  <si>
    <t>GROUP BY</t>
  </si>
  <si>
    <t>A data engineer uses Auto Loader to ingest JSON files into a Bronze Delta table. After reviewing the inferred schema, they notice that all fields are STRING, even for columns that clearly contain numeric or boolean values. What is the most likely reason for this behavior?</t>
  </si>
  <si>
    <t>The checkpoint location was not configured, so schema inference failed</t>
  </si>
  <si>
    <t>Spark‘s DataFrameReader was used incorrectly within Auto Loader</t>
  </si>
  <si>
    <t>The JSON files are malformed and cannot be inferred reliably</t>
  </si>
  <si>
    <t>Auto Loader infers all columns as STRING by default for formats without embedded types</t>
  </si>
  <si>
    <t>Auto Loader cannot infer nested structures in JSON, so it defaults to STRING</t>
  </si>
  <si>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</si>
  <si>
    <t>map_filter</t>
  </si>
  <si>
    <t>transform_values</t>
  </si>
  <si>
    <t>transform_keys</t>
  </si>
  <si>
    <t>A global retailer shares product inventory tables from their Databricks workspace in AWS US-East with a supplier that consumes the data daily from Azure EU-West using Delta Sharing. What cost consideration should the retailer be aware of?</t>
  </si>
  <si>
    <t>Delta Sharing charges extra licensing fees per table shared across accounts.</t>
  </si>
  <si>
    <t>Delta Sharing automatically eliminates all network transfer costs through compression.</t>
  </si>
  <si>
    <t>Delta Sharing usage is free of network costs, regardless of cloud or region.</t>
  </si>
  <si>
    <t>All costs are billed to the data recipient, not the provider.</t>
  </si>
  <si>
    <t>Cross-cloud or cross-region data sharing may incur additional egress charges.</t>
  </si>
  <si>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</si>
  <si>
    <t>Delta Sharing</t>
  </si>
  <si>
    <t>Databricks REST APIs</t>
  </si>
  <si>
    <t>Databricks Connect</t>
  </si>
  <si>
    <t>Which of the following scenarios is most appropriate for using Auto Loader?</t>
  </si>
  <si>
    <t>Ingesting JSON data in real-time from a Kafka topic</t>
  </si>
  <si>
    <t>Reading a static Parquet file to create a temporary Spark view</t>
  </si>
  <si>
    <t>Migrating a large volume of historical records from an on-premises SQL Server</t>
  </si>
  <si>
    <t>Periodically ingesting new files that arrive in cloud storage into a Bronze table</t>
  </si>
  <si>
    <t>A one-time load of a large CSV file from Azure Data Lake into a Delta table</t>
  </si>
  <si>
    <t>What is the primary purpose of using a Medallion Architecture in a Data Lakehouse environment?</t>
  </si>
  <si>
    <t>To store data from different departments in physically isolated locations</t>
  </si>
  <si>
    <t>To improve data availability by duplicating all tables across cloud regions</t>
  </si>
  <si>
    <t>To organize data into progressively refined layers for scalability, quality, and analytics readiness</t>
  </si>
  <si>
    <t>To enforce strict schema rules during initial ingestion to avoid transformation steps</t>
  </si>
  <si>
    <t>To ensure data is stored in multiple file formats for compatibility</t>
  </si>
  <si>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</si>
  <si>
    <t>Implement a try-catch logic within Task C to handle dependency on Task A and B.</t>
  </si>
  <si>
    <t>Create Task D that monitors Task A and Task B, and triggers Task C only if both complete successfully.</t>
  </si>
  <si>
    <t>Configure all tasks to run in parallel with no dependencies, and handle the dependency in the code logic.</t>
  </si>
  <si>
    <t>Use task condition expressions in Task C to check success status of Task A and B before execution.</t>
  </si>
  <si>
    <t>Configure Task C to depend on both Task A and Task B directly in the job settings.</t>
  </si>
  <si>
    <t>A developer is creating a new Databricks Asset Bundle. They need to declare the bundle name, define resources such as jobs and clusters, and specify environment targets for dev and prod. Which configuration format must they use?</t>
  </si>
  <si>
    <t>INI</t>
  </si>
  <si>
    <t>TOML</t>
  </si>
  <si>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</si>
  <si>
    <t>CREATE STREAMING TABLE gold_metrics ...</t>
  </si>
  <si>
    <t>CREATE OR REFRESH STREAMING VIEW gold_metrics ...</t>
  </si>
  <si>
    <t>CREATE TABLE gold_metrics ...</t>
  </si>
  <si>
    <t>CREATE OR REFRESH MATERIALIZED VIEW gold_metrics ...</t>
  </si>
  <si>
    <t>CREATE OR REFRESH MATERIALIZED TABLE gold_metrics ...</t>
  </si>
  <si>
    <t>Configure each task with individual notifications and aggregate the responses manually.</t>
  </si>
  <si>
    <t>Use cluster event logs to detect when all tasks are completed and send a custom alert.</t>
  </si>
  <si>
    <t>Set a job-level notification to trigger on success.</t>
  </si>
  <si>
    <t>Add a fourth task that depends on all three dashboard refresh tasks, and send a notification from that task.</t>
  </si>
  <si>
    <t>Add a separate monitoring task at the end of the job that triggers only if all previous tasks succeed.</t>
  </si>
  <si>
    <t>Why would a data engineer apply Z-Ordering to a column in a Delta table that is frequently used in query filters?</t>
  </si>
  <si>
    <t>To improve data compression by grouping similar values</t>
  </si>
  <si>
    <t>To enable schema evolution during streaming writes</t>
  </si>
  <si>
    <t>To increase the number of partitions and improve parallelism</t>
  </si>
  <si>
    <t>To organize data in a way that enhances data skipping and read efficiency</t>
  </si>
  <si>
    <t>To reduce the need for running OPTIMIZE on the table</t>
  </si>
  <si>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</si>
  <si>
    <t>By publishing notebook changes directly to dashboards and Power BI workspaces for testing</t>
  </si>
  <si>
    <t>By syncing notebooks with Git branches to support branch-based development, peer review, and external CI/CD integration</t>
  </si>
  <si>
    <t>By allowing users to schedule pull requests and cluster restarts from the Databricks UI</t>
  </si>
  <si>
    <t>By enabling team members to manually export notebooks as HTML for peer reviews</t>
  </si>
  <si>
    <t>By automatically converting notebooks into production jobs after a pull request is created</t>
  </si>
  <si>
    <t>In Delta Lake, which component is responsible for maintaining transaction metadata such as table versions, data file paths, and schema changes?</t>
  </si>
  <si>
    <t>Table access control list</t>
  </si>
  <si>
    <t>_delta_log transaction log</t>
  </si>
  <si>
    <t>Parquet file footer</t>
  </si>
  <si>
    <t>Delta caching layer</t>
  </si>
  <si>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</si>
  <si>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</si>
  <si>
    <t>Export SQL Server data as CSV files and upload them to Databricks.</t>
  </si>
  <si>
    <t>Replicate the SQL Server database into cloud storage</t>
  </si>
  <si>
    <t>Build an ETL pipeline to ingest SQL Server data daily.</t>
  </si>
  <si>
    <t>Use Delta Sharing</t>
  </si>
  <si>
    <t>Use Lakehouse Federation to connect to the SQL Server database</t>
  </si>
  <si>
    <t>The cluster was configured with auto termination and was shut down due to inactivity</t>
  </si>
  <si>
    <t>The notebook lost its Git connection and cannot sync</t>
  </si>
  <si>
    <t>A runtime version mismatch caused the kernel to crash silently</t>
  </si>
  <si>
    <t>The cluster switched to maintenance mode and queued all commands</t>
  </si>
  <si>
    <t>Unity Catalog policies prevented further cell execution without user approval</t>
  </si>
  <si>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</si>
  <si>
    <t>Materialized view</t>
  </si>
  <si>
    <t>Global temporary view</t>
  </si>
  <si>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</si>
  <si>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</si>
  <si>
    <t>SELECT map(items, x -&gt; struct(upper(x.name), round(x.price * 1.10, 2))) FROM order_items;</t>
  </si>
  <si>
    <t>SELECT explode(items) FROM order_items;</t>
  </si>
  <si>
    <t>SELECT transform(items, x -&gt; struct(x.name, round(x.price * 1.10, 2))) FROM order_items;</t>
  </si>
  <si>
    <t>SELECT transform(items, x -&gt; struct(x.name, x.price * 1.10)) FROM order_items;</t>
  </si>
  <si>
    <t>SELECT transform(items, x -&gt; struct(upper(x.name), round(x.price * 1.10, 2))) FROM order_items;</t>
  </si>
  <si>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</si>
  <si>
    <t>MODIFY</t>
  </si>
  <si>
    <t>SELECT</t>
  </si>
  <si>
    <t>ALL PRIVILEGES</t>
  </si>
  <si>
    <t>USAGE</t>
  </si>
  <si>
    <t>EXECUTE</t>
  </si>
  <si>
    <t>A data engineer is working in a Databricks notebook and wants to load an existing table named silver.customers into a PySpark DataFrame for further transformation. Which of the following code snippets correctly loads the table as a Spark DataFrame? (Select 2 Choices)</t>
  </si>
  <si>
    <t>df = spark.table(“silver.customers“)</t>
  </si>
  <si>
    <t>df = spark.read.table(“silver.customers“)</t>
  </si>
  <si>
    <t>df = spark.sql(“SELECT * FROM silver.customers“)</t>
  </si>
  <si>
    <t>df = read.table(“silver.customers“)</t>
  </si>
  <si>
    <t>df = spark.read.load(“silver.customers“)</t>
  </si>
  <si>
    <t>REPLACE</t>
  </si>
  <si>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</si>
  <si>
    <t>System information_schema</t>
  </si>
  <si>
    <t>Global Search</t>
  </si>
  <si>
    <t>Lineage tab within Catalog Explorer</t>
  </si>
  <si>
    <t>SQL Dashboard audit history</t>
  </si>
  <si>
    <t>Delta Lake transaction log</t>
  </si>
  <si>
    <t>Which of the following Git operations are available directly within Databricks Repos?</t>
  </si>
  <si>
    <t>Automatically resolving merge conflicts across multiple branches</t>
  </si>
  <si>
    <t>Rebasing and cherry-picking commits across branches</t>
  </si>
  <si>
    <t>Running automated unit tests before pushing code</t>
  </si>
  <si>
    <t>Pulling, committing, and pushing changes to a connected Git repo</t>
  </si>
  <si>
    <t>Creating pull requests and managing code reviews directly from Databricks</t>
  </si>
  <si>
    <t>A data engineering team uses a numeric payment_status column (1 = Success, 2 = Pending, etc.) across multiple ETL pipelines. They want to convert these codes to descriptive strings without repeating logic in every query. Which of the following is the best solution?</t>
  </si>
  <si>
    <t>Use a JOIN with a lookup table in every query.</t>
  </si>
  <si>
    <t>Use a CASE WHEN statement in each query to convert the status code.</t>
  </si>
  <si>
    <t>Create a SQL user-defined function (UDF) that maps status codes to descriptive text and use the UDF in every query</t>
  </si>
  <si>
    <t>Manually document the mappings and inform all team members to apply them consistently.</t>
  </si>
  <si>
    <t>Replace all numeric codes with strings directly in the source table.</t>
  </si>
  <si>
    <t>A developer tries to run a PySpark app through Databricks Connect. The cluster is on Databricks Runtime 15.4 LTS with Python 3.11. The developer sees runtime errors when starting the session. What could be the reason?</t>
  </si>
  <si>
    <t>The Databricks Connect library only supports SQL, not PySpark</t>
  </si>
  <si>
    <t>The developer must use notebooks instead of an IDE with Connect</t>
  </si>
  <si>
    <t>The cluster needs to be restarted after every Connect session</t>
  </si>
  <si>
    <t>The cluster does not support Databricks Connect</t>
  </si>
  <si>
    <t>A company discovers that sensitive customer data may have been accessed by unauthorized users, but there is no record of who accessed it or when. Which of the following governance gaps is most likely responsible for these issues?</t>
  </si>
  <si>
    <t>Inadequate access controls and missing audit logs ?</t>
  </si>
  <si>
    <t>Schema evolution during ingestion and lack of version control</t>
  </si>
  <si>
    <t>Inefficient job scheduling and lack of cluster pooling</t>
  </si>
  <si>
    <t>Misconfigured task dependencies and low task retries</t>
  </si>
  <si>
    <t>Lack of query result caching and auto-termination policies</t>
  </si>
  <si>
    <t>Apache Airflow, Delta Lake, Unity Catalog, and Amazon Redshift</t>
  </si>
  <si>
    <t>Apache Spark, Delta Lake, Azure Synapse, and GitHub Actions</t>
  </si>
  <si>
    <t>Apache Spark, Parquet, MLflow, and Hadoop HDFS</t>
  </si>
  <si>
    <t>Apache Hive, Delta Lake, Power BI, and Unity Catalog</t>
  </si>
  <si>
    <t>Apache Spark, Delta Lake, Unity Catalog, and Databricks SQL</t>
  </si>
  <si>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</si>
  <si>
    <t>Adopt a Data Lakehouse architecture</t>
  </si>
  <si>
    <t>Implement a data virtualization layer to combine both systems</t>
  </si>
  <si>
    <t>Replace the Data Lake with a larger Data Warehouse cluster</t>
  </si>
  <si>
    <t>Migrate all analytics workloads to a real-time streaming platform</t>
  </si>
  <si>
    <t>Create separate pipelines optimized for each workload</t>
  </si>
  <si>
    <t>A data engineer is working with a column containing JSON strings and wants to convert each string into a structured format using a predefined schema. Which Spark SQL function should they use to perform this transformation?</t>
  </si>
  <si>
    <t>to_json()</t>
  </si>
  <si>
    <t>json_tuple()</t>
  </si>
  <si>
    <t>get_json_object()</t>
  </si>
  <si>
    <t>from_json()</t>
  </si>
  <si>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</si>
  <si>
    <t>The Auto Loader source has gone stale and blocked shutdown</t>
  </si>
  <si>
    <t>The cluster is caching Auto Loader state in memory for faster startup</t>
  </si>
  <si>
    <t>The pipeline is waiting to checkpoint before releasing compute</t>
  </si>
  <si>
    <t>Continuous mode keeps compute resources active regardless of data arrival</t>
  </si>
  <si>
    <t>The pipeline is caching data in memory, causing charges</t>
  </si>
  <si>
    <t>A team of analysts frequently runs concurrent queries against a Databricks SQL warehouse. As usage increases, they begin to observe degraded performance due to high query concurrency. What is the most appropriate configuration change to improve performance?</t>
  </si>
  <si>
    <t>Increase the cluster size</t>
  </si>
  <si>
    <t>Increase the maximum number of clusters</t>
  </si>
  <si>
    <t>Restart the SQL warehouse</t>
  </si>
  <si>
    <t>Extend the auto-stop timeout</t>
  </si>
  <si>
    <t>An engineering team needs to schedule a Databricks job to run on the first Monday of every month at 7:00 AM. They want to implement this schedule within Databricks without relying on external tools or manual steps. What is the best way to configure this job schedule?</t>
  </si>
  <si>
    <t>Use the Databricks Job UI and select “Monthly“ scheduling mode with weekday filters</t>
  </si>
  <si>
    <t>Use a custom cron expression in the job configuration</t>
  </si>
  <si>
    <t>Trigger the job manually on the first Monday of each month</t>
  </si>
  <si>
    <t>Which command is used in a Databricks notebook to run another notebook and import its contents into the current session?</t>
  </si>
  <si>
    <t>%attach</t>
  </si>
  <si>
    <t>%notebook</t>
  </si>
  <si>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</si>
  <si>
    <t>Save versioned copies of notebooks using the Databricks file system (DBFS).</t>
  </si>
  <si>
    <t>Periodically export notebooks and manually upload them to a shared cloud drive.</t>
  </si>
  <si>
    <t>Enable built-in notebook revision history in the workspace.</t>
  </si>
  <si>
    <t>Use Databricks Repos linked to a Git provider like GitHub or Azure DevOps.</t>
  </si>
  <si>
    <t>Rely on cluster event logs and job history to review changes to code.</t>
  </si>
  <si>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</si>
  <si>
    <t>SELECT COUNT(*) FROM user_activity WHERE session_duration IS NOT NULL;</t>
  </si>
  <si>
    <t>SELECT COUNT(*) FROM user_activity WHERE session_duration &lt;&gt; NULL;</t>
  </si>
  <si>
    <t>SELECT COUNT(*) FROM user_activity WHERE session_duration &gt; NULL;</t>
  </si>
  <si>
    <t>SELECT COUNT(session_duration) FROM user_activity;</t>
  </si>
  <si>
    <t>SELECT COUNT(*) FROM user_activity WHERE session_duration != NULL;</t>
  </si>
  <si>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</si>
  <si>
    <t>Use Unity Catalog to assign different language permissions to each notebook cell</t>
  </si>
  <si>
    <t>Export Python cells as scripts and import them into a SQL dashboard</t>
  </si>
  <si>
    <t>Use language-specific magic commands like %sql and %python in the same notebook</t>
  </si>
  <si>
    <t>Set the default language of the notebook to Scala to support both users</t>
  </si>
  <si>
    <t>Use a notebook widget to switch the default language between SQL and Python</t>
  </si>
  <si>
    <t>A data engineer creates a Delta table using a CREATE TABLE command without specifying a LOCATION clause. Later, they use DROP TABLE to remove it. What will happen to the underlying data files?</t>
  </si>
  <si>
    <t>The files will be deleted automatically from managed storage</t>
  </si>
  <si>
    <t>The files will be archived to the _delta_log folder</t>
  </si>
  <si>
    <t>The files will remain only if the table was cached</t>
  </si>
  <si>
    <t>The files will be removed from the catalog but data files are retained on storage</t>
  </si>
  <si>
    <t>The files will persist, as the table was created externally</t>
  </si>
  <si>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</si>
  <si>
    <t>Use conditional formatting in the dashboard and configure Slack integration from the dashboard settings</t>
  </si>
  <si>
    <t>Configure a Databricks SQL alert on the scheduled query and set the destination to a Slack webhook</t>
  </si>
  <si>
    <t>Schedule a notebook that queries the churn rate and sends a Slack message using dbutils.notebook.run()</t>
  </si>
  <si>
    <t>Enable alerting through Unity Catalog audit logs with Slack as a configured sink</t>
  </si>
  <si>
    <t>Export the dashboard to Slack weekly using the “Share via Slack“ option and manually monitor churn</t>
  </si>
  <si>
    <t>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t>
  </si>
  <si>
    <t>Manually copying notebooks</t>
  </si>
  <si>
    <t>Terraform provider</t>
  </si>
  <si>
    <t>dbx from Databricks Labs</t>
  </si>
  <si>
    <t>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t>
  </si>
  <si>
    <t>Exporting parquet files into cloud storage</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</si>
  <si>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t>
  </si>
  <si>
    <t>Which type of Databricks cluster is most appropriate for this use case?</t>
  </si>
  <si>
    <t>Delta Live Table pipeline cluster</t>
  </si>
  <si>
    <t>Job cluster with ephemeral lifetime</t>
  </si>
  <si>
    <t>Kubernetes cluster designed for containerized microservices</t>
  </si>
  <si>
    <t>All-purpose cluster</t>
  </si>
  <si>
    <t>Serverless SQL Warehouse</t>
  </si>
  <si>
    <t>Which of the following queries is performing a streaming hop from raw data to a Bronze table?</t>
  </si>
  <si>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</si>
  <si>
    <t xml:space="preserve">CREATE OR REFRESH STREAMING TABLE clean_customers (	CONSTRAINT valid_email EXPECT (email IS NOT NULL) ON VIOLATION WARN	)	AS	SELECT * FROM STREAM(LIVE.raw_customers);		</t>
  </si>
  <si>
    <t xml:space="preserve">CREATE OR REFRESH STREAMING TABLE clean_customers (	CONSTRAINT valid_email EXPECT (email IS NOT NULL) ON VIOLATION DROP RECORD	)	AS	SELECT * FROM STREAM(LIVE.raw_customers);		</t>
  </si>
  <si>
    <t xml:space="preserve">CREATE OR REFRESH STREAMING TABLE clean_customers (	CONSTRAINT valid_email EXPECT (email IS NOT NULL)	)	AS	SELECT * FROM STREAM(LIVE.raw_customers);		</t>
  </si>
  <si>
    <t xml:space="preserve">CREATE OR REFRESH STREAMING TABLE clean_customers (	CONSTRAINT valid_email EXPECT (email IS NOT NULL) ON VIOLATION DROP ROW	)	AS	SELECT * FROM STREAM(LIVE.raw_customers);		</t>
  </si>
  <si>
    <t xml:space="preserve">CREATE OR REFRESH STREAMING TABLE clean_customers (	CONSTRAINT valid_email EXPECT (email IS NOT NULL) ON VIOLATION FAIL ROW	)	AS	SELECT * FROM STREAM(LIVE.raw_customers);		</t>
  </si>
  <si>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</si>
  <si>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</si>
  <si>
    <t>(spark.readStream
.format(“delta“)
.load(“/mnt/bronze_data“)
.groupBy(“device_id“)
.count()
.writeStream
.format(“delta“)
.start(“/mnt/gold_data“))</t>
  </si>
  <si>
    <t xml:space="preserve"> (spark.readStream
.format(“json“)
.load(“/mnt/silver_data“)
.groupBy(“device_id“)
.count()
.writeStream
.format(“delta“)
.start(“/mnt/gold_data“))</t>
  </si>
  <si>
    <t>(spark.read
.format(“delta“)
.load(“/mnt/silver_data“)
.groupBy(“device_id“)
.count()
.write
.format(“delta“)
.mode(“append“)
.save(“/mnt/gold_data“))</t>
  </si>
  <si>
    <t>(spark.readStream
.format(“delta“)
.load(“/mnt/silver_data“)
.groupBy(“device_id“)
.count()
.writeStream
.format(“delta“)
.option(“checkpointLocation“, “/mnt/checkpoints/gold“)
.start(“/mnt/gold_data“))</t>
  </si>
  <si>
    <t>(spark.readStream
.format(“delta“)
.load(“/mnt/silver_data“)
.groupBy(“device_id“)
.count()
.writeStream
.format(“delta“)
.save(“/mnt/gold_data“))</t>
  </si>
  <si>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</si>
  <si>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</si>
  <si>
    <t>SELECT *
   FROM json./Volumes/commerce/landing/transactions/transactions_2023_*.json</t>
  </si>
  <si>
    <t>SELECT *
   FROM json./Volumes/commerce/landing/transactions/transactions_2023%.json</t>
  </si>
  <si>
    <t>SELECT *
   FROM json./Volumes/commerce/landing/transactions/transactions_*.json
   WHERE file_name LIKE ‘%2023%‘</t>
  </si>
  <si>
    <t>SELECT *
   FROM json./Volumes/commerce/landing/transactions/transactions_2023_*.parquet</t>
  </si>
  <si>
    <t>SELECT *
   FROM json./Volumes/commerce/landing/transactions/
   WHERE file_name LIKE ‘transactions_2023_%‘</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</si>
  <si>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</si>
  <si>
    <t>A data engineer wants to create a user-defined function (UDF) in Databricks using SQL.
The function should:
Concatenate a first name and last name
Capitalize each part
Return the full name
Which statement correctly defines this function?</t>
  </si>
  <si>
    <t>CREATE FUNCTION format_name(fname STRING, lname STRING)
RETURNS STRING
AS ‘SELECT UPPER(fname) || “ “ || UPPER(lname)‘;</t>
  </si>
  <si>
    <t>CREATE FUNCTION format_name(fname STRING, lname STRING)
RETURNS STRING
USING ‘INITCAP(fname) || INITCAP(lname)‘;</t>
  </si>
  <si>
    <t>CREATE OR REPLACE FUNCTION format_name(fname STRING, lname STRING)
RETURNS STRING
RETURN INITCAP(fname) || ‘ ‘ || INITCAP(lname);</t>
  </si>
  <si>
    <t>CREATE TEMPORARY FUNCTION format_name AS
(fname STRING, lname STRING) -&gt; INITCAP(fname) + ‘ ‘ + INITCAP(lname);</t>
  </si>
  <si>
    <t>CREATE OR REPLACE FUNCTION format_name(fname, lname)
RETURN INITCAP(fname) || ‘ ‘ || INITCAP(lname);</t>
  </si>
  <si>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</si>
  <si>
    <t>Use a Delta Live Table pipeline to sync library versions across teams</t>
  </si>
  <si>
    <t>Use a shared cluster configured with Databricks Runtime for Machine Learning</t>
  </si>
  <si>
    <t>Create a Unity Catalog schema with all required ML packages attached</t>
  </si>
  <si>
    <t>Configure a serverless SQL warehouse with MLflow installed as a custom library</t>
  </si>
  <si>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</si>
  <si>
    <t>The table is a Delta Live Table</t>
  </si>
  <si>
    <t>The table is global temporary object</t>
  </si>
  <si>
    <t>The table an external table.</t>
  </si>
  <si>
    <t>The table is a temporary view</t>
  </si>
  <si>
    <t>The table is a managed table</t>
  </si>
  <si>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</si>
  <si>
    <t>All datasets will be updated at set intervals until the pipeline is shut down. The compute resources will automatically terminate when the pipeline is stopped.</t>
  </si>
  <si>
    <t>All datasets will be updated once and the pipeline will shut down. The compute resources will be terminated automatically.</t>
  </si>
  <si>
    <t>All datasets will be updated at set intervals until the pipeline is shut down. The compute resources will persist even after stopping the pipeline to allow additional testing.</t>
  </si>
  <si>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</si>
  <si>
    <t xml:space="preserve"> import pyspark.sql.functions as F
df.groupBy(“Category“).agg(
    F.sum(“Sales“).alias(“TotalSales“),
    F.max(“Sales“).alias(“MaxSales“),
    F.count(“Category“).alias(“CategoryCount“)
).show()</t>
  </si>
  <si>
    <t>import pyspark.sql.functions as F
df.groupBy(“Store“).agg(
    F.sum(“Sales“).alias(“TotalSales“),
    F.max(“Sales“).alias(“MaxSales“),
    F.count(“Category“).alias(“RowCount“)
).show()</t>
  </si>
  <si>
    <t>import pyspark.sql.functions as F
df.groupBy(“Store“, “Category“).agg(
    F.sum(“Sales“).alias(“TotalSales“),
    F.max(“Sales“).alias(“MaxSales“)
).show()</t>
  </si>
  <si>
    <t>import pyspark.sql.functions as F
df.groupBy(“Store“).agg(
    F.sum(“Sales“).alias(“TotalSales“),
    F.countDistinct(“Category“).alias(“CategoryCount“),
    F.avg(“Sales“).alias(“AvgSales“)
).show()</t>
  </si>
  <si>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</si>
  <si>
    <t>Manually trigger the entire job again using Run Now</t>
  </si>
  <si>
    <t>Use the Repair option and select failed and skipped tasks only</t>
  </si>
  <si>
    <t>Clone the job and re-run it from the beginning</t>
  </si>
  <si>
    <t>Delete the job run history and re-execute from the start</t>
  </si>
  <si>
    <t>SELECT key, value.* FROM customers</t>
  </si>
  <si>
    <t>SELECT key, value.name, value.email, value.country, value.age FROM customers</t>
  </si>
  <si>
    <t>SELECT key, EXPLODE(value) FROM customers</t>
  </si>
  <si>
    <t>SELECT key, value:name, value:email, value:country, value:age FROM customers</t>
  </si>
  <si>
    <t>What could be the expected output of query SELECT COUNT(DISTINCT *) FROM user on this table
userId | username      | email
1      | john.smith    | john.smith@com
2      | NULL          | david.clear@com
3      | kevin.smith   | kevin.smith@com</t>
  </si>
  <si>
    <t>NULL</t>
  </si>
  <si>
    <t>SUM, COUNT, SIZE</t>
  </si>
  <si>
    <t>SUM, SIZE, SLICE</t>
  </si>
  <si>
    <t>SUM, SIZE, ARRAY_CONTAINS</t>
  </si>
  <si>
    <t>SUM, SIZE, ARRAY_FILTER</t>
  </si>
  <si>
    <t>SUM, SIZE, FILTER</t>
  </si>
  <si>
    <t>You were asked to identify number of times a temperature sensor exceed threshold temperature (100.00) by each device, each row contains 5 readings collected every 5 minutes. Fill in the blank with the appropriate functions.
Schema:
deviceId INT, deviceTemp ARRAY, dateTimeCollected TIMESTAMP
Sample data:
deviceId | deviceTemp                         | dateTimeCollected
1        | [99.00,99.00,99.00,100.10,100.9]   | 10-10-2021 10:00
1        | [99.00,99.00,100.00,100.15,102]    | 10-10-2021 10:15
1        | [99.00,99.00,100.00,100.20,101]    | 10-10-2021 10:20
Output data:
deviceId | Count
1        | 6
SELECT deviceId, __ ( __ (deviceTemp), i -&gt; i &gt; 100.00))
FROM devices
GROUP BY deviceId</t>
  </si>
  <si>
    <t>MAP(food_grains, f -&gt; f.food_grain_qty / 1000)</t>
  </si>
  <si>
    <t>CONVERT(food_grains, f -&gt; f.food_grain_qty / 1000)</t>
  </si>
  <si>
    <t>TRANSFORM(food_grains, f -&gt; f.food_grain_qty / 1000)</t>
  </si>
  <si>
    <t>FLAT_MAP(food_grains, f -&gt; f.food_grain_qty / 1000)</t>
  </si>
  <si>
    <t>REDUCE(food_grains, f -&gt; f.food_grain_qty / 1000)</t>
  </si>
  <si>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</si>
  <si>
    <t>SELECT user_id,
array_distinct(event_name) AS event_history,
flatten(array_distinct(collect_set(items.item_id))) AS cart_history
FROM events
GROUP BY user_id;</t>
  </si>
  <si>
    <t>SELECT user_id,
collect_set(event_name) AS event_history,
array_distinct(flatten(collect_set(items.item_id))) AS cart_history
FROM events
GROUP BY user_id;</t>
  </si>
  <si>
    <t>SELECT user_id,
flatten(event_name) AS event_history,
collect_set(flatten(array_distinct(items.item_id))) AS cart_history
FROM events
GROUP BY user_id;</t>
  </si>
  <si>
    <t>SELECT user_id,
array_distinct(event_name) AS event_history,
collect_set(array_distinct(flatten(items:item_id))) AS cart_history
FROM events
GROUP BY user_id;</t>
  </si>
  <si>
    <t>SELECT user_id,
array_distinct(event_name) AS event_history,
collect_set(flatten(explode(items.*))) AS cart_history
FROM events
GROUP BY user_id;</t>
  </si>
  <si>
    <t>A data engineer is working on a task to process the data coming from an e-commerce website and stored in the events table whose schema is given below.
col_name   | data_type
user_id    | string
event_name | string
items      | array&lt;struct&lt;item_id:string, item_name:string, price_in_usd:double, quantity:bigint&gt;&gt;
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
user_id   | event_history                                         | cart_history
UID00001  | ["register","add_to_cart","add_shipping_info"]        | ["APPL_IP14_P","APPL_PA"]
UID00002  | ["login","search","browse","add_to_cart","add_cc_info","checkout"] | ["GOOGL_PXL_7_PRO"]
UID00003  | ["register","search","add_to_cart","remove_from_cart"] | ["SMSNG_GLXY_S22"]
...       | ...                                                   | ...
Which of the following queries can be used by the data engineer to get the desired result?</t>
  </si>
  <si>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</si>
  <si>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</si>
  <si>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</si>
  <si>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</si>
  <si>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</si>
  <si>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</si>
  <si>
    <t>SELECT
department_id,
FETCH(employees, e -&gt; e.employee_salary &gt; 500000) as employees_with_high_salary
FROM company;</t>
  </si>
  <si>
    <t>SELECT
department_id,
TRANSFORM(employees, e -&gt; e.employee_salary &gt; 500000) as employees_with_high_salary
FROM company;</t>
  </si>
  <si>
    <t>SELECT
department_id,
EXIST(employees, e -&gt; e.employee_salary &gt; 500000) as employees_with_high_salary
FROM company;</t>
  </si>
  <si>
    <t>SELECT
department_id,
REDUCE(employees, e -&gt; e.employee_salary &gt; 500000) as employees_with_high_salary
FROM company;</t>
  </si>
  <si>
    <t>SELECT
department_id,
FILTER(employees, e -&gt; e.employee_salary &gt; 500000) as employees_with_high_salary
FROM company;</t>
  </si>
  <si>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</si>
  <si>
    <t>CREATE OR REPLACE VIEW sales_across_quarter
AS
SELECT year, region, q1, q2, q3, q4
FROM sales
TRANSFORM
(sum(sales) AS sales
FOR quarter
IN (1 AS q1, 2 AS q2, 3 AS q3, 4 AS q4)
);</t>
  </si>
  <si>
    <t>CREATE OR REPLACE VIEW sales_across_quarter
AS
SELECT year, region, q1, q2, q3, q4
FROM sales
PIVOT
(sum(sales) AS sales
FOR quarter
IN (1 AS q1, 2 AS q2, 3 AS q3, 4 AS q4)
);</t>
  </si>
  <si>
    <t>CREATE OR REPLACE VIEW sales_across_quarter
AS
SELECT year, region, q1, q2, q3, q4
FROM sales
REDUCE
(sum(sales) AS sales
FOR quarter
IN (1 AS q1, 2 AS q2, 3 AS q3, 4 AS q4)
);</t>
  </si>
  <si>
    <t>CREATE OR REPLACE VIEW sales_across_quarter
AS
SELECT year, region, q1, q2, q3, q4
FROM sales
EXIST
(sum(sales) AS sales
FOR quarter
IN (1 AS q1, 2 AS q2, 3 AS q3, 4 AS q4)
);</t>
  </si>
  <si>
    <t>CREATE OR REPLACE VIEW sales_across_quarter
AS
SELECT year, region, q1, q2, q3, q4
FROM sales
ROTATE
(sum(sales) AS sales
FOR quarter
IN (1 AS q1, 2 AS q2, 3 AS q3, 4 AS q4)
);</t>
  </si>
  <si>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</si>
  <si>
    <t>SELECT geo.country FROM events WHERE geo.country = ‘India‘</t>
  </si>
  <si>
    <t>SELECT geo:country FROM events WHERE geo:country = ‘India‘</t>
  </si>
  <si>
    <t>SELECT struct.country FROM events WHERE struct.country = ‘India‘</t>
  </si>
  <si>
    <t>SELECT geo*country FROM events WHERE geo*country = ‘India‘</t>
  </si>
  <si>
    <t>SELECT country FROM events WHERE country = ‘India‘</t>
  </si>
  <si>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</si>
  <si>
    <t>SELECT COUNT(DISTINCT *) FROM customers;</t>
  </si>
  <si>
    <t>What would be the output when you run the following query on a table called customers?
SELECT COUNT(DISTINCT *) FROM customers;
customerID | customerName | customerAge | customerEmail
1          | Veronica     | 28          | veronica@pb.com
2          | Harry        | NULL        | harry@hogwarts.com
3          | Robin        | 24          | robin@himym.com
4          | Joey         | 32          | NULL</t>
  </si>
  <si>
    <t>CREATE TABLE IF NOT EXISTS students
(
id STRING,
name STRING,
dateOfBirth DATE,
email STRING
)</t>
  </si>
  <si>
    <t>CREATE OR REPLACE TABLE students
(
id STRING,
name STRING,
dateOfBirth DATE,
email STRING
)</t>
  </si>
  <si>
    <t>CREATE TABLE students
(
id STRING,
name STRING,
dateOfBirth DATE,
email STRING
)</t>
  </si>
  <si>
    <t>CREATE OR REPLACE TABLE IF EXISTS students
(
id STRING,
name STRING,
dateOfBirth DATE,
email STRING
)</t>
  </si>
  <si>
    <t>CREATE OR REPLACE TABLE students AS
SELECT
id STRING,
name STRING,
dateOfBirth DATE,
email STRING
USING DELTA</t>
  </si>
  <si>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</si>
  <si>
    <t>A data engineer has to join two tables called customers and orders on the condition c.customer_id = o.order_customer_id column.
He wants to get details of customers along with details of orders which they have placed. Apart from this, he also wants to fetch those customers who have not placed any orders yet.
The schema of both the tables is given below.
customers table:
col_name          | data_type
customer_id       | int
customer_name     | string
customer_email    | string
customer_address  | string
customer_phone    | bigint
orders table:
col_name            | data_type
order_id            | int
order_customer_id   | int
order_timestamp     | timestamp
order_item_id       | int
order_amount        | double
order_status        | string
Which of the following joins can be used to accomplish the task?</t>
  </si>
  <si>
    <t>LEFT OUTER JOIN</t>
  </si>
  <si>
    <t>RIGHT OUTER JOIN</t>
  </si>
  <si>
    <t>INNER JOIN</t>
  </si>
  <si>
    <t>FULL OUTER JOIN</t>
  </si>
  <si>
    <t>Anyone from LEFT OUTER JOIN or RIGHT OUTER JOIN can be used</t>
  </si>
  <si>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</si>
  <si>
    <t>SELECT customer_id FROM customers
INTERSECT
SELECT order_customer_id FROM orders</t>
  </si>
  <si>
    <t>SELECT customer_id FROM customers
UNION
SELECT order_customer_id FROM orders</t>
  </si>
  <si>
    <t>SELECT customer_id FROM customers c
INNER JOIN orders o
ON c.customer_id = o.order_customer_id</t>
  </si>
  <si>
    <t>SELECT customer_id FROM customers
UNION ALL
SELECT order_customer_id FROM orders</t>
  </si>
  <si>
    <t>SELECT customer_id FROM customers
EXCEPT
SELECT order_customer_id FROM orders</t>
  </si>
  <si>
    <t>Which of the following is not a privilege in the Databricks?</t>
  </si>
  <si>
    <t>READ_METADATA</t>
  </si>
  <si>
    <t>CREATE</t>
  </si>
  <si>
    <t>FLATTEN</t>
  </si>
  <si>
    <t>EXTEND</t>
  </si>
  <si>
    <t>EXTRACT</t>
  </si>
  <si>
    <t>ARRAY_FLATTEN</t>
  </si>
  <si>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</si>
  <si>
    <t>Which of the following Structured Streaming queries is performing a hop from a bronze table to a Silver table?</t>
  </si>
  <si>
    <t>(spark.table(“sales“).groupBy(“store“)
.agg(sum(“sales“)).writeStream
.option(“checkpointLocation“,checkpointPath)
.outputMode(“complete“)
.table(“aggregatedSales“))</t>
  </si>
  <si>
    <t>(spark.table(“sales“).agg(sum(“sales“),sum(“units“))
.writeStream
.option(“checkpointLocation“,checkpointPath)
.outputMode(“complete“)
.table(“aggregatedSales“))</t>
  </si>
  <si>
    <t>(spark.table(“sales“)
.withColumn(“avgPrice“, col(“sales“) / col(“units“))
.writeStream
.option(“checkpointLocation“, checkpointPath)
.outputMode(“append“)
.table(“cleanedSales“))</t>
  </si>
  <si>
    <t>(spark.readStream.load(rawSalesLocation)
.writeStream
.option(“checkpointLocation“, checkpointPath)
.outputMode(“append“)
.table(“uncleanedSales“) )</t>
  </si>
  <si>
    <t>(spark.read.load(rawSalesLocation)
.writeStream
.option(“checkpointLocation“, checkpointPath)
.outputMode(“append“)
.table(“uncleanedSales“) )</t>
  </si>
  <si>
    <t>Which of the following Structured Streaming queries successfully performs a hop from a Silver to Gold table?</t>
  </si>
  <si>
    <t>(spark.table(“sales“)
.groupBy(“store“)
.agg(sum(“sales“))
.writeStream
.option(“checkpointLocation“, checkpointPath)
.outputMode(“complete“)
.table(“aggregatedSales“) )</t>
  </si>
  <si>
    <t>(spark.table(“sales“)
.writeStream
.option(“checkpointLocation“, checkpointPath)
.outputMode(“complete“)
.table(“sales“) )</t>
  </si>
  <si>
    <t>(spark.table(“sales“)
.withColumn(“avgPrice“, col(“sales“) / col(“units“))
.writeStream
.option(“checkpointLocation“, checkpointPath)
.outputMode(“append“)
.table(“cleanedSales“) )</t>
  </si>
  <si>
    <t>Which of the following Auto loader structured streaming commands successfully performs a hop from the landing area into Bronze?</t>
  </si>
  <si>
    <t>spark\
.readStream\
.format(“csv“)\
.option(“cloudFiles.schemaLocation“, checkpoint_directory)\
.load(“landing“)\
.writeStream.option(“checkpointLocation“, checkpoint_directory)\
.table(raw)</t>
  </si>
  <si>
    <t>spark\
.readStream\
.format(“cloudFiles“)\
.option(“cloudFiles.format“,“csv“)\
.option(“cloudFiles.schemaLocation“, checkpoint_directory)\
.load(“landing“)\
.writeStream.option(“checkpointLocation“, checkpoint_directory)\
.table(raw)</t>
  </si>
  <si>
    <t>spark\
.read\
.format(“cloudFiles“)\
.option(“cloudFiles.format“,”csv”)\
.option(“cloudFiles.schemaLocation“, checkpoint_directory)\
.load(“landing“)\
.writeStream.option(“checkpointLocation“, checkpoint_directory)\
.table(raw)</t>
  </si>
  <si>
    <t>spark\
.readStream\
.load(rawSalesLocation)\
.writeStream \
.option(“checkpointLocation“, checkpointPath).outputMode(“append“)\
.table(“uncleanedSales“)</t>
  </si>
  <si>
    <t>spark\
.read\
.load(rawSalesLocation) \
.writeStream\
.option(“checkpointLocation“, checkpointPath) \
.outputMode(“append“)\
.table(“uncleanedSales“)</t>
  </si>
  <si>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</si>
  <si>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</si>
  <si>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</si>
  <si>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</si>
  <si>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</si>
  <si>
    <t>Delta lake does not support calculated columns, value should be inserted into the table as part of the ingestion process</t>
  </si>
  <si>
    <t>AS DEFAULT (CAST(orderTime as DATE))</t>
  </si>
  <si>
    <t>GENERATED ALWAYS AS (CAST(orderTime as DATE))</t>
  </si>
  <si>
    <t>GENERATED DEFAULT AS (CAST(orderTime as DATE))</t>
  </si>
  <si>
    <t>AS (CAST(orderTime as DATE))</t>
  </si>
  <si>
    <t>Temporary views are lost once the notebook is detached and re-attached</t>
  </si>
  <si>
    <t> Temporary views stored in memory</t>
  </si>
  <si>
    <t> Temporary views can be still accessed even if the notebook is detached and attached</t>
  </si>
  <si>
    <t> Temporary views can be still accessed even if cluster is restarted</t>
  </si>
  <si>
    <t> Temporary views are created in local_temp database</t>
  </si>
  <si>
    <t>Temporary views stored in memory</t>
  </si>
  <si>
    <t>Temporary views can be still accessed even if the notebook is detached and attached</t>
  </si>
  <si>
    <t>Temporary views can be still accessed even if cluster is restarted</t>
  </si>
  <si>
    <t>Temporary views are created in local_temp database</t>
  </si>
  <si>
    <t>dbutils.widgets.options(“department“, “all“, “Department“)
current_department = dbutils.widgets.get(“department“)</t>
  </si>
  <si>
    <t>dbutils.widgets.text(“department“, “all“, “Department“)
current_department = dbutils.widgets.get(“department“)</t>
  </si>
  <si>
    <t>dbutils.widgets.variable(“department“, “Department“, “all“)
current_department = dbutils.widgets.get(“department“)</t>
  </si>
  <si>
    <t>dbutils.widgets.text(“department“, “Department“, “all“)
current_department = dbutils.widgets.get(“department“)</t>
  </si>
  <si>
    <t>dbutils.widgets.parameter(“department“, “all“, “Department“)
current_department = dbutils.widgets.get(“department“)</t>
  </si>
  <si>
    <t>RESTORE orders TO TIMESTAMP AS OF current_timestamp() - 8 HOURS;</t>
  </si>
  <si>
    <t>ROLLBACK TABLE orders TO TIMESTAMP AS OF current_timestamp() - INTERVAL 8 HOURS;</t>
  </si>
  <si>
    <t>RESTORE TABLE orders TO TIMESTAMP AS OF current_timestamp() - INTERVAL ‘8‘ HOURS;</t>
  </si>
  <si>
    <t>ROLLBACK orders TO TIMESTAMP current_timestamp() - 8 HOURS;</t>
  </si>
  <si>
    <t>RESTORE TABLE orders TO TIMESTAMP current_timestamp() - INTERVAL 8 HOURS;</t>
  </si>
  <si>
    <t>CREATE TABLE .. AS SELECT * FROM hive_metastore..;</t>
  </si>
  <si>
    <t>MIGRATE TABLE TO .. AS SELECT * FROM hive_metastore..;</t>
  </si>
  <si>
    <t>CREATE TABLE .. AS SELECT * FROM .;</t>
  </si>
  <si>
    <t>ALTER TABLE hive_metastore.. AS ..;</t>
  </si>
  <si>
    <t>UPGRADE TABLE TO .. AS SELECT * FROM hive_metastore..;</t>
  </si>
  <si>
    <t>dbutils.widgets.list(“country“, “India“, [“India“, “Canada“, “England“, “USA“]) current_country = dbutils.widgets.get(“country“)</t>
  </si>
  <si>
    <t>dbutils.widgets.dropdown(“country“, “India“, [“India“, “Canada“, “England“, “USA“]) current_country = dbutils.widgets.get(“country“)</t>
  </si>
  <si>
    <t>dbutils.widgets.options(“country“, “India“, [“India“, “Canada“, “England“, “USA“]) current_country = dbutils.widgets.get(“country“)</t>
  </si>
  <si>
    <t>dbutils.widgets.select(“country“, “India“, [“India“, “Canada“, “England“, “USA“]) current_country = dbutils.widgets.get(“country“)</t>
  </si>
  <si>
    <t>dbutils.widgets.checkbox(“country“, “India“, [“India“, “Canada“, “England“, “USA“]) current_country = dbutils.widgets.get(“country“)</t>
  </si>
  <si>
    <t>for i in range(1 to 10): print(i)</t>
  </si>
  <si>
    <t>for i &lt;- 1 to 10: print(i)</t>
  </si>
  <si>
    <t>for i in range(10): print(i)</t>
  </si>
  <si>
    <t>for i in range(1, 11): print(i)</t>
  </si>
  <si>
    <t>for(int i = 1; i &lt;= 10; i++) print(i)</t>
  </si>
  <si>
    <t>GRANT OWNERSHIP TO ′user@myteam.com′ ON retail</t>
  </si>
  <si>
    <t>ALTER SCHEMA retail OWNER TO ′user@myteam.com′</t>
  </si>
  <si>
    <t>CHANGE OWNER OF retail TO ′user@myteam.com′</t>
  </si>
  <si>
    <t>ALTER DATABASE retail OWNER TO ‘user@myteam.com‘</t>
  </si>
  <si>
    <t>TRANSFER OWNERSHIP OF retail TO ′user@myteam.com′</t>
  </si>
  <si>
    <t>CHANGE</t>
  </si>
  <si>
    <t>ALTER</t>
  </si>
  <si>
    <t>REPAIR</t>
  </si>
  <si>
    <t>They can set up an Alert for the accompanying dashboard to notify when it has not refreshed in 24 hours.</t>
  </si>
  <si>
    <t>They can set up an Alert for the accompanying dashboard to notify them if the returned value is greater than 24.</t>
  </si>
  <si>
    <t>They can set up an Alert for the query to notify them if the returned value is greater than 24.</t>
  </si>
  <si>
    <t>This type of alerting is not possible in the Databricks.</t>
  </si>
  <si>
    <t>Run REFRESH TABLE command before running COPY INTO again</t>
  </si>
  <si>
    <t>AUTO LOADER should be used as COPY INTO doesn‘t work with incremental data ingestion</t>
  </si>
  <si>
    <t>COPY INTO command is used to ingest data only once into a Delta table</t>
  </si>
  <si>
    <t>COPY INTO command is idempotent and files in the source location that have already been loaded are skipped</t>
  </si>
  <si>
    <t>INSERT OVERWRITE command should be used instead of COPY INTO command</t>
  </si>
  <si>
    <t>try: ... catch:</t>
  </si>
  <si>
    <t>try: ... error:</t>
  </si>
  <si>
    <t>try: ... except:</t>
  </si>
  <si>
    <t>try: ... fail:</t>
  </si>
  <si>
    <t>try: ... exception:</t>
  </si>
  <si>
    <t>NOT NULL, CHECK</t>
  </si>
  <si>
    <t>PRIMARY KEY, FOREIGN KEY</t>
  </si>
  <si>
    <t>UNIQUE, NOT NULL</t>
  </si>
  <si>
    <t>DEFAULT, CHECK</t>
  </si>
  <si>
    <t>CREATE INDEX, NOT NULL</t>
  </si>
  <si>
    <t>INTERSECT</t>
  </si>
  <si>
    <t>UNION ALL</t>
  </si>
  <si>
    <t>Multi-hop Architecture</t>
  </si>
  <si>
    <t>MINUS</t>
  </si>
  <si>
    <t>They can submit the Job once on a Job cluster.</t>
  </si>
  <si>
    <t>They can link the Job to notebooks that are a part of a Databricks Repo.</t>
  </si>
  <si>
    <t>They can submit the Job once on an all-purpose cluster.</t>
  </si>
  <si>
    <t>REVOKE ALL PRIVILEGES FROM former_employees ON SCHEMA retail;</t>
  </si>
  <si>
    <t>REMOVE ALL PRIVILEGES ON SCHEMA retail FROM former_employees;</t>
  </si>
  <si>
    <t>REVOKE ALL PRIVILEGES ON SCHEMA retail FROM former_employees;</t>
  </si>
  <si>
    <t>REMOVE ALL PRIVILEGES FROM ′former_employees′ ON SCHEMA retail ;</t>
  </si>
  <si>
    <t>DELETE ALL PRIVILEGES ON SCHEMA retail FROM ‘former_employees‘;</t>
  </si>
  <si>
    <t>Execute a DELETE FROM statement to remove all records in customer_data before using INSERT INTO to load the entire staging_customer_updates table, ensuring it reflects the most current data.</t>
  </si>
  <si>
    <t>Manually review staging_customer_updates daily, writing custom SQL scripts to update or insert records into customer_data based on changes observed.</t>
  </si>
  <si>
    <t>Implement the APPLY CHANGES INTO statement, specifying customer_id as the key to automatically update existing records and insert new ones from staging_customer_updates into customer_data.</t>
  </si>
  <si>
    <t>CREATE TABLE parsed_data AS SELECT FROM_JSON(json_column) AS struct_column FROM original_table;</t>
  </si>
  <si>
    <t>CREATE TABLE parsed_data AS SELECT TO_STRUCT(json_column) FROM original_table;</t>
  </si>
  <si>
    <t>CREATE TABLE parsed_data AS SELECT CAST(json_column AS STRUCT) FROM original_table;</t>
  </si>
  <si>
    <t>%python spark.sql(“select * from table_name“)</t>
  </si>
  <si>
    <t>%sql Select * from table_name</t>
  </si>
  <si>
    <t>Both A &amp; B</t>
  </si>
  <si>
    <t>%python execute.sql(“select * from table“)</t>
  </si>
  <si>
    <t>%python delta.sql(“select * from table“)</t>
  </si>
  <si>
    <t>table_name = “sales“ schema_name = “bronze“ query = f”select * from schema_name.table_name”</t>
  </si>
  <si>
    <t>table_name = “sales“ schema_name = “bronze“ query = “select * from {schema_name}.{table_name}“</t>
  </si>
  <si>
    <t>table_name = “sales“ schema_name = “bronze“ query = f“select * from { schema_name}.{table_name}“</t>
  </si>
  <si>
    <t>table_name = “sales“ schema_name = “bronze“ query = f“select * from + schema_name +“.“+table_name“</t>
  </si>
  <si>
    <t>order_date = dbutils.widgets.get(“widget_order_date“) spark.sql(f“SELECT * FROM sales WHERE orderDate = ‘f{order_date }‘“)</t>
  </si>
  <si>
    <t>order_date = dbutils.widgets.get(“widget_order_date“) spark.sql(f“SELECT * FROM sales WHERE orderDate = ‘order_date‘ “)</t>
  </si>
  <si>
    <t>order_date = dbutils.widgets.get(“widget_order_date“) spark.sql(f”SELECT * FROM sales WHERE orderDate = ‘${order_date }‘ “)</t>
  </si>
  <si>
    <t>order_date = dbutils.widgets.get(“widget_order_date“) spark.sql(f“SELECT * FROM sales WHERE orderDate = ‘{order_date}‘ “)</t>
  </si>
  <si>
    <t>order_date = dbutils.widgets.get(“widget_order_date“) spark.sql(“SELECT * FROM sales WHERE orderDate = order_date“)</t>
  </si>
  <si>
    <t>ALTER TABLE table_name OWNER to ‘group‘</t>
  </si>
  <si>
    <t>TRANSFER OWNER table_name to ‘group‘</t>
  </si>
  <si>
    <t>GRANT OWNER table_name to ‘group‘</t>
  </si>
  <si>
    <t>ALTER OWNER ON table_name to ‘group‘</t>
  </si>
  <si>
    <t>GRANT OWNER On table_name to ‘group‘</t>
  </si>
  <si>
    <t>CREATE OR REPLACE TABLE inventory USING DELTA LOCATION ‘dbfs:/user/username/retail‘</t>
  </si>
  <si>
    <t>CREATE TABLE inventory USING DELTA LOCATION ‘dbfs:/user/username/retail‘</t>
  </si>
  <si>
    <t>CREATE TABLE inventory AS DELTA LOCATION ‘dbfs:/user/username/retail‘</t>
  </si>
  <si>
    <t>CREATE UNMANAGED TABLE inventory USING DELTA LOCATION ‘dbfs:/user/username/retail‘</t>
  </si>
  <si>
    <t>CREATE inventory LOCATION ‘dbfs:/user/username/retail‘</t>
  </si>
  <si>
    <t>df = spark.readStream.format(“cloudFiles“) \ .option(“cloudFiles.format“, “binaryFile“) \ .option(“pathGlobfilter“, “*.png“) \ .load(““)</t>
  </si>
  <si>
    <t>df = spark.readStream.format(“cloudFiles“) \ .option(“cloudFiles.format“, “csv“) \ .load(““)</t>
  </si>
  <si>
    <t>df = spark.readStream.format(“cloudFiles“) \ .option(“cloudFiles.format“, “binaryFile“) \ .load(“/*.png“)</t>
  </si>
  <si>
    <t>df = spark.readStream.format(“csv“) \ .load(““)</t>
  </si>
  <si>
    <t>df.groupBy(“region“).agg( sum(“sales“).alias(“total_sales“), avg(“sales“).alias(“avg_sales“), count(“sales“).alias(“total_count“) ).show()</t>
  </si>
  <si>
    <t>df.groupBy().agg( sum(“sales“).alias(“total_sales“), avg(“sales“).alias(“avg_sales“), count(“sales“).alias(“total_count“) ).show()</t>
  </si>
  <si>
    <t>df.groupBy(“region“).select( sum(“sales“).alias(“total_sales“), avg(“sales“).alias(“avg_sales“), count(“sales“).alias(“total_count“) ).show()</t>
  </si>
  <si>
    <t>df.agg( sum(“sales“).alias(“total_sales“), avg(“sales“).alias(“avg_sales“), count(“sales“).alias(“total_count“) ).show()</t>
  </si>
  <si>
    <t>import dlt from pyspark.sql import functions as F @dlt.table(name=“events_bronze“) def load_events(): return spark.read.format(“parquet“).load(“s3://my-bucket/data.json“)</t>
  </si>
  <si>
    <t>import dlt from pyspark.sql import functions as F @dlt.table(name=“events_bronze“) def load_events(): return spark.read.format(“csv“).load(“s3://my-bucket/data.json“)</t>
  </si>
  <si>
    <t>import dlt from pyspark.sql import functions as F @dlt.table(name=“events_bronze“) def load_events(): return spark.read.format(“json“).load(“s3://my-bucket/data.json“)</t>
  </si>
  <si>
    <t>import dlt from pyspark.sql import functions as F @dlt.table(name=“events_bronze“) def load_events(): return spark.read.json(“s3://my-bucket/data.json“)</t>
  </si>
  <si>
    <t>SELECT only on the tables</t>
  </si>
  <si>
    <t>USE CATALOG on the catalog + USE SCHEMA on the schema + SELECT on the tables/views</t>
  </si>
  <si>
    <t>CREATE TABLE, MODIFY, and SELECT on the schema.</t>
  </si>
  <si>
    <t>OWNERSHIP on the schema</t>
  </si>
  <si>
    <t>GRANT USE CATALOG ON CATALOG manufacturing TO ′manufacting-team′; GRANT USE SCHEMA ON SCHEMA manufacturing.quality TO ′manufacting-team′; GRANT MODIFY ON TABLE manufacturing.quality. TO ′manufacting-team′;</t>
  </si>
  <si>
    <t>GRANT USE CATALOG ON CATALOG manufacturing TO ′manufacting-team′; GRANT SELECT ON TABLE manufacturing.quality. TO ′manufacting-team′; GRANT READ_METADATA ON TABLE manufacturing.quality. TO ′manufacting-team′;</t>
  </si>
  <si>
    <t>GRANT OWNERSHIP ON SCHEMA manufacturing.quality TO ′manufacting-team′;</t>
  </si>
  <si>
    <t>GRANT USE CATALOG ON CATALOG manufacturing TO ′manufacting-team′; GRANT USE SCHEMA ON SCHEMA manufacturing.quality TO ′manufacting-team′; GRANT CREATE TABLE ON SCHEMA manufacturing.quality TO ′manufacting-team′;</t>
  </si>
  <si>
    <t>import dlt @dlt.table def sales_data(): return ( spark.readStream .format(“kafka“) .option(“subscribe“, “sales_events“) .load(“/mnt/kafka“) ) .load(“/mnt/kafka“) is not valid for reading from a Kafka topic; Kafka requires broker server configurations, not file paths.</t>
  </si>
  <si>
    <t>import dlt @dlt.table def sales_data(): return ( spark.read .format(“kafka“) .option(“topic“, “sales_events“) .load() ) .read is non-streaming and topic is not a valid option for Spark structured streaming Kafka source; it should use subscribe.</t>
  </si>
  <si>
    <t>import dlt @dlt.table def sales_data(): return ( spark.readStream .format(“kafka“) .option(“kafka.bootstrap.servers“, “broker1:9092,broker2:9092“) #update with your Kafka server(s) .option(“subscribe“, “sales_events“) .load() )</t>
  </si>
  <si>
    <t>import dlt @dlt.table def sales_data(): return ( spark.readStream .format(“delta“) .option(“topic“, “sales_events“) .load() ) .format(“delta“) is for reading existing Delta tables, not Kafka topics.</t>
  </si>
  <si>
    <t>ALTER TABLE ADD COMMENT ‘This is a table comment‘</t>
  </si>
  <si>
    <t>ALTER TABLE COMMENT ‘This is a table comment‘</t>
  </si>
  <si>
    <t>COMMENT ON TABLE IS ‘This is a table comment‘</t>
  </si>
  <si>
    <t>CREATE TABLE WITH COMMENT ‘This is a table comment‘</t>
  </si>
  <si>
    <t>GRANT SELECT ON SCHEMA main.sales_schema TO user_jane; GRANT CREATE TABLE ON SCHEMA main.sales_schema TO user_jane;</t>
  </si>
  <si>
    <t>GRANT USE CATALOG ON CATALOG main TO user_jane; GRANT USE SCHEMA ON SCHEMA main.sales_schema TO user_jane; GRANT CREATE TABLE ON SCHEMA main.sales_schema TO user_jane;</t>
  </si>
  <si>
    <t>GRANT USE SCHEMA ON SCHEMA main.sales_schema TO user_jane; GRANT CREATE ON SCHEMA main.sales_schema TO user_jane; GRANT MODIFY ON SCHEMA main.sales_schema TO user_jane; GRANT CREATE TABLE ON SCHEMA main.sales_schema TO user_jane;</t>
  </si>
  <si>
    <t>GRANT SELECT ON SCHEMA manufacturing.quality TO ′group′ qa_team;</t>
  </si>
  <si>
    <t>GRANT USAGE ON CATALOG manufacturing TO ′group′ qa_team; GRANT USAGE ON SCHEMA manufacturing.quality TO ′group′ qa_team; GRANT SELECT ON ALL TABLES IN SCHEMA manufacturing.quality TO ′group′ qa_team;</t>
  </si>
  <si>
    <t>GRANT ALL PRIVILEGES ON SCHEMA manufacturing.quality TO ′group′ qa_team; GRANT SELECT ON CATALOG manufacturing TO ′group′ qa_team;</t>
  </si>
  <si>
    <t xml:space="preserve">YAML file (e.g., bundle.yml) defining artifacts, configurations, and resources, with supporting files in folders.					</t>
  </si>
  <si>
    <t xml:space="preserve">zip file containing all cluster configs and code uploaded directly to Databricks.					</t>
  </si>
  <si>
    <t xml:space="preserve">A worker_config.json file with Spark cluster settings and notebooks.					</t>
  </si>
  <si>
    <t xml:space="preserve">A Docker image with code, dependencies, and runtime settings.					</t>
  </si>
  <si>
    <t>SELECT s.sale_id, s.product_id, s.sale_amount, p.product_name FROM sales s JOIN products p ON s.product_id = p.product_id;</t>
  </si>
  <si>
    <t>SELECT s.sale_id, s.product_id, s.sale_amount, p.product_name FROM sales s RIGHT JOIN products p ON s.product_id = p.product_id;</t>
  </si>
  <si>
    <t>SELECT s.sale_id, s.product_id, s.sale_amount, p.product_name FROM sales s LEFT JOIN products p ON s.product_id = p.product_id;</t>
  </si>
  <si>
    <t>SELECT s.sale_id, s.product_id, s.sale_amount, p.product_name FROM products p LEFT JOIN sales s ON s.product_id = p.product_id;</t>
  </si>
  <si>
    <t>SELECT s.sale_id, s.product_id, s.sale_amount, p.product_name FROM sales s FULL OUTER JOIN products p ON s.product_id = p.product_id;</t>
  </si>
  <si>
    <t>OVERWRITE TABLE customer_data SELECT * FROM staging_table</t>
  </si>
  <si>
    <t>MERGE INTO customer_data USING staging_table</t>
  </si>
  <si>
    <t>INSERT OVERWRITE TABLE customer_data SELECT * FROM staging_table</t>
  </si>
  <si>
    <t>CREATE OR REPLACE TABLE customer_data AS SELECT * FROM staging_table</t>
  </si>
  <si>
    <t>REPLACE INTO customer_data SELECT * FROM staging_table</t>
  </si>
  <si>
    <t>Ingest data directly into the Gold layer and use dashboards to clean the data dynamically</t>
  </si>
  <si>
    <t>Store raw data in CSV format, clean it using SQL Warehouses, and visualize it with Power BI</t>
  </si>
  <si>
    <t>Use streaming jobs to continuously merge raw and aggregated data into one unified Silver table</t>
  </si>
  <si>
    <t>Ingest raw sensor data into the Bronze layer, clean and standardize it in the Silver layer, and create aggregated performance metrics in the Gold layer</t>
  </si>
  <si>
    <t>Load all sensor data into a single Delta table and add tags to distinguish raw vs processed records</t>
  </si>
  <si>
    <t>SELECT s.sale_id, s.sale_amount FROM sales s JOIN products p ON s.product_id = p.product_id WHERE p.category = ‘Electronics‘;</t>
  </si>
  <si>
    <t>SELECT * FROM sales WHERE category = ‘Electronics‘;</t>
  </si>
  <si>
    <t>SELECT p.product_id, p.product_name FROM products p WHERE p.category = ‘Electronics‘;</t>
  </si>
  <si>
    <t>SELECT s.sale_id, s.sale_amount FROM sales s INNER JOIN products p ON s.product_id = p.product_id WHERE p.category = ‘Electronics‘;</t>
  </si>
  <si>
    <t>SELECT s.sale_id, s.product_id FROM sales s LEFT JOIN products p ON s.product_id = p.product_id;</t>
  </si>
  <si>
    <t>flatten_array</t>
  </si>
  <si>
    <t>flatten_values</t>
  </si>
  <si>
    <t>flat_map</t>
  </si>
  <si>
    <t>SELECT *, input_file_name() FROM json.′/Volumes/retail/landing/customers/′</t>
  </si>
  <si>
    <t>SELECT *, file_name() FROM json.′/Volumes/retail/landing/customers/′</t>
  </si>
  <si>
    <t>SELECT *,  file_path() FROM json.′/Volumes/retail/landing/customers/′</t>
  </si>
  <si>
    <t>SELECT *, get_json_object(file_path) FROM json.′/Volumes/retail/landing/customers/′</t>
  </si>
  <si>
    <t>SELECT *, source_path() FROM json.′/Volumes/retail/landing/customers/′</t>
  </si>
  <si>
    <t>explode(tags)</t>
  </si>
  <si>
    <t>transform(tags, x -&gt; x)</t>
  </si>
  <si>
    <t>flatten(tags)</t>
  </si>
  <si>
    <t>group_by(tags)</t>
  </si>
  <si>
    <t>map_values(tags)</t>
  </si>
  <si>
    <t>ALTER TABLE my_table ADD PRIMARY KEY (age);</t>
  </si>
  <si>
    <t>ALTER TABLE my_table ADD CONSTRAINT age_greater_than_zero CHECK (age &gt; 0);</t>
  </si>
  <si>
    <t>ALTER TABLE my_table SET TBLPROPERTIES (‘age_greater_than_zero‘ = ‘true‘);</t>
  </si>
  <si>
    <t>CREATE TABLE my_table WITH CONSTRAINT age_greater_than_zero CHECK (age &gt; 0);</t>
  </si>
  <si>
    <t>RESTORE</t>
  </si>
  <si>
    <t>DROP TABLE</t>
  </si>
  <si>
    <t>CLONE</t>
  </si>
  <si>
    <t>ANALYZE TABLE</t>
  </si>
  <si>
    <t>COMPACT</t>
  </si>
  <si>
    <t>Under jobs UI select the job you are interested, under runs we can see current active runs and last 60 days historical run.
See graphic.</t>
  </si>
  <si>
    <t>Answer is Managed Delta table
Anytime a table is created without the Location keyword it is considered a managed table, by default all managed tables DELTA tables
Syntax
CREATE TABLE table_name ( column column_data_type…)</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</si>
  <si>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</si>
  <si>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OR REPLACE TEMPORARY VIEW view_name
AS SELECT * FROM table_name
The default temporary view is session scoped, as soon as the session ends or if a notebook is detached session scoped temporary view is dropped.</t>
  </si>
  <si>
    <t>The answer is, They can turn on the Auto Stop feature for the SQL endpoint(SQL Warehouse).
Use auto stop to automatically terminate the cluster when you are not using it.</t>
  </si>
  <si>
    <t>The answer is DROP DATABASE customers CASCADE
Drop database with cascade option drops all the tables, since all of the tables inside the database are managed tables we do not need to perform any additional steps to clean the data in the storage.</t>
  </si>
  <si>
    <t>Please note Databricks recently renamed SQL endpoint to SQL warehouse.</t>
  </si>
  <si>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</si>
  <si>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</si>
  <si>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</si>
  <si>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</si>
  <si>
    <t>The answer is, Account Level
The classic access control list (tables, workspace, cluster) is at the workspace level, Unity catalog is at the account level and can manage all the workspaces in an Account.</t>
  </si>
  <si>
    <t>ACL</t>
  </si>
  <si>
    <t>Deeper Dive</t>
  </si>
  <si>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</si>
  <si>
    <t>Count of CorrectLetter</t>
  </si>
  <si>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</si>
  <si>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</si>
  <si>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</si>
  <si>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</si>
  <si>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</si>
  <si>
    <t>Answer is Databricks notebooks support automatic change tracking and versioning.
When you are editing the notebook on the right side check version history to view all the changes, every change you are making is captured and saved.</t>
  </si>
  <si>
    <t>The answer is Target table is overwritten for each batch
Complete mode – The whole Result Table will be outputted to the sink after every trigger. This is supported for aggregation queries</t>
  </si>
  <si>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</si>
  <si>
    <t xml:space="preserve">Answer is
All of the data is broken down into one or many parquet files, log files are broken down into one or many json files, and each transaction creates a new data file(s) and log file.
here is sample layout of how DELTA table might look,
See Graphic.
</t>
  </si>
  <si>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</si>
  <si>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</si>
  <si>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</si>
  <si>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</si>
  <si>
    <t>The answer is AUTO LOADER,
Use Auto Loader instead of the COPY INTO SQL command when:
You want to load data from a file location that contains files in the order of millions or higher. Auto Loader can discover files more efficiently than the COPY INTO SQL command and can split file processing into multiple batches.
COPY INTO only directory listing but AUTO LOADER supports File notification method where the Auto Loader continues to ingest files as they arrive in cloud object storage leveraging cloud provider(Queues and triggers) and Spark‘s structured streaming. 
Your data schema evolves frequently. Auto Loader provides better support for schema inference and evolution. See Configuring schema inference and evolution in Auto Loader.</t>
  </si>
  <si>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</si>
  <si>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</si>
  <si>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</si>
  <si>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</si>
  <si>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DELTA LIVE TABLES
DLT simplifies data dependencies by building DAG-based joins between live tables. Here is a view of how the dag looks with data dependencies without additional meta data,
create or replace live view customers
select * from customers;
create or replace live view sales_orders_raw
select * from sales_orders;
create or replace live view sales_orders_cleaned
as
select sales.* from
live.sales_orders_raw s
join live.customers c
on c.customer_id = s.customer_id
where c.city = ‘LA‘;
create or replace live table sales_orders_in_la
select * from sales_orders_cleaned;
Above code creates below dag
Documentation on DELTA LIVE TABLES,
https://databricks.com/product/delta-live-tables
https://databricks.com/blog/2022/04/05/announcing-generally-availability-of-databricks-delta-live-tables-dlt.html
DELTA LIVE TABLES, addresses below challenges when building ETL processes
1. Complexities of large scale ETL
a. Hard to build and maintain dependencies
b. Difficult to switch between batch and stream
2. Data quality and governance
a. Difficult to monitor and enforce data quality
b. Impossible to trace data lineage
3. Difficult pipeline operations
a. Poor observability at granular data level
b. Error handling and recovery is laborious</t>
  </si>
  <si>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</si>
  <si>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</si>
  <si>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t>
  </si>
  <si>
    <t>The answer is, They can set up an Alert for the query to notify them if the returned value is greater than 60.
The important thing to note here is that alert can only be setup on query not on the dashboard, query can  return a value, which is used if alert can be triggered.</t>
  </si>
  <si>
    <t>ELT, Alerts</t>
  </si>
  <si>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</si>
  <si>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</si>
  <si>
    <t>The correct answer is: Databricks Notebooks support real-time coauthoring on a single notebook</t>
  </si>
  <si>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</si>
  <si>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</si>
  <si>
    <t>All the options will show you the ‘Type‘ of table i.e., whether the table is an ‘EXTERNAL‘ table or a ‘MANAGED‘ table. You can explore more about each option using the links given below.
SHOW CREATE TABLE
SHOW TABLE EXTENDED
DESCRIBE TABLE (EXTENDED OR FORMATTED)
So, the correct answer is All of the above</t>
  </si>
  <si>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</si>
  <si>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</si>
  <si>
    <t>INSERT INTO command is used to to append new rows to an existing Delta table.</t>
  </si>
  <si>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</si>
  <si>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</si>
  <si>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</si>
  <si>
    <t>Let‘s try to understand the concept given below.
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
A streaming live table or view processes data that has been added only since the last pipeline update. Streaming tables and views are stateful, if the defining query changes, new data will be processed based on the new query and existing data is not recomputed.
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
When an update is triggered for a pipeline, a streaming table or view processes only new data that has arrived since the last update. Data already processed is automatically tracked by the Delta Live Tables runtime.
So, the correct answer is:
CREATE STREAMING LIVE TABLE should be used when working with streaming data sources and to process the data incrementally
Learn More: Delta Live Tables | Concepts</t>
  </si>
  <si>
    <t>All the fields given are mandatory except the Target Schema.
Target Schema field is optional. If not specified, then tables will not be registered to a metastore, but will still be available in the DBFS.
To make your tables available for discovery and querying, enter a database name in the Target Schema field.
So, the correct answer is Target Schema</t>
  </si>
  <si>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</si>
  <si>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</si>
  <si>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</si>
  <si>
    <t>Alerts</t>
  </si>
  <si>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</si>
  <si>
    <t>Option D. Job cluster cannot be restarted
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
Incorrect
Option A. Databricks job scheduler creates a job cluster when you run a job
Correct statement. When you configure a job to use a job cluster, Databricks automatically provisions the cluster at runtime.
Option B. Job cluster can be created using the UI, CLI or REST API
Correct statement. You can define job clusters through the Databricks web UI, the command-line interface, or programmatically via the REST API.
Option C. Job cluster terminates when the job is completed
Correct statement. Job clusters are temporary and automatically shut down after the job finishes, which helps optimize resource usage and cost.
Option E. Job cluster is used to run fast and robust automated jobs
Correct statement. Job clusters are designed for automation, ensuring efficient execution of scheduled or triggered jobs without requiring manual cluster management.</t>
  </si>
  <si>
    <t>Correct
Option A. Merge into main branch
Databricks Repos integrates with Git providers (GitHub, GitLab, Bitbucket, Azure DevOps).
Within Repos, you can perform Git operations such as commit, pull, push, and merge into the main branch.
This is the correct answer because merging branches is supported directly in Databricks Repos.
Incorrect
Option B. Git automation calls Databricks Repos API
Git automation is handled by the external Git provider.
The Databricks Repos API is used for syncing and managing repos, not for automating Git workflows.
Incorrect in this context.
Option C. Pull request and review process
Pull requests and code reviews are managed in the Git provider (e.g., GitHub, GitLab).
Databricks Repos does not provide a native PR/review workflow.
Incorrect.
Option D. Create a new branch based on main branch
Branch creation must be done in the external Git provider.
Databricks Repos can sync with branches but does not create them directly.
Incorrect.
Option E. Databricks Repos API call to bring Repo in Production folder to the latest version
Updating to the latest version is done via Git pull/sync, not through a special “production folder” API call.</t>
  </si>
  <si>
    <t>Correct
Option E: “Cluster size cannot go below the minimum number of workers selected while enabling autoscaling”
This is the incorrect statement.
In Databricks, autoscaling always respects the minimum and maximum worker limits you configure.
The statement is misleading because it suggests autoscaling could ignore the minimum, but in reality, the minimum is enforced.
Therefore, this option is marked as the incorrect statement in the exam.
Incorrect
Option A:
True. Autoscaling allows workloads to run faster compared to an under-provisioned fixed cluster because resources can scale up when demand increases.
Option B:
True. Autoscaling can reduce costs since clusters scale down when demand is low, avoiding unnecessary resource usage compared to a statically-sized cluster.
Option C:
True. To enable autoscaling, you must configure both Min Workers and Max Workers. This defines the scaling range.
Option D:
True. Autoscaling improves utilization because you don’t need to manually size the cluster for peak workloads; it adjusts dynamically.</t>
  </si>
  <si>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</si>
  <si>
    <t>ALTER TABLE table_name SET TBLPROPERTIES ( property_key [ = ] property_val [, …] )
TBLPROPERTIES allow you to set key-value pairs
Table properties and table options (Databricks SQL) | Databricks on AWS</t>
  </si>
  <si>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</si>
  <si>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</si>
  <si>
    <t>A,E</t>
  </si>
  <si>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</si>
  <si>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</si>
  <si>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</si>
  <si>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</si>
  <si>
    <t>Job results reside in storage in your account. It‘s basically the Databricks File System layer on top of customer managed storage like AWS S3 or Azure Blob Storage.
The following diagram describes the architecture of Databricks.
Learn More: Databricks Architecture</t>
  </si>
  <si>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</si>
  <si>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</si>
  <si>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</si>
  <si>
    <t>Using Data Explorer
Use the left sidebar navigator to select the Data tab; this places you in the Data Explorer
What is the Data Explorer?
The data explorer allows users and admins to:
Navigate databases, tables, and views
Explore data schema, metadata, and history
Set and modify permissions of relational entities
By default, admins will have the ability to view all objects registered to the metastore and will be able to control permissions for other users in the workspace.
So, the corrects answer is Data Explorer.</t>
  </si>
  <si>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</si>
  <si>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</si>
  <si>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</si>
  <si>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</si>
  <si>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</si>
  <si>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</si>
  <si>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</si>
  <si>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</si>
  <si>
    <t>Data Engineer should use a Table entity if he wants the data to persist between multiple sessions and also the data should get stored in a physical location.</t>
  </si>
  <si>
    <t>Data files are stored in the Parquet format for a table in the Delta Lake. So, the correct answer is Parquet</t>
  </si>
  <si>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</si>
  <si>
    <t>To count null values in any column, use the count_if function in Databricks SQL.
Learn More: COUNT_IF() | Databricks SQL</t>
  </si>
  <si>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</si>
  <si>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</si>
  <si>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</si>
  <si>
    <t>TRUNCATE TABLE (Databricks SQL)
Removes all the rows from a table or partition(s). The table must not be a view or an external or temporary table. In order to truncate multiple partitions at once, specify the partitions in
partition_spec. If no partition_spec is specified, removes all partitions in the table.
If the table is cached, the command clears cached data of the table and all its dependents that refer to it. The cache will be lazily filled when the table or the dependents are accessed the next time.
Syntax: TRUNCATE TABLE table_name [ PARTITION clause ]
Parameters:
table_name
The name of the table to truncate. The name must not include a temporal specification.
PARTITION clause
Optional specification of a partition.
DELETE can be used to delete all the rows in a table but it‘s not as efficient as compared to TRUNCATE
Learn More: Truncate in Databricks SQL</t>
  </si>
  <si>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</si>
  <si>
    <t>date_format()
It converts a timestamp to a string in the format fmt.
Syntax
date_format(expr, fmt)
Arguments
expr: A DATE, TIMESTAMP, or a STRING in a valid datetime format.
fmt: A STRING expression describing the desired format.
Returns
A STRING.
See Datetime patterns for details on valid formats.
Examples
&gt; SELECT date_format(‘2016-04-08‘, ‘y‘);
2016
Given below are some of the symbols along with their meanings
d: day-of-month
M: month-of-year
y: year
D: day-of-year
So, the correct answer is:
SELECT order_id, date_format(order_timestamp, ‘dd-MM-YYYY‘) as order_date FROM orders; 
Learn More: date_format function</t>
  </si>
  <si>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</si>
  <si>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</si>
  <si>
    <t>Let‘s try to understand the answer of this question by looking at the concept of Bronze tables.
Bronze tables contain raw data ingested from various sources like JSON files, RDBMS data, IoT data, etc. So, the correct answer is:
(
spark.readStream.load(rawSalesLocation)
.format(“cloudFiles“)
.option(“cloudFiles.format“, sourceFormat)
.option(“cloudFiles.schemaLocation“, checkpointPath)
.writeStream
.option(“checkpointLocation“, checkpointPath)
.outputMode(“append“)
.table(“uncleanedSales“)
)
In this scenario, we are basically reading a stream of data from rawSalesLocation by passing different parameters like format, schemaLocation, checkpointLocation and then finally writing the data to the uncleanedSales table in append mode.</t>
  </si>
  <si>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</si>
  <si>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</si>
  <si>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</si>
  <si>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</si>
  <si>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</si>
  <si>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</si>
  <si>
    <t>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
While usage of SCHEMA and DATABASE is interchangeable, SCHEMA is preferred.
Syntax
ALTER { SCHEMA | DATABASE schema_name
SET DBPROPERTIES ( { key = val } [, …] ) |
OWNER TO principal
}
Parameters
schema_name
The name of the schema to be altered.
DBPROPERTIES ( key = val [, ] )
The schema properties to be set or unset.
OWNER TO principal
Transfers ownership of the schema to principal or any other user
The username should be specified in back ticks ′′
So, the correct answer is ALTER SCHEMA retail OWNER TO ′user@myteam.com′
Learn More: ALTER SCHEMA | Databricks SQL</t>
  </si>
  <si>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</si>
  <si>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</si>
  <si>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</si>
  <si>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</si>
  <si>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</si>
  <si>
    <t>ELT</t>
  </si>
  <si>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</si>
  <si>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</si>
  <si>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</si>
  <si>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</si>
  <si>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</si>
  <si>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</si>
  <si>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</si>
  <si>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</si>
  <si>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</si>
  <si>
    <t>et’s try to understand the answer to this question by first looking at trigger intervals.
Trigger intervals:
When defining a streaming write, the trigger method specifies when the system should process the next set of data.
• Unspecified trigger:
  This is the default behavior and is equivalent to using processingTime = "500ms".
• Fixed interval micro-batches:
  trigger(processingTime = "2 minutes")
  The query executes micro-batches at user-specified time intervals.
• Triggered micro-batch (once):
  trigger(once = true)
  The query executes a single micro-batch to process all available data and then stops.
• Triggered micro-batches (availableNow):
  trigger(availableNow = true)
  The query executes multiple micro-batches to process all available data and then stops automatically.
Triggers are specified when defining how data is written to a sink and control the frequency of micro-batches. By default, Spark automatically detects and processes all new data in the source.
Note:
Trigger.availableNow is a newer trigger type. It is available in DBR 10.1 for Scala only and available in DBR 10.2 and above for both Python and Scala.
So, the correct answer is:
trigger(availableNow = true)</t>
  </si>
  <si>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</si>
  <si>
    <t xml:space="preserve">See Graphic. </t>
  </si>
  <si>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</si>
  <si>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</si>
  <si>
    <t>Let’s try to find the correct answer for this question by looking at the GRANT command.
GRANT:
The GRANT statement is used to grant a privilege on a securable object to a principal.
Syntax:
GRANT &lt;privilege_type&gt; ON &lt;securable_object&gt; TO &lt;principal&gt;
Privilege types:
• ALL PRIVILEGES – Grants all privileges applicable to the securable object.
• privilege_type – A specific privilege to be granted on the securable object.
Parameters:
• securable_object:
  The object on which the privileges are granted (for example, a table or schema).
• principal:
  A user, service principal, or group to which the privileges are granted.
Examples:
• GRANT CREATE ON SCHEMA &lt;schema_name&gt; TO &lt;user&gt;;
• GRANT ALL PRIVILEGES ON TABLE forecasts TO finance;
• GRANT SELECT ON TABLE sample_data TO USERS;
Common privileges:
• ALL PRIVILEGES – Grants all available privileges.
• SELECT – Grants read access to an object.
• MODIFY – Grants the ability to add, delete, and modify data.
• READ_METADATA – Grants the ability to view object metadata.
• USAGE – Required to access a database object but does not grant direct abilities.
• CREATE – Grants the ability to create an object (such as a table in a database).
So, the correct answer is:
GRANT SELECT, MODIFY ON TABLE sales TO new_engineer@company.com;</t>
  </si>
  <si>
    <t>An aggregate function to summarize the data is necessary to perform a PIVOT operation in Spark SQL.
Here’s why:
Pivoting: This operation transforms data from a tall format (multiple rows, few columns) to a wide format (few rows, many columns).
Aggregation: To create the new columns, you need to aggregate the values based on a specific criterion. This typically involves functions like SUM, AVG, COUNT, MIN, or MAX.
The other options are not directly required for a PIVOT operation:
DISTINCT: While it can be useful to ensure unique values in the column being pivoted, it’s not essential for the operation itself.
LIMIT: This is used to restrict the number of rows returned and is not directly related to pivoting.</t>
  </si>
  <si>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</si>
  <si>
    <t>Option D. INTEGER
An INTEGER data type is used to store numerical values. If each key in a SQL table needs to be associated with a numeric value (for example, counts, IDs, or metrics), an integer column is the most appropriate and straightforward choice.
Incorrect:
Option A. STRUCT
A STRUCT stores multiple named fields within a single column. It is used for complex, nested data rather than for directly associating a single numeric value with a key.
Option B. ARRAY
An ARRAY stores an ordered collection of values. It does not map keys to values and is not suitable for associating one numeric value per key.
Option C. MAP
A MAP stores key-value pairs, but it is designed for multiple dynamic keys within a single column. If the requirement is simply to associate a numeric value with each table key (row), a scalar numeric type like INTEGER is more appropriate.</t>
  </si>
  <si>
    <t>Correct answer:
An aggregate function to summarize the data.
This is correct because Spark SQL’s PIVOT operation requires an aggregate function (such as SUM, COUNT, or AVG) to summarize values when converting rows into columns.
• Without an aggregate function, Spark SQL cannot determine how to combine multiple values into a single pivoted cell.
Example:
SELECT *
FROM sales
PIVOT (
  SUM(amount)
  FOR region IN ('East', 'West', 'North', 'South')
);
In this example, SUM(amount) is the required aggregate function used during the pivot operation.
Incorrect options:
Option B: A LIMIT clause to restrict the number of rows returned.
• LIMIT only restricts output rows and does not affect the pivot transformation.
Option C: A JOIN clause to merge data from different tables.
• Pivoting operates on a single dataset. JOINs are not required for performing a pivot.
Option D: A DISTINCT clause to ensure unique values.
• Uniqueness is not a requirement for pivoting.
• Spark SQL handles grouping and aggregation internally during the pivot operation.</t>
  </si>
  <si>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</si>
  <si>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</si>
  <si>
    <t>Correct
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
Incorrect
Option A. SELECT COUNT(DISTINCT *) FROM customers; Incorrect because this is the query itself, not the output. The exam asks for the result, not the statement.
Option B. 4 Incorrect because it assumes there are 4 distinct rows, which is not the case in the given dataset.
Option C. 3 Incorrect because it assumes 3 distinct rows, which does not match the dataset.
Option E. 1 Incorrect because it assumes all rows are identical, which is not true.</t>
  </si>
  <si>
    <t>Correct
Option A. map("delimiter", "\t", "header", "true"))
Correct because Auto Loader with cloud_files() requires map() to specify file options.
The correct parameters are:
delimiter = "\t" → ensures the CSV is parsed as tab‑delimited.
header = "true" → ensures the first line is treated as column headers.
This matches the ingestion requirements exactly.
Incorrect
Option B. options("delimiter", "\t", "header", "true"))
Incorrect because cloud_files() expects map(), not options().
Using options() would cause a syntax error in Delta Live Tables.
Option C. map("lineSep", "\t", "header", "true"))
Incorrect because lineSep defines line separators (e.g., \n), not field delimiters.
Using \t for lineSep is invalid since tab characters separate fields, not lines.
Option D. options("lineSep", "\t", "header", "true"))
Incorrect for two reasons:
Wrong function (options() instead of map()).
Wrong parameter (lineSep instead of delimiter).
Option E. map("delimiter", " ", "header", "true"))
Incorrect because the delimiter is set to spaces instead of tabs.
This would fail to parse the tab‑delimited CSV correctly.</t>
  </si>
  <si>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</si>
  <si>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</si>
  <si>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</si>
  <si>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</si>
  <si>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</si>
  <si>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</si>
  <si>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</si>
  <si>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</si>
  <si>
    <t>DBU</t>
  </si>
  <si>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</si>
  <si>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</si>
  <si>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</si>
  <si>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</si>
  <si>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</si>
  <si>
    <t>Databricks Control Plane and Data Plane Architecture
Databricks operates using two primary architectural components: a control plane and a data plane.
Control Plane:
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
Data Plane:
The data plane is where customer data is processed.
For most Databricks workloads, compute resources run in the customer’s cloud account within the Classic data plane. This includes Databricks notebooks, jobs, and Classic Databricks SQL warehouses.
When using Serverless compute for Databricks SQL, compute resources run in a shared Serverless data plane managed by Databricks. However, notebooks, jobs, and Classic SQL warehouses continue to run in the customer-managed Classic data plane.
This separation allows Databricks to manage platform services securely while customers retain control over their data and compute resources.</t>
  </si>
  <si>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</si>
  <si>
    <t>We can download the JSON description of the Job from the Job’s page. See the screenshot given below.
See Graphic</t>
  </si>
  <si>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</si>
  <si>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</si>
  <si>
    <t>Let’s try to understand the correct answer of this question.
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
If you want to use LEFT OUTER JOIN, you can keep the customers table on the LEFT hand side and orders table on the RIGHT hand side.
If you want to perform RIGHT OUTER JOIN, you can use the orders table on the LEFT hand side and customers table on the RIGHT hand side.
Learn More: Joins in Databricks SQL</t>
  </si>
  <si>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</si>
  <si>
    <t>Upgrade a schema or multiple tables to Unity Catalog
You can copy complete schemas (databases) and multiple external tables from your default Hive metastore to the Unity Catalog metastore using the Data Explorer upgrade wizard.
Requirements
Before you begin, you must have:
A storage credential that contains the information about a service principal authorized to access the table’s location path.
An external location that references the storage credential you just created and the path to the data on your cloud tenant.
CREATE EXTERNAL TABLE permission on the external locations of the tables to be upgraded.
Upgrade process
Click
Data in the sidebar to open the Data Explorer.
Select hive_metastore as your catalog and select the schema (database) that you want to upgrade.
Click Upgrade at the top right of the schema detail view.
Select all of the tables that you want to upgrade and click Next.
Only external tables in formats supported by Unity Catalog can be upgraded using the upgrade wizard.
Set the destination catalog and schema for each table.
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
Review the table configurations. To modify them, click the Previous button.
Click Create Query for Upgrade.
A query editor appears with generated SQL statements.
Run the query.
When the query is done, each table’s metadata has been copied from Hive metastore to Unity Catalog. These tables are marked as upgraded in the upgrade wizard.
Define fine-grained access control using the Permissions tab of each new table.
Modify your workloads to use the new table.
So, the correct answer is Data Explorer.
Learn More: Upgrade tables and views to Unity Catalog</t>
  </si>
  <si>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</si>
  <si>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</si>
  <si>
    <t>Spark Structured Streaming Trigger Intervals
When defining a streaming write, the trigger method specifies when Spark should process the next set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and then stops.
Triggered Micro‑Batch (Available Now):
.trigger(availableNow = true)
The query executes multiple micro‑batches to process all available data and then stops.
Triggers control how frequently micro‑batches are executed. By default, Spark automatically detects and processes all new data added since the last trigger.
Note:
Trigger.availableNow is supported in DBR 10.1+ (Scala only) and DBR 10.2+ for Python and Scala.
Correct Answer Explanation:
The requirement is to process data at a fixed interval of five minutes. Therefore, the correct trigger configuration explicitly sets the processing time.
Correct Answer:
.trigger(processingTime = "5 minutes")</t>
  </si>
  <si>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</si>
  <si>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</si>
  <si>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</si>
  <si>
    <t>se the MERGE INTO statement to compare customer_data and staging_customer_updates on customer_id, applying updates and inserts as needed.</t>
  </si>
  <si>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</si>
  <si>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</si>
  <si>
    <t>Correct:
C. Checkpointing and Write-ahead Logs
Checkpointing in Structured Streaming saves the progress of a streaming query (including processed offsets) to fault-tolerant storage (e.g., DBFS, HDFS). This allows Spark to recover and resume processing from where it left off in case of failures.
Write-ahead Logs (WAL) ensure that every batch of data is reliably written to a log before processing begins. This prevents data loss if a failure occurs during processing.
Together, these mechanisms ensure exactly-once processing semantics by tracking offsets and guaranteeing no data is skipped or duplicated after a failure.
Incorrect:
A. Checkpointing and Idempotent Sinks
While checkpointing is correct, idempotent sinks (sinks that can handle duplicate writes without side effects) are not part of Spark’s internal offset tracking mechanism.
Idempotent sinks are useful for ensuring output consistency but are not how Spark records offset ranges.
B. Replayable Sources and Idempotent Sinks
Replayable sources (e.g., Kafka) allow reprocessing of data, but they are not Spark’s mechanism for tracking offsets internally.
Again, idempotent sinks are about output handling, not offset tracking.
D. Structured Streaming cannot record the offset range of the data being processed in each trigger.
This is incorrect. Structured Streaming does track offsets using checkpointing and WALs to ensure fault tolerance.
E. Write-ahead Logs and Idempotent Sinks
Write-ahead Logs (WAL) are correct, but idempotent sinks are not part of the offset tracking mechanism.</t>
  </si>
  <si>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</si>
  <si>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</si>
  <si>
    <t>Correct
Option C. SELECT COUNT(*) FROM sales WHERE amount &gt; 100;
Correct because this is the standard SQL way to count rows that satisfy a condition.
The WHERE clause filters rows where amount &gt; 100, and COUNT(*) counts them.
This works across all SQL engines, including Databricks.
Incorrect
Option A. SELECT COUNT_IF(amount &gt; 100) FROM sales;
Incorrect because while COUNT_IF exists in Databricks SQL, the syntax requires a boolean condition inside the function.
The correct usage would be COUNT_IF(amount &gt; 100).
However, in practice, Databricks recommends using COUNT(*) with WHERE for clarity.
Option B. SELECT COUNT_IF(amount &gt; 100) AS count_above_100 FROM sales;
Incorrect for the same reason as Option A.
Although adding an alias (AS count_above_100) is valid SQL, the function syntax is not properly supported in all contexts.
The exam expects the canonical COUNT(*) ... WHERE form.
Option D. SELECT COUNT(amount &gt; 100) FROM sales;
Incorrect because COUNT() does not evaluate boolean expressions.
COUNT(expr) counts non-null values of expr, not conditions.
This would not correctly count rows where amount &gt; 100.</t>
  </si>
  <si>
    <t>Correct
Option C. parquet
Correct because in Databricks SQL, the prefix parquet. is used to query data directly from Parquet files. For example:
sql
SELECT * FROM parquet.`/mnt/data/users.parquet`
This syntax tells Databricks SQL to read the file directly from the specified location without needing to create a table first.
Incorrect
Option A. DATA
Incorrect because DATA is not a recognized prefix in Databricks SQL for querying Parquet files.
Option B. PARQUET
Incorrect because although it looks similar, Databricks SQL requires the lowercase form parquet. SQL in Databricks is case-sensitive for these file format prefixes.
Option D. FILE
Incorrect because FILE is not a valid prefix in Databricks SQL. The supported prefixes include parquet, delta, csv, etc., but not FILE.</t>
  </si>
  <si>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</si>
  <si>
    <t>tilize a Databricks built-in function for string normalization in a Spark SQL query.</t>
  </si>
  <si>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</si>
  <si>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</si>
  <si>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</si>
  <si>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Correct
Option B. EXIST
Explanation:
In Spark SQL, the recognized Higher Order Functions include FILTER, TRANSFORM, MAP, and REDUCE.
These functions operate on arrays or maps and take lambda functions as arguments, enabling functional-style transformations.
EXIST is not a valid Higher Order Function in Spark SQL. The correct function is EXISTS, which checks if a condition holds for at least one element in an array, but it is not categorized as a Higher Order Function in Spark SQL.
Therefore, EXIST is the incorrect option.
Incorrect
Option A. FILTER
Incorrect because FILTER is a valid Higher Order Function in Spark SQL.
It allows filtering elements of an array or map based on a condition.
Option C. TRANSFORM
Incorrect because TRANSFORM is a valid Higher Order Function.
It applies a lambda function to each element of an array and returns a new array.
Option D. MAP
Incorrect because MAP is a valid Higher Order Function.
It transforms key-value pairs in a map using a lambda function.
Option E. REDUCE
Incorrect because REDUCE is a valid Higher Order Function.
It reduces the elements of an array to a single value using a binary function.</t>
  </si>
  <si>
    <t>A dataset has been defined using Delta Live Tables and includes an expectations clause:
CONSTRAINT valid_order EXPECT (order_amount &gt;= 0)
What is the expected behavior when a batch of data containing records that violates these constraints is processed?</t>
  </si>
  <si>
    <t>ecords that violate the expectation are dropped from the target dataset and recorded as invalid in the event log.</t>
  </si>
  <si>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</si>
  <si>
    <t>REATE OR REPLACE TABLE parsed_events AS SELECT FROM_JSON(json_column, schema_of_json('')) AS struct_column FROM original_table;</t>
  </si>
  <si>
    <t>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</si>
  <si>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ELECT key, value:* FROM customers</t>
  </si>
  <si>
    <t>Correct
Option B. SELECT key, value.name, value.email, value.country, value.age FROM customers
Correct because the value column contains JSON data stored as a string. By referencing fields like value.name, value.email, etc., Databricks SQL can parse the JSON string into structured columns. This allows direct access to individual attributes within the JSON payload.
Incorrect
These do not fit the scenario:
Option A. SELECT key, value.* FROM customers
Incorrect because value is a string column, not a struct. You cannot directly expand it with .*.
Option C. SELECT key, EXPLODE(value) FROM customers
Incorrect because EXPLODE is used for arrays, not for parsing JSON strings. The value column here is a JSON string, not an array.
Option D. SELECT key, value:name, value:email, value:country, value:age FROM customers
Incorrect because the syntax value:field is not valid in Databricks SQL for JSON parsing. Proper dot notation (value.field) or functions like from_json must be used.
Option E. SELECT key, value:* FROM customers
Incorrect for the same reason as Option A. value is a string, so you cannot expand it with :*.</t>
  </si>
  <si>
    <t>Correct
This is the appropriate syntax for accessing subfields:
Option D. Dot (.)
Correct because Spark SQL uses dot notation to access subfields in JSON strings once they are parsed into a struct type. For example, if the JSON contains { "name": "Alice", "age": 30 }, you can access value.name or value.age using dot notation.
Incorrect
These do not represent valid syntax in Spark SQL for accessing JSON subfields:
Option A. Semicolon (;)
Incorrect because semicolons are used to terminate SQL statements, not to access subfields.
Option B. Colon (:)
Incorrect because colons are not valid syntax in Spark SQL for field access. They are sometimes used in other contexts (like JSON itself), but not in SQL queries.
Option C. Comma (,)
Incorrect because commas separate columns in a SELECT statement. They cannot be used to access subfields.</t>
  </si>
  <si>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</si>
  <si>
    <t>A table named customers contains Kafka data where the value column holds JSON data encoded as a STRING. To access individual JSON fields for processing, the STRING must be parsed into a structured format.
Example Source Data:
key | value
101 | {"name":"John Snow","email":"johnsnow@abc.com","country":"USA","age":"32"}
102 | {"name":"Harry Potter","email":"harrypotter@xyz.com","country":"UK","age":"28"}
Desired Output:
key | name          | email                  | country | age
101 | John Snow     | johnsnow@abc.com       | USA     | 32
102 | Harry Potter  | harrypotter@xyz.com    | UK      | 28
Correct Approach:
Use from_json to parse the STRING column into a STRUCT, then select individual fields.
Correct SQL Statement:
SELECT
  key,
  parsed_value.name    AS name,
  parsed_value.email   AS email,
  parsed_value.country AS country,
  parsed_value.age     AS age
FROM (
  SELECT
    key,
    from_json(
      value,
      'STRUCT&lt;name:STRING, email:STRING, country:STRING, age:INT&gt;'
    ) AS parsed_value
  FROM customers
);</t>
  </si>
  <si>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</si>
  <si>
    <t xml:space="preserve">The correct answer is Pull request and review process.
Explanation:
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
Why the other options are incorrect:
Commit and push to feature branch: This can be done directly within Databricks using Git integration without needing the Git provider for the actual push/commit.
Create a new branch based on the main branch: This can be done in Databricks as part of its Git integration and does not require the Git provider for creating branches.
Create and edit code: This can also be done directly within Databricks as part of the development workflow.
Clone remote repository to user folder: This is an operation that can be done through Databricks itself, utilizing the Git integration to clone a repository into a user’s workspace.
So, the correct answer is “Pull request and review process”
See Graphic.
</t>
  </si>
  <si>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</si>
  <si>
    <t>==</t>
  </si>
  <si>
    <t>The correct answer is Table.
Here’s why:
Tables: In Databricks, tables are persistent data structures. They store data in a storage location (like cloud storage) and are available even after a cluster is restarted. They are designed for long-term storage and retrieval. 
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Temporary Views: Temporary views are session-bound. They only exist within the context of a specific Spark session. When the cluster restarts (which creates a new session), temporary views are lost.  
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Therefore, only tables are persisted across Databricks cluster restarts.</t>
  </si>
  <si>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</si>
  <si>
    <t>He can schedule the dashboard to refresh every 1 day from the Dashboards page in Databricks SQL.
Here’s why:
Dashboards in Databricks have built-in scheduling capabilities. This allows you to automate the refresh process, eliminating the need for manual intervention.
Scheduling within the Dashboards page is the most direct and efficient way to manage the refresh frequency of a specific dashboard.
Other options and why they are less suitable:
Alerts page: Primarily used for notifications related to data quality, security, or other critical events. Not designed for scheduling dashboard refreshes.
SQL Warehouses: Manage the compute resources used by your queries and jobs. Not directly related to scheduling dashboards.
Queries page: Deals with individual SQL queries, not the overall dashboard refresh.
Workflows UI: A more advanced feature for orchestrating complex data pipelines and jobs. While it can be used for scheduling, it might be overkill for a simple daily dashboard refresh.
By scheduling the dashboard refresh directly from the Dashboards page, the manager saves time and ensures the data is always up-to-date for their daily review.</t>
  </si>
  <si>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</si>
  <si>
    <t>The correct statement is:
CREATE TABLE AS SELECT statements derive schema details from the query and you must not specify a column_specification.
Explanation:
CTAS (CREATE TABLE AS SELECT) is a powerful SQL command used to create a new table based on the results of a SELECT query.
Schema Inference: The CTAS statement automatically infers the schema (column names and data types) of the new table from the data returned by the SELECT query.
No Explicit Column Definition: You do not need to explicitly define the columns and their data types in the CTAS statement. The schema is derived dynamically from the query’s output.
Key Points:
Flexibility: CTAS simplifies table creation by automatically determining the schema from the data.
Data-Driven Schema: The table structure is directly based on the data, ensuring accurate and up-to-date schema definitions</t>
  </si>
  <si>
    <t>The SQL data type that should be used to store an ordered collection of multiple names in a table is ARRAY.
Here’s why:
ARRAY: An array is specifically designed to store an ordered list of elements of the same data type. This is perfect for storing multiple names in a specific order.
Here’s why the other options are not suitable:
MAP: A map stores key-value pairs, which is not appropriate for a simple ordered list of names.
STRUCT: A struct stores a collection of named fields with different data types, which is more complex than needed for a list of names.
VARCHAR: VARCHAR is used to store a single string value, not a collection of values.</t>
  </si>
  <si>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</si>
  <si>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</si>
  <si>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</si>
  <si>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</si>
  <si>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</si>
  <si>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</si>
  <si>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</si>
  <si>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</si>
  <si>
    <t>Spark.read.table(“table_name”)
Explanation:
Spark.read.table(“table_name”) is the correct syntax for querying a Delta table using PySpark’s DataFrame API. The method .table() allows you to read a table by name, and it works with Delta tables as well as other types of tables registered in Spark.</t>
  </si>
  <si>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</si>
  <si>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</si>
  <si>
    <t>2
See Graphic</t>
  </si>
  <si>
    <t>Correct
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
Incorrect
Option A. SUM, COUNT, SIZE because COUNT works on rows, not on elements inside an array. It cannot filter or count individual readings within the deviceTemp array.
Option B. SUM, SIZE, SLICE because SLICE extracts a subset of an array based on index ranges, not based on a condition. It cannot isolate values greater than 100.00.
Option C. SUM, SIZE, ARRAY_CONTAINS because ARRAY_CONTAINS only checks if a specific value exists in the array, returning a boolean. It cannot count multiple exceedances or apply a condition across all elements.
Option E. SUM, SIZE, FILTER because FILTER is not a valid array function in Spark SQL/Databricks SQL. The correct function is ARRAY_FILTER.</t>
  </si>
  <si>
    <t>Correct
Option A. 3
Correct because SELECT COUNT(DISTINCT *) FROM user in Databricks SQL counts the number of distinct rows in the table. If the table has 3 unique rows, the output will be 3. This matches the expected behavior of DISTINCT *, which considers all columns together to determine uniqueness.
Incorrect
Option B. 2
Incorrect because this would mean only 2 distinct rows exist in the table. Since the query is designed to count all unique rows, if the table has 3 distinct rows, 2 is not the correct output.
Option C. 1
Incorrect because this would imply that all rows in the table are identical. If there are multiple distinct rows, the result cannot be 1.
Option D. NULL
Incorrect because aggregate functions like COUNT never return NULL. They return an integer value (including 0 if no rows exist). Therefore, NULL is not a valid output for this query.
Review. Not sure on this one.</t>
  </si>
  <si>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</si>
  <si>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</si>
  <si>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</si>
  <si>
    <t>&amp;&amp;</t>
  </si>
  <si>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</si>
  <si>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</si>
  <si>
    <t>Recommended Trigger: trigger(processingTime = "15 minutes")
In Structured Streaming, triggers control the execution behavior of streaming queries. Below are the supported trigger types and their descriptions:
Trigger Types
Unspecified (Default)
Equivalent to: .trigger(processingTime = "500 milliseconds")
The query runs in micro-batches as quickly as possible, with minimal delay between executions.
Fixed Interval Micro-Batches
Syntax: .trigger(processingTime = "2 minutes")
The query runs at the specified interval regardless of data availability.
Suitable for predictable and controlled execution timing.
One-Time Micro-Batch
Syntax: .trigger(once = True)
Executes a single micro-batch that processes all available data, then stops automatically.
Ideal for backfilling or one-time processing needs.
Available-Now Trigger (Recommended over once=True)
Syntax: .trigger(availableNow = True)
New feature available in Databricks Runtime 10.2 and above.
Enhances the once=True trigger by enabling:
Multiple parallelized batches for improved performance.
Configurable batch sizing for more efficient file generation.
Works with Delta Lake and Auto Loader sources.
✅ Recommended for This Use Case:
.trigger(processingTime = "15 minutes")
This configuration executes the query every 15 minutes, making it suitable for use cases where periodic batch processing of new data is preferred.</t>
  </si>
  <si>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</si>
  <si>
    <t>Correct:
Option C. cloudFiles.format, cloudFiles.schemalocation, checkpointlocation, mergeSchema
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
Incorrect:
Option A. format, checkpointlocation, schemalocation, overwrite
Missing cloudFiles. prefix required for Auto Loader options; overwrite drops existing data, unsuitable for incremental append processing.
Option B. cloudfiles.format, checkpointlocation, cloudfiles.schemalocation, overwrite
cloudfiles. prefix incorrect (case-sensitive cloudFiles.); overwrite incompatible with incremental streaming.
Option D. cloudFiles.format, cloudFiles.schemalocation, checkpointlocation, append
append is default write mode; mergeSchema explicitly required for automatic schema evolution across file versions.
Option E. cloudFiles.format, cloudFiles.schemalocation, checkpointlocation, overwrite
overwrite destroys incremental history, preventing continuous processing of new inventory files.</t>
  </si>
  <si>
    <t>Checkpointing and idempotent sinks is the correct answer.
Here’s a breakdown of how Structured Streaming achieves end-to-end fault tolerance using these techniques:
Checkpointing:
Structured Streaming periodically checkpoints the current state of the streaming query, including the offsets of the input streams.
In case of a failure, the query can be restarted from the last checkpoint, ensuring no data loss.  
Idempotent Sinks:
Idempotent sinks are sinks that can process the same data multiple times without causing duplicate results.   
This ensures that even if a batch of data is processed multiple times due to failures or retries, the final result will remain consistent.
Why other options are incorrect:
Watermarking: Watermarking is a technique used to control late data and trigger micro-batch processing. It doesn’t directly contribute to fault tolerance. 
Write-ahead logging: While write-ahead logging can be used for fault tolerance in some systems, it’s not a primary mechanism used by Structured Streaming.
Stream will failover to available nodes in the cluster: While this is true, it’s not the only mechanism used for fault tolerance. Checkpointing and idempotent sinks are crucial for ensuring data consistency and preventing data loss.
By combining checkpointing and idempotent sinks, Structured Streaming can achieve end-to-end fault tolerance, ensuring that data is processed exactly once even in the face of failures.</t>
  </si>
  <si>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</si>
  <si>
    <t>Correct
Option A. Directory listing, File notification
Databricks Auto Loader uses directory listing mode (periodic scans of cloud storage) and file notification mode (cloud-native event notifications like S3 events) to detect new files and incremental data.
Option B. Checking pointing, watermarking
Checkpointing tracks stream progress and watermarking handles late data in streaming, but neither identifies new files in cloud storage.
Incorrect
Option C. Writing ahead logging, read head logging
These are not Auto Loader file detection mechanisms; WAL is for databases/transactions.
Option D. File hashing, Dynamic file lookup
File hashing verifies integrity but doesn’t detect new arrivals; dynamic lookup isn’t an Auto Loader feature.
Option E. Checkpointing and Write ahead logging
Checkpointing is internal state management, not file detection; WAL unrelated to cloud file ingestion.</t>
  </si>
  <si>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</si>
  <si>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</si>
  <si>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</si>
  <si>
    <t>The different ways you can schedule a job in a Databricks workspace are:
Cron:
This allows you to define a schedule using a flexible time-based expression (Cron expression) to specify the frequency and timing of job runs.  
For example, you can schedule a job to run every hour, daily at a specific time, weekly, monthly, or even more complex schedules. 
On-Demand Runs:
These are manual runs triggered by a user.
You can run a job immediately or schedule it for a specific future time. 
File Notification from Cloud Object Storage:
This triggers a job run whenever a new file or data is added to a specified location in your cloud storage (like AWS S3, Azure Blob Storage, or Google Cloud Storage).  
This is useful for event-driven data processing pipelines.
Key Points:
Continuous: While the term “Continuous” might be used in some contexts, it’s not a standard scheduling method in Databricks itself.
Incremental: Incremental processing is a data processing technique, not a scheduling method. However, you can combine incremental processing logic within your jobs scheduled using Cron or file notifications.
By effectively utilizing these scheduling methods, you can automate your data processing tasks, improve efficiency, and ensure timely data analysis and insights.</t>
  </si>
  <si>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</si>
  <si>
    <t>E. GRANT MODIFY ON TABLE table_name TO john.smith@marketing.com
✅ CORRECT
MODIFY is a composite privilege that includes:
INSERT
UPDATE
DELETE
Therefore, granting MODIFY does include the ability to delete rows.
The syntax is valid and follows the correct structure in Databricks SQL:
sql
GRANT MODIFY ON TABLE table_name TO 'john.smith@marketing.com';
Why this is preferable over just DELETE:
In Databricks Unity Catalog and legacy Table ACLs, MODIFY is the standard privilege used when granting data modification rights.
Some Databricks environments (especially legacy ones) don’t support DELETE as a standalone privilege—only MODIFY.
A. GRANT USAGE ON TABLE table_name TO john.smith@marketing.com
❌ Incorrect
USAGE is not valid on TABLES.
It applies to catalogs, schemas, functions, not to data-level actions like DELETE.
B. GRANT DELETE ON TABLE table_name TO john.smith@marketing.com
⚠️ Technically valid in some SQL engines, but:
❌ Not supported in Databricks Table ACLs (per documentation).
Databricks uses MODIFY to grant delete-like permissions.
DELETE is not listed as a grantable privilege in the Databricks ACL privileges table.
Therefore, this may fail or be ignored in real use on Databricks.
C. GRANT DELETE TO TABLE table_name ON john.smith@marketing.com
❌ Incorrect
Invalid SQL syntax. The correct order is GRANT &lt;privilege&gt; ON TABLE &lt;table_name&gt; TO &lt;user&gt;.
D. GRANT MODIFY TO TABLE table_name ON john.smith@marketing.com
❌ Incorrect
Syntax is invalid. Should be GRANT MODIFY ON TABLE ... TO ...
✅ Final Answer:
E. GRANT MODIFY ON TABLE table_name TO john.smith@marketing.com</t>
  </si>
  <si>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</si>
  <si>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</si>
  <si>
    <t>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t>
  </si>
  <si>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</si>
  <si>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</si>
  <si>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</si>
  <si>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</si>
  <si>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</si>
  <si>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</si>
  <si>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</si>
  <si>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</si>
  <si>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</si>
  <si>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</si>
  <si>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</si>
  <si>
    <t>DDL commands define or modify database schema objects (e.g., CREATE, ALTER, DROP, TRUNCATE). DML commands (INSERT, UPDATE, DELETE) manipulate data inside tables. In this example, CREATE TABLE is the clear DDL statement that defines a new table in the database.</t>
  </si>
  <si>
    <t>Delta Live Tables (DLT) provides a mechanism to set data expectations, which are rules or constraints on data quality. These expectations help ensure that only valid data is processed by the pipeline.</t>
  </si>
  <si>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</si>
  <si>
    <t>Unity Catalog focuses on data governance, providing features like access control, data lineage, and data discovery. Real-time streaming is a separate aspect of data processing that is not directly handled by Unity Catalog.</t>
  </si>
  <si>
    <t>To ensure that all data lineage information is captured, monitoring the ‘lineageTracking‘ service in audit logs is essential. This service records events that depict how data moves and transforms across different stages.</t>
  </si>
  <si>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</si>
  <si>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</si>
  <si>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</si>
  <si>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</si>
  <si>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</si>
  <si>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</si>
  <si>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</si>
  <si>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</si>
  <si>
    <t>Correct
Option A. Enable autoscaling on the cluster
Correct because autoscaling allows the cluster to dynamically add or remove worker nodes based on workload demand.
Memory spills occur when data cannot fit into memory and is written to disk, which slows performance. Autoscaling helps by temporarily increasing resources when needed, reducing spills, and then scaling back down to save costs.
This is the most cost-effective solution since it balances performance improvements with efficient resource usage.
Incorrect
Option B. Enable Photon
Incorrect because Photon is an execution engine optimized for SQL workloads.
While Photon can improve performance for SQL queries, it does not directly address memory spill issues in pipelines.
It may improve speed but is not the most cost-effective fix for this specific problem.
Option C. Upgrade to memory-optimized workers/drivers
Incorrect because upgrading to memory-optimized instances increases costs significantly.
While it can reduce memory spills, it is not the most cost-effective solution compared to autoscaling.
Option D. Manually increase the cluster size without autoscaling
Incorrect because manually increasing cluster size provides more resources but keeps them allocated even when not needed.
This leads to higher costs since resources are not scaled down automatically. Autoscaling is more efficient and cost-effective.</t>
  </si>
  <si>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</si>
  <si>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</si>
  <si>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</si>
  <si>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</si>
  <si>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</si>
  <si>
    <t>Auto Loader is a powerful feature in Databricks that simplifies the process of ingesting streaming data. It automatically detects new files in cloud storage, infers schemas, and adapts to schema changes, making it highly efficient for building ETL pipelines.</t>
  </si>
  <si>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</si>
  <si>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</si>
  <si>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</si>
  <si>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</si>
  <si>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</si>
  <si>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</si>
  <si>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</si>
  <si>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</si>
  <si>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</si>
  <si>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</si>
  <si>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</si>
  <si>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</si>
  <si>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</si>
  <si>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</si>
  <si>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</si>
  <si>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</si>
  <si>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</si>
  <si>
    <t>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t>
  </si>
  <si>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</si>
  <si>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</si>
  <si>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</si>
  <si>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</si>
  <si>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</si>
  <si>
    <t>B,C</t>
  </si>
  <si>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</si>
  <si>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</si>
  <si>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</si>
  <si>
    <t>Questions Per Day</t>
  </si>
  <si>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</si>
  <si>
    <t>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t>
  </si>
  <si>
    <t>In Delta Live Tables (DLT), understanding the difference between LIVE TABLE and STREAMING TABLE is fundamental to DLT:
LIVE TABLE behaves similarly to a materialized view. It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</si>
  <si>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</si>
  <si>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</si>
  <si>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</si>
  <si>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</si>
  <si>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</si>
  <si>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</si>
  <si>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</si>
  <si>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</si>
  <si>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</si>
  <si>
    <t>Correct
Option B. The column should have statistics collected on it
Correct because Z-ordering relies on data skipping and query optimization, which depend on column statistics.
Collecting statistics ensures the query engine can effectively prune data blocks and leverage Z-ordering for faster filtering.
Incorrect
Option A. The column should have a high cardinality
Incorrect because Z-ordering is most effective on columns with moderate cardinality (not extremely high or extremely low). Very high cardinality reduces the benefit of clustering.
Option C. The column should have few unique values
Incorrect because columns with very few unique values (low cardinality) are better suited for partitioning, not Z-ordering. Z-ordering is intended for columns with more diverse values.
Option D. The column should be the first column in the table schema
Incorrect because the physical order of columns in the schema does not affect Z-ordering. Z-ordering works by co-locating related values across files, independent of schema position.</t>
  </si>
  <si>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</si>
  <si>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</si>
  <si>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</si>
  <si>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</si>
  <si>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</si>
  <si>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</si>
  <si>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</si>
  <si>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</si>
  <si>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</si>
  <si>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</si>
  <si>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</si>
  <si>
    <t>n Delta Live Tables (DLT), understanding the difference between MATERIALIZED VIEW and STREAMING TABLE is crucial for building robust and efficient data pipelines:
MATERIALIZED VIEW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</si>
  <si>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</si>
  <si>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</si>
  <si>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</si>
  <si>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</si>
  <si>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</si>
  <si>
    <t>share live data through open protocols, which can be consumed directly by BI tools, REST APIs, or non-Databricks platforms, using bearer tokens or OIDC federation for access control. Unlike CSV exports or manual mounts, this approach is scalable, governed, and avoids data duplication.</t>
  </si>
  <si>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</si>
  <si>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</si>
  <si>
    <t>ADLS</t>
  </si>
  <si>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</si>
  <si>
    <t>In Unity Catalog, granting access requires layered privileges:
Catalog: USAGE allows users to see the catalog.
Schema: USAGE allows users to see the schema and its objects.
Tables: SELECT gives permission to query the data.
GRANT USAGE ON CATALOG manufacturing TO ′group′ qa_team;
GRANT USAGE ON SCHEMA manufacturing.quality TO ′group′ qa_team;
GRANT SELECT ON ALL TABLES IN SCHEMA manufacturing.quality TO ′group′ qa_team;
This combination ensures read-only, minimal access, aligns with the principle of least privilege, and works for both existing and future tables in that schema.</t>
  </si>
  <si>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</si>
  <si>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</si>
  <si>
    <t>DABs are organized as a folder containing a YAML configuration file (like bundle.yml) plus related code and resource files. This YAML file defines the artifacts, resources, and configurations for deployment, making DABs easy to version-control and manage in CI/CD pipelines.</t>
  </si>
  <si>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</si>
  <si>
    <t>A,B</t>
  </si>
  <si>
    <t>When replacing all the data in a Delta table while preserving the schema and metadata, the correct and safe approach is to use INSERT OVERWRITE TABLE. It performs a full data refresh in a single atomic operation, minimizing risk and avoiding schema changes.</t>
  </si>
  <si>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</si>
  <si>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</si>
  <si>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</si>
  <si>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</si>
  <si>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</si>
  <si>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</si>
  <si>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</si>
  <si>
    <t>A,D</t>
  </si>
  <si>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</si>
  <si>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</si>
  <si>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</si>
  <si>
    <t>To find where a Databricks table‘s data is physically stored in cloud storage, you can use metadata inspection commands in Spark SQL.
Two SQL commands provide this information reliably:
DESCRIBE EXTENDED table_name:
This returns detailed metadata about the table, including a Location field that shows the path in cloud storage (e.g., an ABFSS or S3 path).
DESCRIBE DETAIL table_name:
This provides an output with rich metadata, including fields like location, format, createdAt, and whether the table is managed or external.
These commands are particularly helpful for:
Verifying if a table is managed or external (based on whether the path is system-generated or user-specified).
Auditing storage paths across environments.
Troubleshooting file-level access or integration issues.</t>
  </si>
  <si>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</si>
  <si>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</si>
  <si>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</si>
  <si>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</si>
  <si>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</si>
  <si>
    <t>In the Databricks platform, SQL Warehouses (formerly SQL Endpoints) are the compute resources purpose-built for executing SQL queries in the Databricks SQL workspace. They support BI tools, scheduled queries, and dashboards.</t>
  </si>
  <si>
    <t>ephemeral</t>
  </si>
  <si>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</si>
  <si>
    <t>Correct
Option E. Job Runs tab in the Job details page This is the correct answer. The Job Runs tab in the Job details page provides a detailed execution history of all scheduled runs. It shows:
Run status (success, failed, canceled)
Duration of each run
Associated logs and output details
This is the central place in the Databricks UI for monitoring scheduled job executions.
Incorrect
Option A. Monitoring tab in the SQL Warehouse This tab is used for monitoring SQL Warehouse queries and performance, not job execution history.
Option B. Revisions tab in the job’s associated notebook The Revisions tab shows notebook version history, not job run details.
Option C. Driver logs in the Cluster UI Driver logs provide cluster-level execution details, but they do not give a consolidated view of job run history.
Option D. Metrics dashboard in the Admin Console The Admin Console metrics dashboard shows overall workspace usage and performance metrics, not specific job run history.</t>
  </si>
  <si>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</si>
  <si>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</si>
  <si>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</si>
  <si>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</si>
  <si>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</si>
  <si>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</si>
  <si>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</si>
  <si>
    <t>Sum of IncorrectCount</t>
  </si>
  <si>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</si>
  <si>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</si>
  <si>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</si>
  <si>
    <t>To correctly implement a Bronze-to-Silver hop in Spark Structured Streaming:
Read as a stream: readStream from the Bronze Delta table
Apply transformations: filter out null event_type and select required columns (user_id, event_type, timestamp)
Write as a stream: writeStream to the Silver Delta table
Include checkpointing: ensures fault tolerance and exactly-once semantics
Only Option C satisfies all these requirements, maintaining streaming mode and correctly implementing the described transformation.</t>
  </si>
  <si>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</si>
  <si>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</si>
  <si>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</si>
  <si>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</si>
  <si>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</si>
  <si>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</si>
  <si>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</si>
  <si>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</si>
  <si>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</si>
  <si>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</si>
  <si>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</si>
  <si>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</si>
  <si>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</si>
  <si>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</si>
  <si>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</si>
  <si>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</si>
  <si>
    <t xml:space="preserve">Kafka </t>
  </si>
  <si>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</si>
  <si>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</si>
  <si>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</si>
  <si>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</si>
  <si>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</si>
  <si>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</si>
  <si>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</si>
  <si>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</si>
  <si>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</si>
  <si>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</si>
  <si>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</si>
  <si>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</si>
  <si>
    <t>higher-order functions in Spark SQL</t>
  </si>
  <si>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</si>
  <si>
    <t>A,C</t>
  </si>
  <si>
    <t>Correct
Option A. df = spark.table("silver.customers")
Explanation:
This is the most common and concise way to load a table into a Spark DataFrame.
spark.table() directly reads a registered table from the metastore into a DataFrame.
Works perfectly for silver.customers.
Option C. df = spark.sql("SELECT * FROM silver.customers")
Explanation:
This uses Spark SQL to query the table and return the results as a DataFrame.
It is valid and often used when you want to run SQL queries directly in PySpark.
The result is still a Spark DataFrame, making it correct.
Incorrect
Option B. df = spark.read.table("silver.customers")
Incorrect because spark.read does not have a .table() method.
The correct usage is spark.table() or spark.read.format(...).load(...).
Option D. df = read.table("silver.customers")
Incorrect because read is not a standalone object in PySpark.
You must use spark.read or spark.table.
Option E. df = spark.read.load("silver.customers")
Incorrect because .load() expects a file path or data source, not a table name.
Using a table name here will result in an error.</t>
  </si>
  <si>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</si>
  <si>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</si>
  <si>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</si>
  <si>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</si>
  <si>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</si>
  <si>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</si>
  <si>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</si>
  <si>
    <t>When working with JSON string columns in Spark SQL, use from_json() to convert the strings into structured formats (e.g., structs or arrays) based on a known schema. This is especially useful after schema inference or when working with nested JSON data.</t>
  </si>
  <si>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</si>
  <si>
    <t xml:space="preserve"> Databricks SQL warehouse</t>
  </si>
  <si>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</si>
  <si>
    <t>cron</t>
  </si>
  <si>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</si>
  <si>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</si>
  <si>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</si>
  <si>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</si>
  <si>
    <t>customer churn</t>
  </si>
  <si>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</si>
  <si>
    <t>In Databricks (and Spark SQL), tables can be either managed or external:
For managed table, Databricks manages both data and metadata. Dropping a managed table deletes both the metadata and the underlying data files.
An external table is linked to data that already exists in an external storage location (e.g., ADLS, S3). When you specify a LOCATION during table creation, Spark treats the table as external. For external table, Databricks/ Spark manages only the metadata, and not the underlying data files.
Dropping an external table only removes its metadata from the metastore. The underlying data files are not deleted, ensuring data safety.</t>
  </si>
  <si>
    <t>Before Asset Bundles, teams relied on REST APIs, Terraform, or dbx, each with limitations:
APIs required fragile scripting, Terraform was too complex for projects, and dbx lacked official support.
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t>
  </si>
  <si>
    <t>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t>
  </si>
  <si>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</si>
  <si>
    <t xml:space="preserve"> </t>
  </si>
  <si>
    <t>Development and Ingestion</t>
  </si>
  <si>
    <t>Use Auto Loader and debugging tools</t>
  </si>
  <si>
    <t>Databricks Intelligence Platform</t>
  </si>
  <si>
    <t>Select appropriate compute</t>
  </si>
  <si>
    <t>Medium</t>
  </si>
  <si>
    <t>Productionizing Pipelines</t>
  </si>
  <si>
    <t>Workflow deployment and recovery</t>
  </si>
  <si>
    <t>Data Processing &amp; Transformations</t>
  </si>
  <si>
    <t>DDL and DML features</t>
  </si>
  <si>
    <t>PySpark aggregations</t>
  </si>
  <si>
    <t>Medallion Architecture</t>
  </si>
  <si>
    <t>Lakeflow Spark Declarative Pipelines</t>
  </si>
  <si>
    <t>Understand notebook capabilities</t>
  </si>
  <si>
    <t>Explain the value of the Data Intelligence Platform</t>
  </si>
  <si>
    <t>Optimize data layout and query performance</t>
  </si>
  <si>
    <t>Data Governance &amp; Quality</t>
  </si>
  <si>
    <t>Lineage and audit logs</t>
  </si>
  <si>
    <t>Unity Catalog permissions</t>
  </si>
  <si>
    <t>Use Databricks Connect</t>
  </si>
  <si>
    <t>Spark UI optimization</t>
  </si>
  <si>
    <t>VerifiedAnswer</t>
  </si>
  <si>
    <t>VerificationStatus</t>
  </si>
  <si>
    <t>AnswerMatchesWorkbook</t>
  </si>
  <si>
    <t>VerificationNotes</t>
  </si>
  <si>
    <t>VerificationSourceKeys</t>
  </si>
  <si>
    <t>VerifiedOn</t>
  </si>
  <si>
    <t>Confirmed</t>
  </si>
  <si>
    <t>Yes</t>
  </si>
  <si>
    <t>Auto Loader adds the rescued data column as `_rescued_data` by default.</t>
  </si>
  <si>
    <t>S01,S21</t>
  </si>
  <si>
    <t>Saved notebooks are stored outside ephemeral cluster memory/compute resources, so they are not lost when a cluster terminates.</t>
  </si>
  <si>
    <t>S02</t>
  </si>
  <si>
    <t>Current Databricks SQL syntax uses `VACUUM ... RETAIN &lt;num&gt; HOURS`; 7 days equals 168 hours.</t>
  </si>
  <si>
    <t>S03</t>
  </si>
  <si>
    <t>The correct MERGE syntax uses `WHEN MATCHED ... THEN DELETE` and `WHEN NOT MATCHED ... THEN INSERT *`.</t>
  </si>
  <si>
    <t>S04</t>
  </si>
  <si>
    <t>Global temporary views are referenced through the `global_temp` schema.</t>
  </si>
  <si>
    <t>S05</t>
  </si>
  <si>
    <t>Databricks uses `MERGE`/`MERGE INTO` to combine inserts, updates, and deletes atomically on Delta tables.</t>
  </si>
  <si>
    <t>`CREATE TABLE IF NOT EXISTS ... USING DELTA` creates the empty Delta table only when it does not already exist.</t>
  </si>
  <si>
    <t>S06</t>
  </si>
  <si>
    <t>Mismatch</t>
  </si>
  <si>
    <t>No</t>
  </si>
  <si>
    <t>Databricks generated-column syntax is `GENERATED ALWAYS AS (expr)`, and the expression must match the `INT` column type. Workbook key `D` is incorrect.</t>
  </si>
  <si>
    <t>S06,S07</t>
  </si>
  <si>
    <t>In Python notebooks, SQL can be executed with `spark.sql(...)`.</t>
  </si>
  <si>
    <t>S08</t>
  </si>
  <si>
    <t>SQL UDF syntax requires `CREATE FUNCTION ... RETURNS &lt;type&gt; RETURN &lt;expression&gt;`.</t>
  </si>
  <si>
    <t>S09</t>
  </si>
  <si>
    <t>`CREATE OR REPLACE TABLE` is the documented way to replace a table and its contents in one transaction.</t>
  </si>
  <si>
    <t>S10,S06</t>
  </si>
  <si>
    <t>The valid PySpark pattern is an f-string that resolves to `database.table`, for example `spark.sql(f"SELECT * FROM {database_name}.{table_name}")`.</t>
  </si>
  <si>
    <t>`COUNT(DISTINCT ...)` is the correct SQL aggregate for counting unique values.</t>
  </si>
  <si>
    <t>Bronze is the raw landing layer, so ingesting raw streaming data into the lakehouse maps to Bronze.</t>
  </si>
  <si>
    <t>S11</t>
  </si>
  <si>
    <t>Structured Streaming exactly-once guarantees rely on checkpointing and write-ahead logs, and idempotent sink behavior is required for reliable end-to-end writes.</t>
  </si>
  <si>
    <t>S12,S13</t>
  </si>
  <si>
    <t>`%run` executes another notebook inline and makes its functions/variables available.</t>
  </si>
  <si>
    <t>S14,S24</t>
  </si>
  <si>
    <t>`ON VIOLATION FAIL UPDATE` causes the update to fail rather than dropping or retaining bad rows.</t>
  </si>
  <si>
    <t>S15</t>
  </si>
  <si>
    <t>For classic/pro SQL warehouses, more concurrency is handled by increasing the maximum cluster count; Databricks recommends roughly one cluster per 10 concurrent queries.</t>
  </si>
  <si>
    <t>S16,S17</t>
  </si>
  <si>
    <t>Databricks retains job run history for up to 60 days.</t>
  </si>
  <si>
    <t>S18</t>
  </si>
  <si>
    <t>If job B uses output from job A, then B depends on A finishing successfully first.</t>
  </si>
  <si>
    <t>S19,S25</t>
  </si>
  <si>
    <t>Temporary views are notebook/session scoped and cannot be referenced outside the notebook where they are declared.</t>
  </si>
  <si>
    <t>Databricks recommends jobs compute for automated recurring workflows rather than all-purpose compute.</t>
  </si>
  <si>
    <t>S20</t>
  </si>
  <si>
    <t>Databricks describes the lakehouse as combining the best elements of data lakes and data warehouses.</t>
  </si>
  <si>
    <t>Auto Loader uses the `cloudFiles` source, and the file format is configured with `cloudFiles.format`.</t>
  </si>
  <si>
    <t>S21,S33</t>
  </si>
  <si>
    <t>Databricks examples for `COPY INTO` schema evolution set `mergeSchema='true'` in both `FORMAT_OPTIONS` and `COPY_OPTIONS`.</t>
  </si>
  <si>
    <t>S22</t>
  </si>
  <si>
    <t>If the accidental delete created version 21, restore the prior good state at version 20 using `RESTORE TABLE ... TO VERSION AS OF 20`.</t>
  </si>
  <si>
    <t>S23</t>
  </si>
  <si>
    <t>Valid Python syntax uses `==` for comparison, and a truthy boolean can be written simply as `and isRunnable`.</t>
  </si>
  <si>
    <t>Retries are configured at the task level, so the intermittent failing task should get a retry policy.</t>
  </si>
  <si>
    <t>S25</t>
  </si>
  <si>
    <t>When you change a notebook's default language, existing commands in the old default language are automatically prefixed with that language magic, here `%python`.</t>
  </si>
  <si>
    <t>S24</t>
  </si>
  <si>
    <t>CTAS (`CREATE TABLE AS SELECT`) creates a new table from query results in one step without modifying the sources.</t>
  </si>
  <si>
    <t>`OPTIMIZE` is the Databricks command used to compact many small files into fewer larger files.</t>
  </si>
  <si>
    <t>Delta Lake is the Databricks table format that supports ACID transactions, updates, deletes, and merges on large datasets.</t>
  </si>
  <si>
    <t>S04,S34</t>
  </si>
  <si>
    <t>Databricks jobs support success/failure notifications, including email or webhook destinations for stakeholders.</t>
  </si>
  <si>
    <t>S26</t>
  </si>
  <si>
    <t>`UNION` combines result sets while removing duplicates by default.</t>
  </si>
  <si>
    <t>Raw-to-ready refinement is a sequential dependency pattern, which matches a sequence workflow.</t>
  </si>
  <si>
    <t>S25,S36</t>
  </si>
  <si>
    <t>The repair feature reruns only failed or skipped tasks from an earlier job run.</t>
  </si>
  <si>
    <t>S19</t>
  </si>
  <si>
    <t>`ON VIOLATION DROP ROW` drops invalid rows before writing them to the target and logs dropped-record metrics.</t>
  </si>
  <si>
    <t>A predecessor task is used when one task must wait for another to complete before starting.</t>
  </si>
  <si>
    <t>Current Lakeflow Jobs docs describe a visual authoring UI for workflows, matching the point-and-click description.</t>
  </si>
  <si>
    <t>Potentially outdated</t>
  </si>
  <si>
    <t>Current docs show Jobs support many task types, while pipelines are now defined by SQL or Python source files and legacy notebook-based pipelines still exist. No option is fully accurate as written, so this should not be studied as a clean single-answer question.</t>
  </si>
  <si>
    <t>S31,S32,S35</t>
  </si>
  <si>
    <t>The first debugging step is to inspect the failed task logs for the error and stack trace.</t>
  </si>
  <si>
    <t>Auto Loader is designed to incrementally process files from cloud storage without moving or deleting the source files.</t>
  </si>
  <si>
    <t>If `VACUUM` has removed older files, time travel cannot restore the table to that earlier state.</t>
  </si>
  <si>
    <t>S03,S34</t>
  </si>
  <si>
    <t>Databricks SQL alerts can notify notification destinations, and notification destinations can be webhook-based.</t>
  </si>
  <si>
    <t>S27,S28</t>
  </si>
  <si>
    <t>The correct SQL syntax for adding a literal row is `INSERT INTO my_table VALUES (...)`.</t>
  </si>
  <si>
    <t>A Silver-to-Gold hop typically aggregates refined data into higher-level metrics; streaming aggregations require an output mode such as `complete`.</t>
  </si>
  <si>
    <t>S11,S30</t>
  </si>
  <si>
    <t>Current pipeline configuration docs require pipeline source code assets, now typically one or more SQL or Python source files. The answer key's 'notebook library' wording reflects older DLT behavior and is not current Databricks guidance.</t>
  </si>
  <si>
    <t>S31</t>
  </si>
  <si>
    <t>`MERGE INTO` is the correct choice when you need upsert semantics and must avoid duplicate target rows.</t>
  </si>
  <si>
    <t>`trigger(availableNow=True)` processes all currently available data in as many micro-batches as needed, then stops.</t>
  </si>
  <si>
    <t>S29</t>
  </si>
  <si>
    <t>The `Depends on` field is used to require another task to complete successfully before this task starts.</t>
  </si>
  <si>
    <t>SourceKey</t>
  </si>
  <si>
    <t>Title</t>
  </si>
  <si>
    <t>URL</t>
  </si>
  <si>
    <t>S01</t>
  </si>
  <si>
    <t>Configure schema inference and evolution in Auto Loader</t>
  </si>
  <si>
    <t>https://docs.databricks.com/aws/en/ingestion/cloud-object-storage/auto-loader/schema</t>
  </si>
  <si>
    <t>Data security and encryption</t>
  </si>
  <si>
    <t>https://docs.databricks.com/gcp/en/security/keys/</t>
  </si>
  <si>
    <t>https://docs.databricks.com/aws/en/sql/language-manual/delta-vacuum</t>
  </si>
  <si>
    <t>https://docs.databricks.com/en/sql/language-manual/delta-merge-into.html</t>
  </si>
  <si>
    <t>What is a view?</t>
  </si>
  <si>
    <t>https://docs.databricks.com/aws/en/views</t>
  </si>
  <si>
    <t>CREATE TABLE [USING]</t>
  </si>
  <si>
    <t>https://docs.databricks.com/gcp/en/sql/language-manual/sql-ref-syntax-ddl-create-table-using.html</t>
  </si>
  <si>
    <t>S07</t>
  </si>
  <si>
    <t>Delta Lake generated columns</t>
  </si>
  <si>
    <t>https://docs.databricks.com/gcp/en/delta/generated-columns</t>
  </si>
  <si>
    <t>Choose a development language</t>
  </si>
  <si>
    <t>https://docs.databricks.com/aws/en/languages/overview</t>
  </si>
  <si>
    <t>CREATE FUNCTION (SQL and Python)</t>
  </si>
  <si>
    <t>https://docs.databricks.com/aws/en/sql/language-manual/sql-ref-syntax-ddl-create-sql-function</t>
  </si>
  <si>
    <t>S10</t>
  </si>
  <si>
    <t>Drop or replace a table</t>
  </si>
  <si>
    <t>https://docs.databricks.com/aws/en/delta/drop-table</t>
  </si>
  <si>
    <t>What is the medallion lakehouse architecture?</t>
  </si>
  <si>
    <t>https://docs.databricks.com/gcp/en/lakehouse/medallion.html</t>
  </si>
  <si>
    <t>S12</t>
  </si>
  <si>
    <t>Structured Streaming Programming Guide</t>
  </si>
  <si>
    <t>https://spark.apache.org/docs/4.2.0-preview2/streaming/index.html</t>
  </si>
  <si>
    <t>S13</t>
  </si>
  <si>
    <t>Structured Streaming checkpoints</t>
  </si>
  <si>
    <t>https://docs.databricks.com/gcp/en/structured-streaming/checkpoints.html</t>
  </si>
  <si>
    <t>S14</t>
  </si>
  <si>
    <t>Run notebooks and modularize code</t>
  </si>
  <si>
    <t>https://docs.databricks.com/gcp/en/notebooks/notebook-workflows</t>
  </si>
  <si>
    <t>Manage data quality with pipeline expectations</t>
  </si>
  <si>
    <t>https://docs.databricks.com/aws/en/ldp/expectations</t>
  </si>
  <si>
    <t>S16</t>
  </si>
  <si>
    <t>Create a SQL warehouse</t>
  </si>
  <si>
    <t>https://docs.databricks.com/aws/en/compute/sql-warehouse/create</t>
  </si>
  <si>
    <t>S17</t>
  </si>
  <si>
    <t>SQL warehouse sizing, scaling, and queuing behavior</t>
  </si>
  <si>
    <t>https://docs.databricks.com/aws/en/compute/sql-warehouse/warehouse-behavior</t>
  </si>
  <si>
    <t>Monitoring and observability for Lakeflow Jobs</t>
  </si>
  <si>
    <t>https://docs.databricks.com/aws/en/jobs/monitor</t>
  </si>
  <si>
    <t>Configure and edit Lakeflow Jobs</t>
  </si>
  <si>
    <t>https://docs.databricks.com/aws/en/jobs/configure-job</t>
  </si>
  <si>
    <t>Configure compute for jobs</t>
  </si>
  <si>
    <t>https://docs.databricks.com/gcp/en/jobs/compute</t>
  </si>
  <si>
    <t>S21</t>
  </si>
  <si>
    <t>Auto Loader options</t>
  </si>
  <si>
    <t>https://docs.databricks.com/aws/en/ingestion/cloud-object-storage/auto-loader/options</t>
  </si>
  <si>
    <t>Common data loading patterns using COPY INTO</t>
  </si>
  <si>
    <t>https://docs.databricks.com/aws/en/ingestion/cloud-object-storage/copy-into/examples</t>
  </si>
  <si>
    <t>https://docs.databricks.com/aws/en/sql/language-manual/delta-restore</t>
  </si>
  <si>
    <t>Develop code in Databricks notebooks</t>
  </si>
  <si>
    <t>https://docs.databricks.com/notebooks/notebooks-use.html</t>
  </si>
  <si>
    <t>Control the flow of tasks within Lakeflow Jobs</t>
  </si>
  <si>
    <t>https://docs.databricks.com/gcp/en/jobs/control-flow</t>
  </si>
  <si>
    <t>Add notifications on a job</t>
  </si>
  <si>
    <t>https://docs.databricks.com/aws/en/jobs/notifications</t>
  </si>
  <si>
    <t>S27</t>
  </si>
  <si>
    <t>Databricks SQL alerts</t>
  </si>
  <si>
    <t>https://docs.databricks.com/gcp/en/sql/user/alerts/</t>
  </si>
  <si>
    <t>S28</t>
  </si>
  <si>
    <t>Manage notification destinations</t>
  </si>
  <si>
    <t>https://docs.databricks.com/aws/en/admin/workspace-settings/notification-destinations</t>
  </si>
  <si>
    <t>Configure Structured Streaming trigger intervals</t>
  </si>
  <si>
    <t>https://docs.databricks.com/aws/en/structured-streaming/triggers</t>
  </si>
  <si>
    <t>S30</t>
  </si>
  <si>
    <t>Select an output mode for Structured Streaming</t>
  </si>
  <si>
    <t>https://docs.databricks.com/gcp/en/structured-streaming/output-mode</t>
  </si>
  <si>
    <t>Configure Pipelines</t>
  </si>
  <si>
    <t>https://docs.databricks.com/aws/en/dlt/configure-pipeline</t>
  </si>
  <si>
    <t>S32</t>
  </si>
  <si>
    <t>Configure and edit tasks in Lakeflow Jobs</t>
  </si>
  <si>
    <t>https://docs.databricks.com/gcp/en/jobs/configure-task</t>
  </si>
  <si>
    <t>S33</t>
  </si>
  <si>
    <t>What is Auto Loader?</t>
  </si>
  <si>
    <t>https://docs.databricks.com/gcp/en/ingestion/cloud-object-storage/auto-loader/</t>
  </si>
  <si>
    <t>S34</t>
  </si>
  <si>
    <t>Work with table history</t>
  </si>
  <si>
    <t>https://docs.databricks.com/aws/en/delta/history</t>
  </si>
  <si>
    <t>S35</t>
  </si>
  <si>
    <t>Notebook task for jobs</t>
  </si>
  <si>
    <t>https://docs.databricks.com/aws/en/jobs/notebook</t>
  </si>
  <si>
    <t>S36</t>
  </si>
  <si>
    <t>Fan-in and fan-out architecture in Lakeflow Spark Declarative Pipelines</t>
  </si>
  <si>
    <t>https://docs.databricks.com/gcp/en/data-engineering/fan-in-fan-out</t>
  </si>
  <si>
    <t>RowsVerified</t>
  </si>
  <si>
    <t>Status</t>
  </si>
  <si>
    <t>Count</t>
  </si>
  <si>
    <t>Row</t>
  </si>
  <si>
    <t>WorkbookAnswer</t>
  </si>
  <si>
    <t>Query the pipeline event log to audit user actions and lineage metadata.</t>
  </si>
  <si>
    <t>S13,S45</t>
  </si>
  <si>
    <t>Use MERGE when inserts must avoid duplicate target rows.</t>
  </si>
  <si>
    <t>Auto Loader is built on Structured Streaming.</t>
  </si>
  <si>
    <t>S46</t>
  </si>
  <si>
    <t>Use the active run in the Jobs UI to inspect execution details for the currently running task.</t>
  </si>
  <si>
    <t>Cron syntax is the code-based way to define reusable schedules for jobs.</t>
  </si>
  <si>
    <t>INSERT OVERWRITE replaces the existing table contents with the new batch.</t>
  </si>
  <si>
    <t>Task dependencies control task execution order in Jobs.</t>
  </si>
  <si>
    <t>Databricks SQL file queries use the lowercase file-format prefix such as `csv`.</t>
  </si>
  <si>
    <t>schema_of_json generates a schema that can be used to parse JSON strings.</t>
  </si>
  <si>
    <t>A PySpark script can compute the dynamic table name and execute the query programmatically.</t>
  </si>
  <si>
    <t>Temporary views are session-scoped; global temporary views are accessible across sessions via `global_temp`.</t>
  </si>
  <si>
    <t>Dropping an external table removes metadata, not the underlying data files.</t>
  </si>
  <si>
    <t>S43</t>
  </si>
  <si>
    <t>A UDF is the Databricks feature for applying reusable custom logic to values.</t>
  </si>
  <si>
    <t>The JDBC provider string is `org.apache.spark.sql.jdbc`.</t>
  </si>
  <si>
    <t>Array functions are used to work with complex hierarchical/nested collection data.</t>
  </si>
  <si>
    <t>A materialized view stores query results for faster reads, unlike a standard view.</t>
  </si>
  <si>
    <t>S44</t>
  </si>
  <si>
    <t>The valid Databricks SQL UDF syntax is `CREATE FUNCTION ... RETURNS ... RETURN ...`.</t>
  </si>
  <si>
    <t>explode operates on collection types such as ARRAY.</t>
  </si>
  <si>
    <t>FROM_JSON converts a JSON string into a typed struct.</t>
  </si>
  <si>
    <t>Pre-aggregating the data into a Delta table/materialized-view-like structure is the right optimization for repeated reporting.</t>
  </si>
  <si>
    <t>Use EXPLODE to turn each array element into its own row.</t>
  </si>
  <si>
    <t>ARRAY stores an ordered collection of values.</t>
  </si>
  <si>
    <t>PIVOT performs aggregation while converting row values into columns.</t>
  </si>
  <si>
    <t>A temporary view is the right relational object when it only needs to exist in the current session.</t>
  </si>
  <si>
    <t>PIVOT converts long-format data to wide-format output.</t>
  </si>
  <si>
    <t>The correct deduplication MERGE keeps only the latest purchase row per customer.</t>
  </si>
  <si>
    <t>Temporary views are session-scoped in Spark SQL.</t>
  </si>
  <si>
    <t>The code creates one session temp view and one global temp view.</t>
  </si>
  <si>
    <t>`COMMENT "Contains PII"` is valid CTAS metadata syntax and is the supported fit for the blank shown.</t>
  </si>
  <si>
    <t>Git folders/Repos support full Git operations like branching and merging; notebooks alone do not.</t>
  </si>
  <si>
    <t>Z-Ordering improves selective reads when matching rows are spread across files.</t>
  </si>
  <si>
    <t>Databricks SQL file queries use the `json` prefix.</t>
  </si>
  <si>
    <t>STRUCT subfields are accessed with dot notation.</t>
  </si>
  <si>
    <t>Use `spark.table("sales")` to access a table directly in PySpark.</t>
  </si>
  <si>
    <t>Use `spark.sql(...)` when you need to execute a SQL query string and work with the result in PySpark.</t>
  </si>
  <si>
    <t>Use a materialized-view-like strategy for the dashboard and temporary views for ad hoc analysis.</t>
  </si>
  <si>
    <t>Customer data is stored in the customer cloud account.</t>
  </si>
  <si>
    <t>All-purpose clusters are for interactive work; job clusters are for automated jobs.</t>
  </si>
  <si>
    <t>Git folders support much larger version-controlled repos/working branches than notebook-only versioning limits.</t>
  </si>
  <si>
    <t>S29,S30</t>
  </si>
  <si>
    <t>Use a `%sql` cell to switch from Python to SQL in a notebook.</t>
  </si>
  <si>
    <t>Storage credentials let Unity Catalog connect to external cloud storage.</t>
  </si>
  <si>
    <t>S33,S34</t>
  </si>
  <si>
    <t>Cluster pools reduce start-up time, which helps frequently refreshed automated reports.</t>
  </si>
  <si>
    <t>Unity Catalog works with existing data and storage systems without requiring a hard migration.</t>
  </si>
  <si>
    <t>S31,S32</t>
  </si>
  <si>
    <t>Data access control determines who can access what data.</t>
  </si>
  <si>
    <t>An external location is a cloud path plus a storage credential.</t>
  </si>
  <si>
    <t>Lineage captures upstream sources and downstream consumers.</t>
  </si>
  <si>
    <t>S45</t>
  </si>
  <si>
    <t>Users can filter visible clusters from the Clusters UI to show ones accessible to them.</t>
  </si>
  <si>
    <t>Collaborative editing is enabled by sharing the notebook/folder with edit permissions.</t>
  </si>
  <si>
    <t>Delta Lake supports both batch and streaming on the same data.</t>
  </si>
  <si>
    <t>The driver coordinates the cluster and distributes work to worker nodes.</t>
  </si>
  <si>
    <t>Pipelines and lineage/event log</t>
  </si>
  <si>
    <t>https://docs.databricks.com/aws/en/ldp/unity-catalog</t>
  </si>
  <si>
    <t>Restart a cluster to apply Spark configuration or library changes and clear runtime state.</t>
  </si>
  <si>
    <t>Unity Catalog is the Databricks component for user and data access management.</t>
  </si>
  <si>
    <t>Terminating a cluster releases compute resources but leaves persisted data intact.</t>
  </si>
  <si>
    <t>The data plane includes the compute resources that process data: workspace clusters and SQL warehouses.</t>
  </si>
  <si>
    <t>S14,S19</t>
  </si>
  <si>
    <t>Cluster pools let multiple workloads share a common pool of pre-warmed instances.</t>
  </si>
  <si>
    <t>Gold tables are typically more aggregated than Silver tables.</t>
  </si>
  <si>
    <t>Gold tables commonly feed dashboards and higher-level analytics queries.</t>
  </si>
  <si>
    <t>Delta tables store data files in Parquet format.</t>
  </si>
  <si>
    <t>S47</t>
  </si>
  <si>
    <t>Auto Stop minimizes SQL warehouse runtime for scheduled dashboard refreshes.</t>
  </si>
  <si>
    <t>Metastore admins can create/drop objects and manage privileges and ownership in the metastore.</t>
  </si>
  <si>
    <t>Use `%python` and `%sql` magic commands to mix languages in one notebook.</t>
  </si>
  <si>
    <t>Git folders/Repos support branch-based workflows, unlike notebook-only versioning.</t>
  </si>
  <si>
    <t>Current Databricks guidance points to the lakehouse as the architecture that unifies siloed lakes and warehouses, but that option is missing here, so this question is not reliable as written.</t>
  </si>
  <si>
    <t>Use `spark.sql(...)` to run a SQL string built from Python variables.</t>
  </si>
  <si>
    <t>explode expands array elements into separate rows.</t>
  </si>
  <si>
    <t>Cluster pools improve utilization by sharing a common pool of instances across workloads.</t>
  </si>
  <si>
    <t>Workspace admins can manage workspace assets and change job ownership.</t>
  </si>
  <si>
    <t>S31,S17</t>
  </si>
  <si>
    <t>Bronze tables hold raw data after applying a schema.</t>
  </si>
  <si>
    <t>`ON VIOLATION DROP ROW` drops bad rows before writing them to the target.</t>
  </si>
  <si>
    <t>PIVOT converts long-format rows into wide-format columns.</t>
  </si>
  <si>
    <t>Separate clusters with configurations tuned to each workload are the best isolation strategy here.</t>
  </si>
  <si>
    <t>Run another notebook with `%run` followed by its relative or absolute path.</t>
  </si>
  <si>
    <t>S12,S23</t>
  </si>
  <si>
    <t>The valid SQL UDF syntax is `CREATE FUNCTION ... RETURNS ... RETURN ...`.</t>
  </si>
  <si>
    <t>Text files return one string value per line, while binary files expose content as bytes plus metadata.</t>
  </si>
  <si>
    <t>MERGE is the duplicate-safe insert/update pattern for Delta tables.</t>
  </si>
  <si>
    <t>The option using `CREATE TABLE ... USING jdbc OPTIONS (...)` without `IF NOT EXISTS` is the one that attempts creation and errors if the table already exists.</t>
  </si>
  <si>
    <t>Cron syntax is used to represent and submit complex schedules programmatically.</t>
  </si>
  <si>
    <t>Restarting applies configuration changes and refreshes runtime state.</t>
  </si>
  <si>
    <t>Dropping an external table removes metadata only, not the external data.</t>
  </si>
  <si>
    <t>VACUUM removes no-longer-needed files after the retention period.</t>
  </si>
  <si>
    <t>Simple Workflow Authoring is the visual, point-and-click experience for teams.</t>
  </si>
  <si>
    <t>Multiple tasks allow ordered/sequential execution with dependencies.</t>
  </si>
  <si>
    <t>The correct SQL insert syntax is `INSERT INTO my_table VALUES (...)`.</t>
  </si>
  <si>
    <t>A lakehouse improves quality and governance with features like schema enforcement and ACID tables.</t>
  </si>
  <si>
    <t>`GRANT ALL PRIVILEGES ON DATABASE customers TO team` is the correct grant pattern.</t>
  </si>
  <si>
    <t>The control plane primarily manages services like authentication and access control.</t>
  </si>
  <si>
    <t>Use isolated clusters with task-appropriate configurations for different heavy workloads.</t>
  </si>
  <si>
    <t>This option is equivalent to the correct workspace admin capability statement in the shuffled version of the question.</t>
  </si>
  <si>
    <t>The valid Python condition is `if day_of_week == 1 and review_period`.</t>
  </si>
  <si>
    <t>Cloud administrators manage the underlying storage accounts/buckets and IAM identities that Unity Catalog relies on.</t>
  </si>
  <si>
    <t>The owner is shown in the table page in Data Explorer.</t>
  </si>
  <si>
    <t>A raw-to-Bronze streaming hop reads from the raw source with `readStream` and writes incrementally to a table.</t>
  </si>
  <si>
    <t>S09,S46</t>
  </si>
  <si>
    <t>Use the active run in the Runs tab to inspect the slow-running task within the job.</t>
  </si>
  <si>
    <t>Temporary views are session-scoped and cannot be accessed from a different Spark session.</t>
  </si>
  <si>
    <t>Data Access Audit records all access to data for governance purposes.</t>
  </si>
  <si>
    <t>Alerts notify you immediately so you can respond quickly to failures.</t>
  </si>
  <si>
    <t>Lakeflow/DLT supports mixed SQL and Python plus streaming and medallion patterns, so no fundamental redesign is required.</t>
  </si>
  <si>
    <t>Array functions are used to process complex hierarchical or nested collection data.</t>
  </si>
  <si>
    <t>An f-string like `f"{region}{store}_sales_{year}"` is the correct dynamic table-name pattern.</t>
  </si>
  <si>
    <t>Raw-to-ready refinement follows a sequence pattern.</t>
  </si>
  <si>
    <t>S18,S09</t>
  </si>
  <si>
    <t>`CREATE OR REPLACE TABLE ...` creates the empty table regardless of whether it already exists.</t>
  </si>
  <si>
    <t>Reusing clusters across tasks reduces startup time and cost.</t>
  </si>
  <si>
    <t>`Depends On` requires another task to complete successfully first.</t>
  </si>
  <si>
    <t>Use `%scala` and `%python` magic commands in separate notebook cells.</t>
  </si>
  <si>
    <t>The function that returns an array of unique elements is `collect_set`, so the workbook answer `C` is incorrect.</t>
  </si>
  <si>
    <t>Retry policies automatically rerun failed tasks to improve resiliency.</t>
  </si>
  <si>
    <t>Completion/failure alerts keep stakeholders informed quickly about important scheduled jobs.</t>
  </si>
  <si>
    <t>Gold tables are commonly queried by dashboards and reporting jobs.</t>
  </si>
  <si>
    <t>Delta tables store data in Parquet files.</t>
  </si>
  <si>
    <t>CTAS creates a new derived table in one step.</t>
  </si>
  <si>
    <t>A PySpark script can dynamically compute the table name and execute the query.</t>
  </si>
  <si>
    <t>Use MERGE when the target must avoid duplicate rows.</t>
  </si>
  <si>
    <t>`count_if(member_id IS NULL)` counts nulls in the column.</t>
  </si>
  <si>
    <t>A UDF is the right abstraction for reusable custom conversion logic.</t>
  </si>
  <si>
    <t>All-purpose clusters are for interactive analysis; job clusters are for automated jobs.</t>
  </si>
  <si>
    <t>Silver-to-Gold streaming hops aggregate refined data into higher-level metrics.</t>
  </si>
  <si>
    <t>S09,S28</t>
  </si>
  <si>
    <t>A predecessor task is set when another task must finish first.</t>
  </si>
  <si>
    <t>Use repair to rerun only the failed task instead of the entire job.</t>
  </si>
  <si>
    <t>`GRANT ALL PRIVILEGES ON DATABASE customers TO team` is the correct grant.</t>
  </si>
  <si>
    <t>Use `%r` cells to add R visualizations alongside Python in the same notebook.</t>
  </si>
  <si>
    <t>Unity Catalog works alongside existing storage and catalogs without hard migration.</t>
  </si>
  <si>
    <t>Delta Lake supports both batch and streaming workloads on the same data.</t>
  </si>
  <si>
    <t>The correct MERGE pattern deletes older duplicates and retains the latest purchase row.</t>
  </si>
  <si>
    <t>VACUUM removes obsolete files that are no longer needed by the Delta table.</t>
  </si>
  <si>
    <t>Auto Loader uses Structured Streaming for incremental processing.</t>
  </si>
  <si>
    <t>Terminating a cluster releases compute resources while leaving persisted data intact.</t>
  </si>
  <si>
    <t>If both data and metadata files were removed by DROP TABLE, the table was managed, so workbook answer `C` is incorrect.</t>
  </si>
  <si>
    <t>Task dependencies are the key step in workflow orchestration.</t>
  </si>
  <si>
    <t>schema_of_json generates a schema usable to parse JSON strings.</t>
  </si>
  <si>
    <t>This question relies on legacy Delta Live Tables development-mode behavior and wording that does not map cleanly to current Lakeflow pipeline guidance.</t>
  </si>
  <si>
    <t>STRUCT subfields are referenced with dot notation.</t>
  </si>
  <si>
    <t>Z-Ordering reduces the number of files scanned for selective filters.</t>
  </si>
  <si>
    <t>The lakehouse is the architecture that unifies siloed data lakes and warehouses.</t>
  </si>
  <si>
    <t>Permanent views can reference CSV files using `CREATE VIEW ... AS SELECT ... FROM csv.`path``.</t>
  </si>
  <si>
    <t>Cleaned and normalized Bronze data belongs in Silver tables.</t>
  </si>
  <si>
    <t>Cluster pools manage cost by controlling warm capacity with min/max idle instances.</t>
  </si>
  <si>
    <t>Delta Lake provides ACID transactions for updates, deletes, and merges.</t>
  </si>
  <si>
    <t>S03,S47</t>
  </si>
  <si>
    <t>Data storage and compute resources reside in the customer cloud account.</t>
  </si>
  <si>
    <t>The Jobs run interface monitors any task that is part of a job workflow.</t>
  </si>
  <si>
    <t>Configure retries before failure notifications to handle transient issues automatically.</t>
  </si>
  <si>
    <t>S17,S24</t>
  </si>
  <si>
    <t>Current pipeline configuration centers on SQL/Python source assets rather than the older notebook-library wording, so this question is outdated.</t>
  </si>
  <si>
    <t>schema_of_json returns a schema string that can parse JSON.</t>
  </si>
  <si>
    <t>Use `CREATE VIEW ... AS SELECT ... FROM csv.`path`` for a permanent view over a CSV in DBFS.</t>
  </si>
  <si>
    <t>Auto Loader tracks new files in a shared landing area without moving or deleting them.</t>
  </si>
  <si>
    <t>S20,S46</t>
  </si>
  <si>
    <t>Silver tables contain a cleaner, more refined view of Bronze data.</t>
  </si>
  <si>
    <t>Unity Catalog centrally secures, audits, shares, and manages data and AI assets.</t>
  </si>
  <si>
    <t>Use `%python` and `%sql` magics to mix languages in one notebook.</t>
  </si>
  <si>
    <t>Use `%sql` cells for SQL extraction and `%python` cells for Python work in the same notebook.</t>
  </si>
  <si>
    <t>Without an explicit location, the database is created under the default Hive warehouse location.</t>
  </si>
  <si>
    <t>The explanation points to `spark.sql`, but that option is missing from the answer choices, so this question should not be studied as a clean single-answer item.</t>
  </si>
  <si>
    <t>The explanation says the intended answer is a `UNION`-based CTAS, but the answer options are split/malformed and do not present one complete valid choice.</t>
  </si>
  <si>
    <t>Auto Loader is designed for streaming-style incremental ingestion workloads.</t>
  </si>
  <si>
    <t>A funnel pattern consolidates multiple inputs into one downstream table.</t>
  </si>
  <si>
    <t>`INSERT OVERWRITE` replaces existing table contents with the latest batch.</t>
  </si>
  <si>
    <t>Use an alert with a webhook notification destination for team notifications.</t>
  </si>
  <si>
    <t>S25,S26</t>
  </si>
  <si>
    <t>Cluster pools reduce cluster startup latency for frequently refreshed workloads.</t>
  </si>
  <si>
    <t>Use `explode(items)` to emit one row per array element.</t>
  </si>
  <si>
    <t>Array functions are for processing complex hierarchical collection data.</t>
  </si>
  <si>
    <t>The control plane manages authentication and access control.</t>
  </si>
  <si>
    <t>Customer data resides in the customer cloud account.</t>
  </si>
  <si>
    <t>A primary lakehouse benefit is improved quality and governance through schema enforcement; workbook answer `C` is incorrect.</t>
  </si>
  <si>
    <t>`trigger(availableNow=True)` processes all currently available data and then stops.</t>
  </si>
  <si>
    <t>Cloud admins manage the underlying cloud storage and IAM resources used by Unity Catalog.</t>
  </si>
  <si>
    <t>The first debugging step is to inspect the task logs.</t>
  </si>
  <si>
    <t>Use the workspace sharing feature to grant notebook access to specific users.</t>
  </si>
  <si>
    <t>Historical and active job execution details are shown in the Runs tab.</t>
  </si>
  <si>
    <t>The correct daily automation is to schedule the query from the query page in Databricks SQL; workbook answer `B` is incorrect.</t>
  </si>
  <si>
    <t>Data access control governs who can access which data; workbook answer `C` is incorrect.</t>
  </si>
  <si>
    <t>Temporary views are session-scoped and cannot be read from another Spark session.</t>
  </si>
  <si>
    <t>`OPTIMIZE` compacts small files into fewer larger files.</t>
  </si>
  <si>
    <t>Users can filter visible clusters from the Clusters UI.</t>
  </si>
  <si>
    <t>A task timeout can kill a stuck run and let retries/alerts handle transient failures.</t>
  </si>
  <si>
    <t>The lakehouse replaces separate lake + warehouse stacks by combining all of these benefits.</t>
  </si>
  <si>
    <t>A single query result can power multiple dashboard visualizations.</t>
  </si>
  <si>
    <t>Auto Loader incrementally loads data by using Structured Streaming.</t>
  </si>
  <si>
    <t>The Databricks SQL pattern is SQL query + alert + refresh schedule + email destination.</t>
  </si>
  <si>
    <t>Driver and worker nodes run in the data plane.</t>
  </si>
  <si>
    <t>The user needs USAGE on the schema to access a view in that schema.</t>
  </si>
  <si>
    <t>Cluster pools are the Databricks feature for reducing job cluster startup time.</t>
  </si>
  <si>
    <t>Unity Catalog tables are referenced as `catalog_name.schema_name.table_name`.</t>
  </si>
  <si>
    <t>Unity Catalog provides access control, audit, lineage, and discovery.</t>
  </si>
  <si>
    <t>Unity Catalog simplifies governed sharing across multiple workspaces attached to the same metastore.</t>
  </si>
  <si>
    <t>Interactive notebook results are stored in both the control plane and customer storage by default; workbook answer `D` is incorrect.</t>
  </si>
  <si>
    <t>Notebooks and jobs are managed from the control plane.</t>
  </si>
  <si>
    <t>Lakehouses support ACID transactions.</t>
  </si>
  <si>
    <t>`ON VIOLATION FAIL` causes the pipeline update to fail.</t>
  </si>
  <si>
    <t>`MERGE INTO` is the SQL command used to insert, update, or delete rows conditionally.</t>
  </si>
  <si>
    <t>Time travel uses `SELECT * FROM table_name TIMESTAMP AS OF ...`.</t>
  </si>
  <si>
    <t>Restore the table to version 3, the version before the delete.</t>
  </si>
  <si>
    <t>`CREATE SCHEMA IF NOT EXISTS ... LOCATION ...` is the correct syntax.</t>
  </si>
  <si>
    <t>A global temporary view is available across notebooks on the same cluster/session context and is dropped when that application ends.</t>
  </si>
  <si>
    <t>`CREATE OR REPLACE GLOBAL TEMPORARY VIEW ...` creates a global temp view.</t>
  </si>
  <si>
    <t>The intended solution uses JSON extraction plus array functions to compute the maximum cart item value; workbook answer is consistent with the provided explanation.</t>
  </si>
  <si>
    <t>A persistent view is the right object when the join result must survive cluster restarts and be accessible to others.</t>
  </si>
  <si>
    <t>Dropping a managed table removes the metastore entry and the underlying data, metadata, and history.</t>
  </si>
  <si>
    <t>`UPDATE transactions SET ... WHERE ...` is the correct SQL update syntax.</t>
  </si>
  <si>
    <t>The intended solution uses `COLLECT_SET` to collect unique arrays and `ARRAY_UNION` to merge them.</t>
  </si>
  <si>
    <t>The correct CREATE TABLE syntax for a table property uses `TBLPROPERTIES (...)`; workbook answer `E` is incorrect.</t>
  </si>
  <si>
    <t>To reload the table with an added derived column, use `CREATE OR REPLACE TABLE ... AS SELECT ...`; workbook answer `B` is incorrect.</t>
  </si>
  <si>
    <t>`UNION` combines both tables while removing duplicates.</t>
  </si>
  <si>
    <t>COPY INTO only loads files it has not seen before, so the second run skips previously loaded files.</t>
  </si>
  <si>
    <t>`INSERT OVERWRITE` replaces data only, while `CREATE OR REPLACE TABLE AS SELECT` can also replace schema.</t>
  </si>
  <si>
    <t>`TRANSFORM` applies an expression to each element in an array.</t>
  </si>
  <si>
    <t>`COLLECT_SET` returns a unique list of values in an array.</t>
  </si>
  <si>
    <t>The incorrect statement is that a lakehouse cannot serve low-latency BI workloads; workbook answer `D` is incorrect.</t>
  </si>
  <si>
    <t>Lakehouses support schema enforcement and evolution.</t>
  </si>
  <si>
    <t>The Databricks web application is part of the control plane.</t>
  </si>
  <si>
    <t>Cluster pools reduce cluster startup time for scheduled jobs.</t>
  </si>
  <si>
    <t>Auto Loader is best for incrementally processing new files from cloud object storage.</t>
  </si>
  <si>
    <t>Auto Loader supports file notification mode for near-immediate processing of new cloud files.</t>
  </si>
  <si>
    <t>Bronze is the raw copy of ingested data; Silver contains cleaned and conformed data.</t>
  </si>
  <si>
    <t>Silver supports ETL/transformation workloads, while Gold is optimized for query/reporting consumption.</t>
  </si>
  <si>
    <t>`INSERT INTO table_name` appends rows to an existing Delta table.</t>
  </si>
  <si>
    <t>Delta tables are stored as Parquet files with a `_delta_log` transaction log directory.</t>
  </si>
  <si>
    <t>With a plain `EXPECT`, rows are retained and expectation metrics are recorded in the event log.</t>
  </si>
  <si>
    <t>`ON VIOLATION DROP ROW` drops invalid rows before writing them.</t>
  </si>
  <si>
    <t>Use the Workflows/Jobs UI and the run details to identify the slow step in the job.</t>
  </si>
  <si>
    <t>Running jobs on all-purpose compute is more expensive than using job clusters.</t>
  </si>
  <si>
    <t>Tags are the recommended way to attribute and track cost across jobs/workloads.</t>
  </si>
  <si>
    <t>A single Databricks job can orchestrate both notebook tasks and DLT/Lakeflow pipeline tasks with dependencies.</t>
  </si>
  <si>
    <t>Use an alert with a custom template to include the actual KPI value in the email body.</t>
  </si>
  <si>
    <t>A webhook notification destination is the right pattern for sending alert-driven messages to an external monitoring system.</t>
  </si>
  <si>
    <t>Query History and the query profile are the right tools for finding the root cause of a slow dashboard query.</t>
  </si>
  <si>
    <t>Set the SQL configuration parameter for timezone in the SQL Admin Console to change dashboard query time zone behavior centrally.</t>
  </si>
  <si>
    <t>For concurrency-related slowdowns, increase the SQL warehouse max clusters scaling bound.</t>
  </si>
  <si>
    <t>Schedule the query refresh from the query page in Databricks SQL for daily automation.</t>
  </si>
  <si>
    <t>Unity Catalog governs tables, models, dashboards, and metastores/catalogs at the account level.</t>
  </si>
  <si>
    <t>The top-level object in Unity Catalog is the metastore; workbook answer `C` is incorrect.</t>
  </si>
  <si>
    <t>The creator of the table becomes the owner by default, so Steve owns the new table.</t>
  </si>
  <si>
    <t>Cluster event logs are the first place to inspect why a cluster failed to start.</t>
  </si>
  <si>
    <t>Scheduled production jobs should use job compute instead of an all-purpose cluster.</t>
  </si>
  <si>
    <t>`dbutils.notebook.run(...)` runs one notebook from another.</t>
  </si>
  <si>
    <t>Generated columns use `GENERATED ALWAYS AS (...)`.</t>
  </si>
  <si>
    <t>A retry policy improves stability for transient failures such as spot interruptions.</t>
  </si>
  <si>
    <t>Auto Loader stores inferred schema information in the schema location.</t>
  </si>
  <si>
    <t>Lakehouse storage and compute are decoupled, so saying they are coupled is incorrect.</t>
  </si>
  <si>
    <t>Jobs, pipelines, and queries are managed from the control plane.</t>
  </si>
  <si>
    <t>A scheduled hourly notebook is best run on a job cluster.</t>
  </si>
  <si>
    <t>A single Databricks notebook can use multiple languages via magic commands.</t>
  </si>
  <si>
    <t>Delta Lake implements the lakehouse using open formats on cloud object storage.</t>
  </si>
  <si>
    <t>S09,S47</t>
  </si>
  <si>
    <t>`CREATE OR REPLACE TABLE transactions (...)` is the correct create-or-overwrite syntax.</t>
  </si>
  <si>
    <t>Use time travel to inspect or restore prior table states instead of copying backup data manually.</t>
  </si>
  <si>
    <t>Using an explicit `LOCATION` creates an external table, so workbook answer `A` is incorrect.</t>
  </si>
  <si>
    <t>S05,S43</t>
  </si>
  <si>
    <t>Session-scoped temporary views are lost when the notebook/session detaches and reattaches.</t>
  </si>
  <si>
    <t>INSERT OVERWRITE replaces current data but keeps Delta history, so earlier versions remain available through time travel.</t>
  </si>
  <si>
    <t>The intended concept is SELECT DISTINCT, but no option cleanly matches that syntax. This item is malformed and should not be studied as a single-answer question.</t>
  </si>
  <si>
    <t>Option D has the right CREATE FUNCTION syntax, but every option uses the wrong Fahrenheit-to-Celsius formula ((temp - 33) * 5/9 instead of 32). This should not be treated as a clean question.</t>
  </si>
  <si>
    <t>Using dot notation to access performance.sales, then flattening and aggregating the arrays, correctly computes total sales.</t>
  </si>
  <si>
    <t>Python assert syntax uses == for comparison: assert row_count == 10, "Row count did not match".</t>
  </si>
  <si>
    <t>Graceful error handling in Python uses try: ... except: ...</t>
  </si>
  <si>
    <t>A streaming temporary view can be created from a Delta streaming DataFrame by using readStream before createOrReplaceTempView.</t>
  </si>
  <si>
    <t>Bronze is the landing layer for raw ingested data, including raw streaming data.</t>
  </si>
  <si>
    <t>Gold tables are the aggregated, business-facing layer commonly queried by dashboards and reports.</t>
  </si>
  <si>
    <t>Delta Live Tables, now Lakeflow Declarative Pipelines, supports expectations for data quality monitoring and enforcement during ingestion.</t>
  </si>
  <si>
    <t>S15,S46</t>
  </si>
  <si>
    <t>DESCRIBE HISTORY returns Delta table operation history, including who changed the table and when.</t>
  </si>
  <si>
    <t>OPTIMIZE is the Databricks command for compacting many small files. Workbook key E is invalid because there is no E option.</t>
  </si>
  <si>
    <t>S51</t>
  </si>
  <si>
    <t>This question relies on legacy Delta Live Tables syntax. Current Databricks guidance uses CREATE OR REFRESH STREAMING TABLE and CREATE OR REFRESH MATERIALIZED VIEW instead of LIVE TABLE syntax.</t>
  </si>
  <si>
    <t>Lakeflow Jobs keeps run history in the Jobs UI, where you can inspect current runs and historical runs.</t>
  </si>
  <si>
    <t>CREATE TABLE sales (id INT, units INT) creates a managed Delta table when no LOCATION is provided.</t>
  </si>
  <si>
    <t>For many concurrent SQL warehouse queries, increasing the maximum number of clusters improves concurrency by scaling out.</t>
  </si>
  <si>
    <t>CREATE OR REPLACE TEMPORARY VIEW creates a session-scoped temporary view.</t>
  </si>
  <si>
    <t>Auto Stop reduces SQL warehouse cost when the team refreshes dashboards only as needed.</t>
  </si>
  <si>
    <t>DROP DATABASE customers CASCADE drops the schema and its managed tables.</t>
  </si>
  <si>
    <t>When peak-hour concurrency is the bottleneck, raising the SQL warehouse max cluster count is the right fix.</t>
  </si>
  <si>
    <t>The generic Spark JDBC data source is org.apache.spark.sql.jdbc, with the SQLite JDBC URL supplied in OPTIONS.</t>
  </si>
  <si>
    <t>A single long-running query on a single-cluster warehouse is improved by increasing cluster size, while extra clusters mainly help concurrency.</t>
  </si>
  <si>
    <t>REFRESH TABLE invalidates cached table metadata so newly arrived external files become visible in the current Spark session.</t>
  </si>
  <si>
    <t>S48</t>
  </si>
  <si>
    <t>Unity Catalog centralizes governance at the account level and applies policies across workspaces in a region.</t>
  </si>
  <si>
    <t>S52</t>
  </si>
  <si>
    <t>SHALLOW CLONE is the fast test-copy option because it copies metadata without copying underlying data files.</t>
  </si>
  <si>
    <t>S49</t>
  </si>
  <si>
    <t>EXPLODE turns each element of an orderIds array into a separate row so it can be joined to order detail records.</t>
  </si>
  <si>
    <t>Among the choices given, the lakehouse capability that best distinguishes it from a traditional warehouse is support for both batch and streaming analytics.</t>
  </si>
  <si>
    <t>A regular Python function can return a Spark DataFrame object.</t>
  </si>
  <si>
    <t>Interactive investigation should use all-purpose compute, not a transient job cluster.</t>
  </si>
  <si>
    <t>Structured Streaming supports append, update, and complete output modes.</t>
  </si>
  <si>
    <t>Databricks notebooks include automatic version history, so manual _bkp copies are unnecessary.</t>
  </si>
  <si>
    <t>Complete mode writes the full current result table on every trigger, effectively overwriting the target output each batch.</t>
  </si>
  <si>
    <t>cloudFiles.schemaHints is the right way to override inferred string columns with expected data types in Auto Loader.</t>
  </si>
  <si>
    <t>Delta stores table data in Parquet files and transaction log entries in JSON files under _delta_log.</t>
  </si>
  <si>
    <t>Adding a derived column while preserving record grain is a Bronze-to-Silver refinement pattern.</t>
  </si>
  <si>
    <t>Auto Loader is built on top of Structured Streaming.</t>
  </si>
  <si>
    <t>A Silver-to-Gold hop typically aggregates refined data into business-level metrics.</t>
  </si>
  <si>
    <t>Auto Loader ingestion from landing to Bronze uses readStream with format("cloudFiles") and a schema location.</t>
  </si>
  <si>
    <t>S01,S33</t>
  </si>
  <si>
    <t>Auto Loader is the correct incremental ingestion method for millions of files with schema evolution. The option text is malformed, but workbook key B is still incorrect.</t>
  </si>
  <si>
    <t>The needed options are cloudFiles.format, cloudFiles.schemaLocation, checkpointLocation, and mergeSchema for additive schema evolution on the Delta sink.</t>
  </si>
  <si>
    <t>S01,S50</t>
  </si>
  <si>
    <t>Bronze stores the full unprocessed history of ingested data.</t>
  </si>
  <si>
    <t>Silver is the validated layer where schema enforcement and data quality checks are applied.</t>
  </si>
  <si>
    <t>Gold serves business consumption workloads such as reporting, dashboards, and ML features.</t>
  </si>
  <si>
    <t>For large ETL with many dependencies, Delta Live Tables (now Lakeflow Declarative Pipelines) is the best fit. Workbook key B is incorrect.</t>
  </si>
  <si>
    <t>A dashboard schedule refreshes the whole dashboard; you do not need one schedule per query.</t>
  </si>
  <si>
    <t>S53</t>
  </si>
  <si>
    <t>Cluster pools reduce startup latency by keeping ready-to-use instances available for job clusters.</t>
  </si>
  <si>
    <t>Databricks SQL alerts are configured on queries and can trigger when a returned value exceeds a threshold.</t>
  </si>
  <si>
    <t>S54</t>
  </si>
  <si>
    <t>Databricks SQL dashboards are built from SQL queries.</t>
  </si>
  <si>
    <t>Shared job clusters let multiple tasks reuse the same job compute to reduce startup overhead and cost.</t>
  </si>
  <si>
    <t>S55</t>
  </si>
  <si>
    <t>Databricks notebooks support real-time coauthoring, which is better than parallel Git-branch editing for the same notebook.</t>
  </si>
  <si>
    <t>Develop Lakeflow Declarative Pipelines code with SQL</t>
  </si>
  <si>
    <t>https://docs.databricks.com/aws/en/ldp/developer/sql-dev</t>
  </si>
  <si>
    <t>Databricks notebooks</t>
  </si>
  <si>
    <t>https://docs.databricks.com/aws/en/notebooks</t>
  </si>
  <si>
    <t>REFRESH TABLE</t>
  </si>
  <si>
    <t>https://docs.databricks.com/aws/en/sql/language-manual/sql-ref-syntax-aux-cache-refresh-table</t>
  </si>
  <si>
    <t>Clone a table on Databricks</t>
  </si>
  <si>
    <t>https://docs.databricks.com/aws/en/delta/clone</t>
  </si>
  <si>
    <t>S50</t>
  </si>
  <si>
    <t>Schema evolution</t>
  </si>
  <si>
    <t>https://docs.databricks.com/aws/en/delta/update-schema</t>
  </si>
  <si>
    <t>https://docs.databricks.com/aws/en/sql/language-manual/delta-optimize</t>
  </si>
  <si>
    <t>What is Unity Catalog?</t>
  </si>
  <si>
    <t>https://docs.databricks.com/en/data-governance/unity-catalog/</t>
  </si>
  <si>
    <t>Schedule dashboard updates and subscriptions</t>
  </si>
  <si>
    <t>https://docs.databricks.com/en/dashboards/schedule-subscribe.html</t>
  </si>
  <si>
    <t>https://docs.databricks.com/en/sql/user/alerts/</t>
  </si>
  <si>
    <t>https://docs.databricks.com/aws/en/jobs/compute</t>
  </si>
  <si>
    <t>If DROP TABLE removes the metastore entry but leaves the files behind, the table was external rather than managed.</t>
  </si>
  <si>
    <t>S62</t>
  </si>
  <si>
    <t>Python lambda conditional expressions use the form value_if_true if condition else value_if_false.</t>
  </si>
  <si>
    <t>DESCRIBE EXTENDED / FORMATTED and SHOW TABLE EXTENDED explicitly expose table type, and SHOW CREATE TABLE also helps distinguish the table definition. Workbook key C is incorrect.</t>
  </si>
  <si>
    <t>S57,S58,S59</t>
  </si>
  <si>
    <t>INSERT OVERWRITE replaces existing table data while keeping the same schema.</t>
  </si>
  <si>
    <t>The correct external-table DDL is CREATE TABLE ... USING CSV OPTIONS (...) LOCATION ...</t>
  </si>
  <si>
    <t>INSERT INTO appends new rows to an existing Delta table.</t>
  </si>
  <si>
    <t>EXCEPT returns customers present in the first query but not in the second, which matches customers with no orders.</t>
  </si>
  <si>
    <t>Auto Loader discovers files either by directory listing or by file notification mode.</t>
  </si>
  <si>
    <t>Delta Live Tables, now part of Lakeflow Declarative Pipelines, is the framework that manages orchestration, monitoring, and data quality for pipeline code.</t>
  </si>
  <si>
    <t>This relies on legacy Delta Live Tables syntax. Current Databricks docs use CREATE OR REFRESH STREAMING TABLE and materialized views rather than CREATE STREAMING LIVE TABLE / CREATE LIVE TABLE.</t>
  </si>
  <si>
    <t>S46,S64</t>
  </si>
  <si>
    <t>The field list reflects an older Delta Live Tables configuration UI. Current pipeline configuration uses updated Lakeflow terminology and settings, so this is not a clean current exam question.</t>
  </si>
  <si>
    <t>S64</t>
  </si>
  <si>
    <t>Silver tables are the cleaned, filtered, and enriched refinement layer in medallion architecture.</t>
  </si>
  <si>
    <t>Streaming reads in Spark require readStream rather than read.</t>
  </si>
  <si>
    <t>dbutils.notebook.run(path, timeout, arguments) runs another notebook and passes widget arguments.</t>
  </si>
  <si>
    <t>S14,S56</t>
  </si>
  <si>
    <t>For sequential queries on a single warehouse, increasing cluster size reduces latency; extra clusters mainly help concurrency.</t>
  </si>
  <si>
    <t>Current Databricks uses job notifications and system destinations such as webhooks. The options are framed as Alerts, so none is a clean current answer.</t>
  </si>
  <si>
    <t>Unity Catalog uses MODIFY rather than UPDATE as the data-change privilege, so UPDATE is not the correct privilege name.</t>
  </si>
  <si>
    <t>S65</t>
  </si>
  <si>
    <t>Job results are stored in the DBFS layer backed by customer-managed storage.</t>
  </si>
  <si>
    <t>Delta Lake is an open storage layer that adds reliability, security, and performance features on top of cloud object storage.</t>
  </si>
  <si>
    <t>The incorrect statement is B: managed-table data does reside in the managed storage location associated with the schema/database.</t>
  </si>
  <si>
    <t>OPTIMIZE ... ZORDER BY (transactionId) is the valid syntax for compacting files and colocating a high-cardinality filter column.</t>
  </si>
  <si>
    <t>The current Databricks UI for browsing data and granting permissions is Catalog Explorer, not Data Explorer, so this question uses an older UI name.</t>
  </si>
  <si>
    <t>S60</t>
  </si>
  <si>
    <t>CREATE DATABASE IF NOT EXISTS ... LOCATION ... is the right way to create the schema only if it does not already exist.</t>
  </si>
  <si>
    <t>Gold tables are typically the destination for business-level aggregations and summary statistics.</t>
  </si>
  <si>
    <t>dbutils.widgets.text(name, defaultValue, label) creates the notebook parameter and dbutils.widgets.get retrieves it.</t>
  </si>
  <si>
    <t>S56</t>
  </si>
  <si>
    <t>COMMENT is the Databricks SQL clause used to attach descriptive metadata to a table.</t>
  </si>
  <si>
    <t>RESTORE TABLE ... TO TIMESTAMP AS OF ... is the correct Delta syntax for returning the table to an earlier consistent state.</t>
  </si>
  <si>
    <t>Creating a Unity Catalog table with CTAS from hive_metastore is a valid migration pattern to create a new UC-managed copy.</t>
  </si>
  <si>
    <t>Auto Loader is the right choice for high-volume incremental file ingestion with schema evolution.</t>
  </si>
  <si>
    <t>A single-select notebook parameter from a fixed list uses dbutils.widgets.dropdown(...), then dbutils.widgets.get(...).</t>
  </si>
  <si>
    <t>dbutils.fs.rm(path, True) recursively deletes a directory and its contents.</t>
  </si>
  <si>
    <t>S61</t>
  </si>
  <si>
    <t>The question stem is incomplete, and the explanation introduces persistence requirements that are missing from the prompt. This should not be studied as a clean single-answer item.</t>
  </si>
  <si>
    <t>Delta Lake stores data files in Parquet format and tracks metadata separately in the transaction log.</t>
  </si>
  <si>
    <t>OPTIMIZE table_name WHERE predicate is the correct syntax for compacting only a subset of table data.</t>
  </si>
  <si>
    <t>count_if(expr) is the Databricks SQL aggregate used to count rows where a Boolean condition is true.</t>
  </si>
  <si>
    <t>S67</t>
  </si>
  <si>
    <t>USING JDBC is the correct Databricks SQL data source syntax for registering an external SQLite table.</t>
  </si>
  <si>
    <t>FULL OUTER JOIN returns matching rows plus non-matching rows from both sides.</t>
  </si>
  <si>
    <t>range(1, 11) prints 1 through 10 because the stop value is excluded.</t>
  </si>
  <si>
    <t>The efficient command is TRUNCATE TABLE, but that option is missing. There is no clean correct answer among the choices provided.</t>
  </si>
  <si>
    <t>S66</t>
  </si>
  <si>
    <t>Python assert syntax is assert condition, message.</t>
  </si>
  <si>
    <t>DROP DATABASE retail CASCADE drops the schema and all managed tables inside it.</t>
  </si>
  <si>
    <t>Databricks datetime patterns use y for year and d for day-of-month. All provided choices use YYYY, so none is a clean current answer for the requested calendar date format.</t>
  </si>
  <si>
    <t>S63</t>
  </si>
  <si>
    <t>SHALLOW CLONE copies table metadata without copying underlying data files.</t>
  </si>
  <si>
    <t>Disabling spark.databricks.delta.retentionDurationCheck.enabled allows VACUUM to remove files newer than the default safety window.</t>
  </si>
  <si>
    <t>The intended concept is source-to-Bronze ingestion with Auto Loader, but the provided option places .load() before .format(), which is not valid Spark syntax. No option is cleanly correct.</t>
  </si>
  <si>
    <t>Joining in lookup data to enrich records is a Silver-layer workload.</t>
  </si>
  <si>
    <t>Append is the default Structured Streaming output mode when rows are only added and never updated.</t>
  </si>
  <si>
    <t>Ordering a streaming temporary view without the required aggregation/complete-mode context is not supported.</t>
  </si>
  <si>
    <t>ON VIOLATION DROP ROW drops invalid records from the target and records the data quality metrics in the event log.</t>
  </si>
  <si>
    <t>SQL warehouses are part of Databricks SQL, not a feature provided by Auto Loader.</t>
  </si>
  <si>
    <t>S33,S17</t>
  </si>
  <si>
    <t>Databricks widgets</t>
  </si>
  <si>
    <t>https://docs.databricks.com/aws/en/notebooks/widgets</t>
  </si>
  <si>
    <t>S57</t>
  </si>
  <si>
    <t>SHOW CREATE TABLE</t>
  </si>
  <si>
    <t>https://docs.databricks.com/aws/en/sql/language-manual/sql-ref-syntax-aux-show-create-table</t>
  </si>
  <si>
    <t>S58</t>
  </si>
  <si>
    <t>DESCRIBE TABLE</t>
  </si>
  <si>
    <t>https://docs.databricks.com/aws/en/sql/language-manual/sql-ref-syntax-aux-describe-table</t>
  </si>
  <si>
    <t>S59</t>
  </si>
  <si>
    <t>SHOW TABLE EXTENDED</t>
  </si>
  <si>
    <t>https://docs.databricks.com/aws/en/sql/language-manual/sql-ref-syntax-aux-show-table</t>
  </si>
  <si>
    <t>What is Catalog Explorer?</t>
  </si>
  <si>
    <t>https://docs.databricks.com/aws/en/catalog-explorer</t>
  </si>
  <si>
    <t>Databricks Utilities (dbutils) reference</t>
  </si>
  <si>
    <t>https://docs.databricks.com/aws/en/dev-tools/databricks-utils</t>
  </si>
  <si>
    <t>What are tables in Databricks?</t>
  </si>
  <si>
    <t>https://docs.databricks.com/aws/en/tables/what-are-tables</t>
  </si>
  <si>
    <t>Datetime patterns</t>
  </si>
  <si>
    <t>https://docs.databricks.com/aws/en/sql/language-manual/sql-ref-datetime-pattern</t>
  </si>
  <si>
    <t>https://docs.databricks.com/aws/en/ldp/configure-pipeline</t>
  </si>
  <si>
    <t>Unity Catalog privileges and securable objects</t>
  </si>
  <si>
    <t>https://docs.databricks.com/aws/en/data-governance/unity-catalog/manage-privileges/privileges</t>
  </si>
  <si>
    <t>TRUNCATE TABLE</t>
  </si>
  <si>
    <t>https://docs.databricks.com/aws/en/sql/language-manual/sql-ref-syntax-ddl-truncate-table</t>
  </si>
  <si>
    <t>count_if aggregate function</t>
  </si>
  <si>
    <t>https://docs.databricks.com/aws/en/sql/language-manual/functions/count_if</t>
  </si>
  <si>
    <t>Turning on Auto Stop is the cost-control action for a manually refreshed SQL warehouse. Workbook key E is incorrect.</t>
  </si>
  <si>
    <t>A multi-task job can pass different key-value parameters to the same notebook task and run independent tasks in parallel.</t>
  </si>
  <si>
    <t>Job email notifications support multiple recipients and separate success/failure settings.</t>
  </si>
  <si>
    <t>The question is ambiguous because Databricks treats SCHEMA and DATABASE interchangeably here, so both ALTER SCHEMA ... OWNER TO and ALTER DATABASE ... OWNER TO are conceptually valid.</t>
  </si>
  <si>
    <t>S68</t>
  </si>
  <si>
    <t>Managed tables, not external tables, are the default in Unity Catalog.</t>
  </si>
  <si>
    <t>Cluster pools reduce startup latency by keeping ready-to-use instances available.</t>
  </si>
  <si>
    <t>Delta time travel lets you return to an earlier table version after a bad update.</t>
  </si>
  <si>
    <t>VACUUM RETAIN 0 HOURS can delete files from concurrent transactions when the retention safety check is disabled.</t>
  </si>
  <si>
    <t>Scheduled query execution is configured from the query editor / queries page in Databricks SQL.</t>
  </si>
  <si>
    <t>ALTER TABLE is the SQL command used to change table schema or properties.</t>
  </si>
  <si>
    <t>TRANSFORM applies an expression to each element of an array and is the right higher-order function here.</t>
  </si>
  <si>
    <t>collect_set(event_name) plus array_distinct(flatten(collect_set(items.item_id))) produces unique event and cart histories per user.</t>
  </si>
  <si>
    <t>Databricks SQL alerts are defined on queries and can notify when the returned value crosses a threshold.</t>
  </si>
  <si>
    <t>Custom cluster and pool tags are the standard way to attribute usage and costs across business units.</t>
  </si>
  <si>
    <t>S72</t>
  </si>
  <si>
    <t>Putting the dependent steps into one multi-task job with task dependencies prevents the downstream step from starting too early.</t>
  </si>
  <si>
    <t>The metastore is the top-level Unity Catalog container above catalogs, schemas, and tables.</t>
  </si>
  <si>
    <t>Delta transaction-log commits are stored as JSON files in the _delta_log directory.</t>
  </si>
  <si>
    <t>display(df) renders a DataFrame in tabular form and supports built-in notebook visualizations.</t>
  </si>
  <si>
    <t>EXPLODE converts each array element into its own row so the items can be counted per order.</t>
  </si>
  <si>
    <t>FILTER returns only the employee structs whose salary satisfies the predicate.</t>
  </si>
  <si>
    <t>PIVOT is the Spark SQL clause used to rotate quarter values into separate columns.</t>
  </si>
  <si>
    <t>trigger(availableNow=True) processes all currently available data in multiple micro-batches and then stops.</t>
  </si>
  <si>
    <t>Struct subfields are accessed with dot notation such as geo.country.</t>
  </si>
  <si>
    <t>A single job can orchestrate a pipeline task followed by a notebook task using a task dependency.</t>
  </si>
  <si>
    <t>S69</t>
  </si>
  <si>
    <t>Repair run reruns only unsuccessful tasks and their dependent downstream tasks.</t>
  </si>
  <si>
    <t>A single-value dropdown query parameter is the right interactive filter pattern for a state selector in Databricks SQL.</t>
  </si>
  <si>
    <t>This item is malformed because the option lettering is shifted, but the underlying correct privilege is SELECT plus MODIFY on the table, not UPDATE or USAGE.</t>
  </si>
  <si>
    <t>Spark SQL PIVOT requires an aggregate function such as SUM, COUNT, or AVG.</t>
  </si>
  <si>
    <t>Databricks notebooks include automatic revision history and version tracking, which is the feature being tested here.</t>
  </si>
  <si>
    <t>The wording is ambiguous. If the intent is a key-value association, MAP is the relevant SQL type; if it means one numeric column per row key, INTEGER fits. This should not be studied as a clean single-answer question.</t>
  </si>
  <si>
    <t>S71</t>
  </si>
  <si>
    <t>A PIVOT operation requires an aggregate function to summarize values into each pivoted cell.</t>
  </si>
  <si>
    <t>This is another PIVOT question; the required component is the aggregate function.</t>
  </si>
  <si>
    <t>MODIFY is the Databricks privilege that covers inserting, updating, and deleting rows in a table.</t>
  </si>
  <si>
    <t>The map(delimiter, header) idea is right for cloud_files options, but the question uses legacy STREAMING LIVE TABLE syntax rather than current Lakeflow SQL syntax.</t>
  </si>
  <si>
    <t>With x=1 and y=2, the first if doubles x to 2, then the second if increments x to 3 and decrements y to 0.</t>
  </si>
  <si>
    <t>In Unity Catalog, the principal who creates an object becomes its initial owner.</t>
  </si>
  <si>
    <t>COPY INTO is idempotent by default and skips files that were already loaded.</t>
  </si>
  <si>
    <t>Robust Python error handling uses try: ... except: ...</t>
  </si>
  <si>
    <t>The enforced Delta constraints are NOT NULL and CHECK.</t>
  </si>
  <si>
    <t>INTERSECT returns only rows common to both query results.</t>
  </si>
  <si>
    <t>Using Bronze as the source for cleansing and enrichment is a Bronze-to-Silver workload.</t>
  </si>
  <si>
    <t>Structured Streaming supports append, complete, and update output modes.</t>
  </si>
  <si>
    <t>Development mode reuses compute for iterative testing, and triggered mode processes available data once and then stops.</t>
  </si>
  <si>
    <t>S70</t>
  </si>
  <si>
    <t>Auto Loader is implemented as a Structured Streaming source called cloudFiles.</t>
  </si>
  <si>
    <t>After fixing the code, restarting the Auto Loader stream from the same checkpoint continues from where it left off.</t>
  </si>
  <si>
    <t>S13,S33</t>
  </si>
  <si>
    <t>If the dashboard only matters for the first week, disabling the schedule after that reduces SQL warehouse cost.</t>
  </si>
  <si>
    <t>DBU is the Databricks billing and workload measurement unit.</t>
  </si>
  <si>
    <t>To query a view over a table, the user also needs the necessary privileges on the underlying base table.</t>
  </si>
  <si>
    <t>S05,S65</t>
  </si>
  <si>
    <t>CREATE OR REPLACE TABLE creates the empty Delta table whether or not the table already exists.</t>
  </si>
  <si>
    <t>ALTER SCHEMA</t>
  </si>
  <si>
    <t>https://docs.databricks.com/aws/en/sql/language-manual/sql-ref-syntax-ddl-alter-schema</t>
  </si>
  <si>
    <t>Pipeline task for jobs</t>
  </si>
  <si>
    <t>https://docs.databricks.com/aws/en/jobs/pipeline</t>
  </si>
  <si>
    <t>Best practices for Lakeflow Spark Declarative Pipelines</t>
  </si>
  <si>
    <t>https://docs.databricks.com/aws/en/ldp/best-practices</t>
  </si>
  <si>
    <t>create_map</t>
  </si>
  <si>
    <t>https://docs.databricks.com/aws/en/pyspark/reference/functions/create_map</t>
  </si>
  <si>
    <t>Monitor usage using tags</t>
  </si>
  <si>
    <t>https://docs.databricks.com/aws/en/admin/account-settings/usage-detail-tags</t>
  </si>
  <si>
    <t>The Databricks web application runs in the control plane. DBFS and compute nodes are not control-plane components. Workbook key B is incorrect.</t>
  </si>
  <si>
    <t>S73</t>
  </si>
  <si>
    <t>Interactive notebook results are stored partly in the control plane and partly in customer-managed storage, depending on result size and settings.</t>
  </si>
  <si>
    <t>S74</t>
  </si>
  <si>
    <t>A lakehouse decouples storage from compute, so "storage is coupled with compute" is the feature that is not true.</t>
  </si>
  <si>
    <t>The two main orchestration services are Jobs/Workflows and Delta Live Tables (now Lakeflow Declarative Pipelines).</t>
  </si>
  <si>
    <t>S19,S46</t>
  </si>
  <si>
    <t>Query History and View Query Profile are the right tools to isolate where time is spent in a slow dashboard query.</t>
  </si>
  <si>
    <t>S81</t>
  </si>
  <si>
    <t>Databricks supports viewing a job definition as code, including JSON, from the job page UI.</t>
  </si>
  <si>
    <t>S75</t>
  </si>
  <si>
    <t>cloudFiles.schemaHints is the correct Auto Loader option for enforcing inferred column types such as TIMESTAMP.</t>
  </si>
  <si>
    <t>If no trigger is specified, Structured Streaming uses the default micro-batch interval of 500 milliseconds.</t>
  </si>
  <si>
    <t>This is a duplicate control-plane question. The web application is in the control plane; workbook key E is incorrect.</t>
  </si>
  <si>
    <t>GRANT ALL PRIVILEGES ON TABLE ... TO ... is the correct syntax for granting full table privileges.</t>
  </si>
  <si>
    <t>The upgrade wizard now lives in Catalog Explorer, not Data Explorer. The underlying concept is still the UI-based upgrade flow, but the product naming is outdated.</t>
  </si>
  <si>
    <t>In the three-level namespace catalog.schema.table, catalog is the first level.</t>
  </si>
  <si>
    <t>The flow is SQL query -&gt; Alert -&gt; alert refresh schedule -&gt; email address destination.</t>
  </si>
  <si>
    <t>To return all customers plus matching orders, you can express the logic with LEFT OUTER JOIN or with RIGHT OUTER JOIN if the table order is reversed. Workbook key C is incorrect.</t>
  </si>
  <si>
    <t>With inputs (1, 3), x increments to 2, then stays below y and increments again to 3.</t>
  </si>
  <si>
    <t>A single multi-task job can run two notebook tasks with a linear dependency while using different compute per task.</t>
  </si>
  <si>
    <t>Three consecutive x &lt; y checks increment x from 1 to 2, then 3, and then stop because x is no longer less than y.</t>
  </si>
  <si>
    <t>MERGE INTO is the standard Delta Lake operation for applying inserts and updates from a staging table when deletions are not part of the feed.</t>
  </si>
  <si>
    <t>Shares in the catalog framework enable governed data sharing with designated recipients.</t>
  </si>
  <si>
    <t>Structured Streaming relies on checkpointing and write-ahead logs to track offset progress and recover after failures.</t>
  </si>
  <si>
    <t>TBLPROPERTIES with a key-value pair is the correct way to tag a table as containing PII.</t>
  </si>
  <si>
    <t>This duplicate question is also correctly answered by checkpointing and write-ahead logs.</t>
  </si>
  <si>
    <t>Databricks SQL supports count_if(condition), so COUNT_IF(amount &gt; 100) AS count_above_100 is valid. Workbook key C is incorrect.</t>
  </si>
  <si>
    <t>Databricks SQL uses the parquet file-format prefix when querying Parquet files directly.</t>
  </si>
  <si>
    <t>This duplicate prefix question also points to the parquet prefix.</t>
  </si>
  <si>
    <t>Built-in functions such as lower and regexp_replace are preferred over a custom UDF for this normalization task.</t>
  </si>
  <si>
    <t>Refreshing the table invalidates cached metadata so newly appended CSV files become visible to queries.</t>
  </si>
  <si>
    <t>A plain EXPECT constraint retains invalid records in the target and records the violations in the event log.</t>
  </si>
  <si>
    <t>For high-concurrency SQL warehouses, increasing the maximum scaling bound reduces queueing and latency. The explanation text in the workbook is mismatched, but the key B is still correct.</t>
  </si>
  <si>
    <t>The intended idea is FROM_JSON with a schema generated from example JSON, but the provided option is malformed (`REATE`) and uses an empty schema_of_json input, so this is not a clean current question.</t>
  </si>
  <si>
    <t>S76</t>
  </si>
  <si>
    <t>This item is ambiguous: `EXIST` is not a valid function spelling, while `map` is a valid function but not a higher-order function. There is no clean single answer as written.</t>
  </si>
  <si>
    <t>S77,S78</t>
  </si>
  <si>
    <t>The prompt itself says to parse the JSON STRING with FROM_JSON first, but none of the options do that correctly. Colon-path extraction can query JSON strings directly, but it does not match the stated approach.</t>
  </si>
  <si>
    <t>For JSON strings in Databricks SQL, the JSON-path extraction operator is a colon (`:`), not dot notation. Workbook key D is incorrect.</t>
  </si>
  <si>
    <t>The usual pattern is to create a temporary view over the event log Delta path and query that view for metrics and history.</t>
  </si>
  <si>
    <t>REVOKE ALL PRIVILEGES ON SCHEMA retail FROM former_employees is the correct Databricks SQL syntax.</t>
  </si>
  <si>
    <t>Pull request creation and code review happen in the Git provider, not inside Databricks Git folders.</t>
  </si>
  <si>
    <t>Python uses == for equality comparison, and a boolean variable can be tested directly.</t>
  </si>
  <si>
    <t>The question asks for a SQL data type, but every option is a workspace object type instead. This item is malformed and should not be studied as a clean exam question.</t>
  </si>
  <si>
    <t>Bronze tables keep raw data with a basic schema applied so the data can be queried and preserved for later refinement.</t>
  </si>
  <si>
    <t>ACID stands for Atomicity, Consistency, Isolation, and Durability. Workbook key E is incorrect.</t>
  </si>
  <si>
    <t>All-purpose compute can run jobs, but Databricks does not recommend it for fast, robust automated production jobs. That makes option D the incorrect statement.</t>
  </si>
  <si>
    <t>Dashboard refresh schedules are configured from the dashboard itself in Databricks SQL, not from Alerts. Workbook key A is incorrect.</t>
  </si>
  <si>
    <t>CTAS derives the target schema from the query output, so you should not specify a column definition alongside it.</t>
  </si>
  <si>
    <t>For highly unstructured and evolving data, schema enforcement plus schema evolution is the strongest lakehouse advantage over a traditional warehouse.</t>
  </si>
  <si>
    <t>MODIFY is the Unity Catalog privilege that enables updates to table data.</t>
  </si>
  <si>
    <t>Cluster pools reduce the startup time for new clusters by keeping idle instances ready.</t>
  </si>
  <si>
    <t>Deleting a cluster removes the associated compute resources automatically; no extra cleanup step is normally required.</t>
  </si>
  <si>
    <t>Current Databricks guidance recommends ZORDER for commonly filtered high-cardinality columns on non-clustered Delta tables. Bloom filters exist, but Databricks does not recommend them for most workloads.</t>
  </si>
  <si>
    <t>S79</t>
  </si>
  <si>
    <t>Real-time coauthoring is the built-in notebook feature that best solves concurrent editing of the same notebook.</t>
  </si>
  <si>
    <t>High-level architecture</t>
  </si>
  <si>
    <t>https://docs.databricks.com/en/getting-started/overview.html</t>
  </si>
  <si>
    <t>Manage where notebook results are stored</t>
  </si>
  <si>
    <t>https://docs.databricks.com/gcp/en/admin/workspace-settings/notebooks</t>
  </si>
  <si>
    <t>Automate job creation and management</t>
  </si>
  <si>
    <t>https://docs.databricks.com/aws/en/jobs/automate</t>
  </si>
  <si>
    <t>Query JSON strings</t>
  </si>
  <si>
    <t>https://docs.databricks.com/aws/en/semi-structured/json</t>
  </si>
  <si>
    <t>S77</t>
  </si>
  <si>
    <t>exists function</t>
  </si>
  <si>
    <t>https://docs.databricks.com/gcp/pt/sql/language-manual/functions/exists</t>
  </si>
  <si>
    <t>S78</t>
  </si>
  <si>
    <t>map function</t>
  </si>
  <si>
    <t>https://docs.databricks.com/en/sql/language-manual/functions/map.html</t>
  </si>
  <si>
    <t>https://docs.databricks.com/aws/en/delta/data-skipping</t>
  </si>
  <si>
    <t>Query profile</t>
  </si>
  <si>
    <t>https://docs.databricks.com/aws/en/sql/user/queries/query-profile</t>
  </si>
  <si>
    <t>If historical data is no longer accessible even though table history shows prior versions, a VACUUM RETAIN 0 operation likely removed the old files needed for time travel.</t>
  </si>
  <si>
    <t>spark.read.table("table_name") is the standard PySpark DataFrame API for reading a registered Delta table by name.</t>
  </si>
  <si>
    <t>Dropping an external Delta table removes only the metastore entry; the data files and Delta log remain at the storage location.</t>
  </si>
  <si>
    <t>Both `%sql SELECT * FROM table_name` and `spark.sql(...)` in a Python notebook can query a Delta table.</t>
  </si>
  <si>
    <t>Current Databricks SQL provides the schema location directly through `DESCRIBE SCHEMA EXTENDED schema_name`. Workbook key C points to an old UI label rather than the precise command.</t>
  </si>
  <si>
    <t>S82</t>
  </si>
  <si>
    <t>Databricks SQL supports `COUNT(DISTINCT *)`, which counts distinct rows. With three unique rows shown, the result is 3. Workbook key D is incorrect.</t>
  </si>
  <si>
    <t>S87</t>
  </si>
  <si>
    <t>The needed expression is `SUM(SIZE(FILTER(deviceTemp, i -&gt; i &gt; 100.00)))`, so the correct function combination is SUM, SIZE, FILTER.</t>
  </si>
  <si>
    <t>S86</t>
  </si>
  <si>
    <t>Global temporary views survive notebook detach/attach because they are tied to the Spark application on the cluster, not a single notebook session.</t>
  </si>
  <si>
    <t>A Python f-string with `{schema_name}` and `{table_name}` correctly interpolates variables into the SQL statement.</t>
  </si>
  <si>
    <t>Python uses `==` for equality and a boolean variable can be checked directly, so `if department == "supply chain" and process:` is correct.</t>
  </si>
  <si>
    <t>Checkpointing and write-ahead logging are the mechanisms Structured Streaming uses for failure recovery.</t>
  </si>
  <si>
    <t>The widget value should be retrieved with `dbutils.widgets.get(...)` and inserted into the SQL string with an f-string placeholder `{order_date}`.</t>
  </si>
  <si>
    <t>The clean Databricks pattern is to use a notebook parameter/widget, assign it to a Python variable, and filter Spark data based on that runtime value. Workbook key D is incorrect.</t>
  </si>
  <si>
    <t>For Auto Loader with schema evolution, the expected options are `cloudFiles.format`, `cloudFiles.schemaLocation`, `checkpointLocation`, and `mergeSchema`.</t>
  </si>
  <si>
    <t>A processing-time trigger requires a string duration such as `trigger(processingTime = "15 Minutes")`. Workbook key C is incorrect.</t>
  </si>
  <si>
    <t>Current Structured Streaming documentation describes end-to-end fault tolerance through checkpointing and write-ahead logs, but no option exactly matches that combination here.</t>
  </si>
  <si>
    <t>If Auto Loader remains slow after scaling compute, increasing `maxFilesPerTrigger` is a standard way to raise throughput.</t>
  </si>
  <si>
    <t>Auto Loader discovers new files using directory listing or file notification. Checkpointing and watermarking do not identify arriving files. Workbook key A,B is incorrect.</t>
  </si>
  <si>
    <t>The Silver layer is responsible for cleansing, deduplication, and quarantining bad records before downstream consumption.</t>
  </si>
  <si>
    <t>Development mode plus triggered mode updates datasets once and then stops, while keeping compute resources available for continued testing.</t>
  </si>
  <si>
    <t>Production mode with continuous execution keeps updating datasets until stopped, and production compute is terminated when the pipeline is stopped.</t>
  </si>
  <si>
    <t>Current Lakeflow Jobs docs describe manual runs, time-based schedules, file-arrival triggers, and continuous runs. The options here omit a clean current list.</t>
  </si>
  <si>
    <t>S83</t>
  </si>
  <si>
    <t>Limiting the amount of data each visualization must render is the most direct way to speed up a slow dashboard caused by oversized query results.</t>
  </si>
  <si>
    <t>In Databricks permissions, `MODIFY` is the privilege that covers deleting rows. Workbook key B is incorrect.</t>
  </si>
  <si>
    <t>`ALTER TABLE table_name OWNER TO group_name` is the correct ownership-transfer syntax for a table.</t>
  </si>
  <si>
    <t>Databricks SQL queries are scheduled from the query page, so a daily refresh should be configured there.</t>
  </si>
  <si>
    <t>VACUUM permanently removes old files, which is why time travel can fail when trying to access an older table version.</t>
  </si>
  <si>
    <t>A production continuous pipeline keeps running and updating until you stop it, and compute is released when stopped.</t>
  </si>
  <si>
    <t>For a single metric like duplicate-count, a custom alert template should use `QUERY_RESULT_VALUE`.</t>
  </si>
  <si>
    <t>Current Databricks docs say a job cluster cannot be restarted, which makes every listed statement true. This question does not have a clean incorrect option.</t>
  </si>
  <si>
    <t>turn2search9</t>
  </si>
  <si>
    <t>Current Git folders support both creating branches and merging branches in the Databricks UI, so this question no longer has a single clean answer.</t>
  </si>
  <si>
    <t>S85</t>
  </si>
  <si>
    <t>An external Delta table on an existing location is created with `CREATE TABLE inventory USING DELTA LOCATION ...`.</t>
  </si>
  <si>
    <t>Autoscaling always respects the minimum worker count, so the supposed incorrect statement is actually true. This item appears malformed.</t>
  </si>
  <si>
    <t>turn2search4</t>
  </si>
  <si>
    <t>A permanent view can be defined with `CREATE VIEW ... AS SELECT ... FROM csv.`path``.</t>
  </si>
  <si>
    <t>S80</t>
  </si>
  <si>
    <t>The retention window is configured with `delta.deletedFileRetentionDuration` in table properties.</t>
  </si>
  <si>
    <t>FROM_JSON requires both the JSON value and a schema to parse a string into a struct.</t>
  </si>
  <si>
    <t>The list of active streams is available as `spark.streams.active`.</t>
  </si>
  <si>
    <t>Git folders support collaborative development, and the UI lets you stage selected changes and add commit messages/comments. Those are valid reasons to prefer Git folders over notebook-only Git integration.</t>
  </si>
  <si>
    <t>Dynamic view functions are the pattern Databricks uses for row-level or column-masking logic based on the querying user.</t>
  </si>
  <si>
    <t>Because Kevin owns both the view and the underlying table, he can grant access to the view without requiring extra admin privileges.</t>
  </si>
  <si>
    <t>This is a recommendation-style compute question with no clean Databricks primary-source rule matching the options. It should not be treated as a definitive single-answer exam item.</t>
  </si>
  <si>
    <t>When queries consistently filter on both columns together, liquid clustering on both keys is the strongest clustering strategy.</t>
  </si>
  <si>
    <t>`cloudFiles.schemaEvolutionMode = failOnNewColumn` makes Auto Loader stop when new columns appear.</t>
  </si>
  <si>
    <t>turn5search6</t>
  </si>
  <si>
    <t>For lightweight batch ETL on a temporary workload, a job cluster with spot instances is the most cost-efficient choice among the options given.</t>
  </si>
  <si>
    <t>Databricks Connect supports local development from standard Python IDEs against remote Databricks compute, provided the environment is compatible.</t>
  </si>
  <si>
    <t>A gradual migration should start with lower-risk dashboards and ad-hoc analytics so the team can validate cost and performance before moving critical workloads.</t>
  </si>
  <si>
    <t>Job clusters are ephemeral and well-suited to scheduled ETL because they start for the run and terminate automatically afterward.</t>
  </si>
  <si>
    <t>Databricks documents a 30 MB maximum notebook output size for job clusters.</t>
  </si>
  <si>
    <t>S84</t>
  </si>
  <si>
    <t>`GRANT ALL PRIVILEGES ON TABLE transactions TO alex.smith@dataco.com;` is the correct full-access grant syntax.</t>
  </si>
  <si>
    <t>Dropping a managed Delta table deletes both the metadata and the managed data files.</t>
  </si>
  <si>
    <t>Databricks SQL supports `COUNT(DISTINCT *)`, which counts distinct rows. All four rows shown are distinct, so workbook key `C` is incorrect.</t>
  </si>
  <si>
    <t>Pull request and review process is the Git-provider-only operation; the workbook key is correct even though the stored explanation text was mismatched.</t>
  </si>
  <si>
    <t>Read CSV files</t>
  </si>
  <si>
    <t>https://docs.databricks.com/gcp/en/query/formats/csv</t>
  </si>
  <si>
    <t>DESCRIBE SCHEMA</t>
  </si>
  <si>
    <t>https://docs.databricks.com/gcp/en/sql/language-manual/sql-ref-syntax-aux-describe-schema</t>
  </si>
  <si>
    <t>Trigger jobs when new files arrive</t>
  </si>
  <si>
    <t>https://docs.databricks.com/gcp/en/jobs/file-arrival-triggers</t>
  </si>
  <si>
    <t>Known limitations Databricks notebooks</t>
  </si>
  <si>
    <t>https://docs.databricks.com/aws/en/notebooks/notebook-limitations</t>
  </si>
  <si>
    <t>Create and manage Git folders</t>
  </si>
  <si>
    <t>https://docs.databricks.com/en/repos/git-operations-with-repos.html</t>
  </si>
  <si>
    <t>Higher-order functions</t>
  </si>
  <si>
    <t>https://docs.databricks.com/gcp/en/semi-structured/higher-order-functions</t>
  </si>
  <si>
    <t>count aggregate function</t>
  </si>
  <si>
    <t>https://docs.databricks.com/aws/en/sql/language-manual/functions/count</t>
  </si>
  <si>
    <t>`ON VIOLATION DROP ROW` excludes only the rows that fail the expectation and lets the pipeline continue processing valid records.</t>
  </si>
  <si>
    <t>Development mode keeps pipeline compute warm for faster iteration, while production mode shuts compute down after the update and adds retries for transient failures.</t>
  </si>
  <si>
    <t>Predictive optimization is Databricks' recommended way to simplify layout decisions and improve managed-table query performance in Unity Catalog.</t>
  </si>
  <si>
    <t>S106</t>
  </si>
  <si>
    <t>Databricks Asset Bundles are the Databricks-native way to define and deploy jobs, pipelines, and other resources across environments.</t>
  </si>
  <si>
    <t>S88</t>
  </si>
  <si>
    <t>Auto Loader persists discovered-file state in a RocksDB key-value store under the checkpoint location to preserve exactly-once processing.</t>
  </si>
  <si>
    <t>`CREATE TABLE` is a DDL statement because it defines a new database object.</t>
  </si>
  <si>
    <t>Lakeflow/Delta Live Tables uses expectations to enforce data quality constraints on incoming records.</t>
  </si>
  <si>
    <t>This is a multi-select question: for managed tables both A and D are true. The workbook currently stores only a single letter, so the item needs manual cleanup.</t>
  </si>
  <si>
    <t>S92</t>
  </si>
  <si>
    <t>The privilege is scoped to the schema `finance.reporting`; among the choices, option B is the only command that correctly targets the schema for revoking table-creation rights.</t>
  </si>
  <si>
    <t>Unity Catalog provides governance features like access control, discovery, and lineage, but not streaming execution itself.</t>
  </si>
  <si>
    <t>Databricks audit log reference documents lineage events under the `lineageTracking` service name.</t>
  </si>
  <si>
    <t>S93</t>
  </si>
  <si>
    <t>To share only specific columns, create a view exposing just those columns and share the view instead of the base table.</t>
  </si>
  <si>
    <t>S96</t>
  </si>
  <si>
    <t>Least-privilege grants at the narrowest required level are the recommended Unity Catalog access strategy.</t>
  </si>
  <si>
    <t>Delta Sharing integrates governed sharing with Unity Catalog permissions and auditing, which is the governance benefit the question is asking for.</t>
  </si>
  <si>
    <t>Databricks-to-Databricks sharing removes the need to manage bearer tokens because access is handled through Databricks identities and sharing identifiers.</t>
  </si>
  <si>
    <t>Deleting a recipient immediately removes that recipient's ability to access shared data.</t>
  </si>
  <si>
    <t>S103</t>
  </si>
  <si>
    <t>A major Auto Loader advantage over plain file ingestion is its cloud-native scalability for very large file volumes.</t>
  </si>
  <si>
    <t>`databricks bundle generate` is the CLI command used to generate YAML bundle configuration for existing resources.</t>
  </si>
  <si>
    <t>S89</t>
  </si>
  <si>
    <t>Repair runs are for multi-task jobs; for a single-task workflow, the correct recovery is to start a new run with `Run Now`.</t>
  </si>
  <si>
    <t>S90</t>
  </si>
  <si>
    <t>Databricks recommends increasing memory available on instances when you observe significant spill to disk or OOM behavior. Autoscaling changes worker count but does not directly fix per-node memory pressure.</t>
  </si>
  <si>
    <t>S91</t>
  </si>
  <si>
    <t>Bundle configuration is expressed in YAML, with `databricks.yml` as the required root configuration file.</t>
  </si>
  <si>
    <t>Setting `cloudFiles.includeExistingFiles` to `false` makes Auto Loader ingest only files that arrive after the stream starts.</t>
  </si>
  <si>
    <t>Databricks notebooks include a Python debugger, so setting breakpoints and inspecting variables is the most effective built-in debugging path here.</t>
  </si>
  <si>
    <t>The gold layer is where business-facing dimensional models such as star schemas are typically published for analytics.</t>
  </si>
  <si>
    <t>The silver layer is where data is cleansed, validated, and refined before downstream consumption.</t>
  </si>
  <si>
    <t>For complex ETL with joins and aggregations, Databricks recommends fewer, larger nodes and more instance memory when you see spill or OOM issues.</t>
  </si>
  <si>
    <t>Auto Loader supports automatic schema inference and schema evolution, which is a key ingestion advantage in streaming ETL.</t>
  </si>
  <si>
    <t>Grouping by `customer_id` and averaging `amount` is the correct aggregation pattern for average revenue per customer.</t>
  </si>
  <si>
    <t>For provider-side external sharing, the data must live in a Unity Catalog-enabled metastore and Delta Sharing must be enabled on that metastore by an account admin.</t>
  </si>
  <si>
    <t>S95</t>
  </si>
  <si>
    <t>For recipients that do not use Databricks, the correct protocol is Databricks open sharing.</t>
  </si>
  <si>
    <t>If both sides use Unity Catalog-enabled Databricks workspaces, Databricks-to-Databricks sharing is the right method.</t>
  </si>
  <si>
    <t>Delta Sharing is the cost-effective governed option because it shares live data without copying it across clouds.</t>
  </si>
  <si>
    <t>Lakehouse Federation for Oracle is set up by creating a connection and then a foreign catalog in Unity Catalog.</t>
  </si>
  <si>
    <t>S98</t>
  </si>
  <si>
    <t>Foreign-catalog objects with names that violate Unity Catalog naming rules are ignored during import.</t>
  </si>
  <si>
    <t>S97</t>
  </si>
  <si>
    <t>Notebook languages run in separate REPL contexts, so Python variables are not directly visible inside `%sql` cells without a bridging mechanism such as widgets or SQL results.</t>
  </si>
  <si>
    <t>Auto Loader is the Databricks feature built for scalable, incremental, idempotent file ingestion from cloud object storage.</t>
  </si>
  <si>
    <t>Using GitHub Actions with the Databricks CLI and an Asset Bundle is the repeatable CI/CD pattern Databricks recommends for production promotion.</t>
  </si>
  <si>
    <t>Unity Catalog with Delta Sharing is the native secure way to share selected Delta assets with external partners.</t>
  </si>
  <si>
    <t>Databricks audit logs are delivered in JSON format by default.</t>
  </si>
  <si>
    <t>S94</t>
  </si>
  <si>
    <t>Unity Catalog lineage is the native dependency-tracing feature for upstream and downstream tables, notebooks, jobs, and pipelines within its supported lineage window.</t>
  </si>
  <si>
    <t>S104</t>
  </si>
  <si>
    <t>Databricks notebooks support mixed languages in one notebook via magics such as `%r`.</t>
  </si>
  <si>
    <t>Auto Loader is the feature specifically designed to process new files as they land in cloud storage.</t>
  </si>
  <si>
    <t>Streaming reads with Auto Loader must use `spark.readStream`, not `spark.read`.</t>
  </si>
  <si>
    <t>Query federation is built for querying external systems in place with minimal data movement.</t>
  </si>
  <si>
    <t>For image ingestion, Databricks recommends `binaryFile`; combining it with `pathGlobFilter` is the right way to limit ingestion to PNG files.</t>
  </si>
  <si>
    <t>`groupBy("region").agg(sum("sales"))` is the correct grouped aggregation pattern for total sales by region.</t>
  </si>
  <si>
    <t>Databricks now recommends liquid clustering for managed tables, especially when selective filters still need better skipping on clustering keys.</t>
  </si>
  <si>
    <t>S99,S106</t>
  </si>
  <si>
    <t>Gold tables are typically denormalized, business-ready, and optimized for analytics and reporting.</t>
  </si>
  <si>
    <t>For a multi-task workflow, Repair reruns only the failed and skipped tasks, preserving successful upstream work.</t>
  </si>
  <si>
    <t>Lakeflow/Delta Live Tables supports CDC flows, expectations for data quality, and both batch and streaming pipelines. Workbook key C describes manual ETL behavior and is incorrect.</t>
  </si>
  <si>
    <t>S100,S15</t>
  </si>
  <si>
    <t>What are Declarative Automation Bundles?</t>
  </si>
  <si>
    <t>https://docs.databricks.com/aws/en/dev-tools/bundles/</t>
  </si>
  <si>
    <t>`bundle` command group</t>
  </si>
  <si>
    <t>https://docs.databricks.com/aws/pt/dev-tools/cli/bundle-commands</t>
  </si>
  <si>
    <t>Compute configuration recommendations</t>
  </si>
  <si>
    <t>https://docs.databricks.com/aws/en/compute/cluster-config-best-practices</t>
  </si>
  <si>
    <t>Databricks Unity Catalog table types</t>
  </si>
  <si>
    <t>https://docs.databricks.com/aws/en/tables/delta-table</t>
  </si>
  <si>
    <t>Audit log reference</t>
  </si>
  <si>
    <t>https://docs.databricks.com/gcp/en/data-governance/unity-catalog/audit</t>
  </si>
  <si>
    <t>Step 4: Create the log delivery configuration</t>
  </si>
  <si>
    <t>https://docs.databricks.com/aws/en/admin/account-settings-e2/audit-aws-call-api</t>
  </si>
  <si>
    <t>Create and manage shares for Delta Sharing</t>
  </si>
  <si>
    <t>https://docs.databricks.com/aws/en/delta-sharing/create-share</t>
  </si>
  <si>
    <t>What is Delta Sharing?</t>
  </si>
  <si>
    <t>https://docs.databricks.com/aws/en/delta-sharing/</t>
  </si>
  <si>
    <t>What is query federation?</t>
  </si>
  <si>
    <t>https://docs.databricks.com/aws/en/query-federation/database-federation</t>
  </si>
  <si>
    <t>Run federated queries on Oracle</t>
  </si>
  <si>
    <t>https://docs.databricks.com/aws/en/query-federation/oracle</t>
  </si>
  <si>
    <t>S99</t>
  </si>
  <si>
    <t>CLUSTER BY clause (TABLE)</t>
  </si>
  <si>
    <t>https://docs.databricks.com/gcp/ja/sql/language-manual/sql-ref-syntax-ddl-cluster-by</t>
  </si>
  <si>
    <t>S100</t>
  </si>
  <si>
    <t>Lakeflow Declarative Pipelines concepts</t>
  </si>
  <si>
    <t>https://docs.databricks.com/gcp/en/dlt/concepts</t>
  </si>
  <si>
    <t>Create and manage data recipients for Delta Sharing (Databricks-to-Databricks sharing)</t>
  </si>
  <si>
    <t>https://docs.databricks.com/gcp/pt/delta-sharing/create-recipient</t>
  </si>
  <si>
    <t>View data lineage using Unity Catalog</t>
  </si>
  <si>
    <t>https://docs.databricks.com/aws/en/data-governance/unity-catalog/data-lineage</t>
  </si>
  <si>
    <t>Predictive optimization for Unity Catalog managed tables</t>
  </si>
  <si>
    <t>https://docs.databricks.com/aws/pt/optimizations/predictive-optimization</t>
  </si>
  <si>
    <t>In development mode with continuous pipeline mode, the pipeline keeps processing until stopped, and development compute stays available for iteration after stopping.</t>
  </si>
  <si>
    <t>For Databricks-to-Databricks sharing, the provider first requests the recipient sharing identifier associated with the recipient metastore/workspace; option B is the closest match in the choices.</t>
  </si>
  <si>
    <t>The bronze layer is where you keep the raw append-only history from sources such as Kafka while preserving low-cost storage.</t>
  </si>
  <si>
    <t>Auto Loader supports incremental ingestion with schema evolution and is commonly used in both streaming and batch-like ingestion patterns.</t>
  </si>
  <si>
    <t>`OutOfMemoryError: Java heap space` points to insufficient memory, so the right fix is to use larger-memory worker instances or more memory per node.</t>
  </si>
  <si>
    <t>Gold data is typically denormalized and read-optimized for downstream analytics and BI workloads.</t>
  </si>
  <si>
    <t>For Spark jobs, the most practical way to inspect changing input types is to log or print schema and datatype information before the failing function runs.</t>
  </si>
  <si>
    <t>`groupBy("region").agg(...)` is the correct grouped aggregation pattern for total, average, and count per region.</t>
  </si>
  <si>
    <t>Both `spark.read.format("json").load(...)` and `spark.read.json(...)` are valid here, so the question has more than one correct option.</t>
  </si>
  <si>
    <t>Unity Catalog lineage supports dependency analysis across tables, columns, notebooks, jobs, queries, and dashboards through Catalog Explorer and lineage system tables.</t>
  </si>
  <si>
    <t>For high-cardinality filters like `customer_id`, liquid clustering on the filter columns is the recommended modern layout improvement over date partitioning alone.</t>
  </si>
  <si>
    <t>For external non-Databricks recipients, OIDC federation with short-lived OAuth tokens is the current best-practice authentication pattern.</t>
  </si>
  <si>
    <t>S108</t>
  </si>
  <si>
    <t>Photon is Databricks' optimized execution engine for accelerating joins, aggregations, and other heavy SQL/DataFrame workloads.</t>
  </si>
  <si>
    <t>Read-only access in Unity Catalog requires `USE CATALOG`, `USE SCHEMA`, and `SELECT` on the tables or views being queried.</t>
  </si>
  <si>
    <t>The intended least-privilege grants are `USE CATALOG`, `USE SCHEMA`, and `MODIFY`, but the answer option is malformed because the table name is missing after `manufacturing.quality.`</t>
  </si>
  <si>
    <t>External consumers should get read-only Delta Sharing access, while internal users should be granted direct Unity Catalog permissions for read/write access.</t>
  </si>
  <si>
    <t>The stem says to grant full permissions on the database, but the choices only discuss the table `sales`, so the question is internally inconsistent.</t>
  </si>
  <si>
    <t>The correct distinction is that a LIVE TABLE behaves like a materialized batch-style dataset, while a STREAMING TABLE processes only new or changed data incrementally. Workbook key A is incorrect.</t>
  </si>
  <si>
    <t>Bronze keeps data close to the source with minimal transformations and is typically stored in Delta format.</t>
  </si>
  <si>
    <t>`groupBy("department").avg("salary")` is the standard PySpark aggregation for average salary by department.</t>
  </si>
  <si>
    <t>Grouping by `Store` and aggregating with `sum`, `max`, and `count` returns the requested per-store totals, maxima, and row counts.</t>
  </si>
  <si>
    <t>`OPTIMIZE ... ZORDER BY (...)` both compacts small files and improves data skipping for the common filter columns.</t>
  </si>
  <si>
    <t>S51,S79</t>
  </si>
  <si>
    <t>A Python DataFrame can be registered as a temporary view and then queried from a `%sql` cell or with `spark.sql(...)`.</t>
  </si>
  <si>
    <t>`COPY INTO` is the Databricks-native way to load files from cloud storage such as S3 directly into a Delta table.</t>
  </si>
  <si>
    <t>`_delta_log` stores the Delta transaction log, which maintains version history and ACID metadata for the table.</t>
  </si>
  <si>
    <t>`try_to_timestamp` safely returns `NULL` on malformed input, making it the correct null-safe conversion function among the options.</t>
  </si>
  <si>
    <t>S110</t>
  </si>
  <si>
    <t>In triggered mode the pipeline runs once and stops, and in development mode the compute remains available afterward for testing.</t>
  </si>
  <si>
    <t>Delta Sharing is designed for secure cross-cloud data sharing without copying or replicating the data.</t>
  </si>
  <si>
    <t>The Kafka source must be read with `spark.readStream.format("kafka")`, `kafka.bootstrap.servers`, and `subscribe`, which is exactly what option C does.</t>
  </si>
  <si>
    <t>Databricks recommends Z-ordering on columns that are commonly filtered and have high cardinality. Statistics are required too, but high cardinality is the column attribute that makes Z-ordering beneficial here.</t>
  </si>
  <si>
    <t>`ON VIOLATION FAIL UPDATE` stops the pipeline update when a row fails the expectation.</t>
  </si>
  <si>
    <t>Databricks-to-Databricks sharing requires the recipient to use a Unity Catalog-enabled workspace.</t>
  </si>
  <si>
    <t>Lineage can reduce sharing-related waste by helping teams identify stale or unused assets before they keep distributing or maintaining them.</t>
  </si>
  <si>
    <t>Federated queries depend on the source system, so throttling can come from the external MySQL server hitting connection or concurrency limits.</t>
  </si>
  <si>
    <t>Delta Lake is Databricks' ACID transaction layer for reliable table storage.</t>
  </si>
  <si>
    <t>`format("cloudFiles")` is already the correct way to enable Auto Loader for this ingestion pattern.</t>
  </si>
  <si>
    <t>If the failure is due to insufficient compute resources, increase the task compute and then repair the failed run instead of rerunning everything unchanged.</t>
  </si>
  <si>
    <t>S90,S91</t>
  </si>
  <si>
    <t>`ON VIOLATION DROP ROW` discards records that fail the expectation before they are written to the target table.</t>
  </si>
  <si>
    <t>Without `cloudFiles.inferColumnTypes=true`, Auto Loader often infers JSON fields as strings by default during schema inference.</t>
  </si>
  <si>
    <t>`groupBy("product").agg(sum(...), avg(...))` correctly returns both total and average sales per product.</t>
  </si>
  <si>
    <t>Databricks notebooks support multiple languages in one notebook, but each cell runs in only one language.</t>
  </si>
  <si>
    <t>Auto Loader supports streaming ingestion and batch-like ingestion patterns through optimized file-discovery APIs.</t>
  </si>
  <si>
    <t>The correct syntax is `COMMENT ON TABLE table_name IS ...`; no answer choice includes a valid complete statement.</t>
  </si>
  <si>
    <t>S109</t>
  </si>
  <si>
    <t>Current Databricks materialized views can refresh incrementally when possible, so option B is too absolute and no choice cleanly matches current behavior.</t>
  </si>
  <si>
    <t>S111</t>
  </si>
  <si>
    <t>All-purpose compute is shared and interactive, while job clusters are ephemeral and scoped to individual job runs.</t>
  </si>
  <si>
    <t>For third parties that do not use Databricks, use open Delta Sharing with bearer-token or OIDC-based recipient authentication rather than Databricks-to-Databricks sharing.</t>
  </si>
  <si>
    <t>S96,S108</t>
  </si>
  <si>
    <t>`GRANT ALL PRIVILEGES ON TABLE ... TO ...` is the correct Unity Catalog grant syntax for full table privileges.</t>
  </si>
  <si>
    <t>The intended UI is current Catalog Explorer, not the old Data Explorer name used in the option text.</t>
  </si>
  <si>
    <t>With no violation action specified, the default expectation policy is `warn`: invalid rows are still written and quality metrics are logged.</t>
  </si>
  <si>
    <t>Open Delta Sharing lets you share Delta assets securely with recipients even if they do not use Databricks.</t>
  </si>
  <si>
    <t>Authenticate to Delta Sharing shares using Open ID Connect (OIDC) federation</t>
  </si>
  <si>
    <t>https://docs.databricks.com/aws/ja/delta-sharing/create-recipient-oidc-fed</t>
  </si>
  <si>
    <t>COMMENT ON</t>
  </si>
  <si>
    <t>https://docs.databricks.com/aws/en/sql/language-manual/sql-ref-syntax-ddl-comment</t>
  </si>
  <si>
    <t>try_to_timestamp</t>
  </si>
  <si>
    <t>https://docs.databricks.com/aws/en/sql/language-manual/functions/try_to_timestamp</t>
  </si>
  <si>
    <t>Incremental refresh for materialized views</t>
  </si>
  <si>
    <t>https://docs.databricks.com/aws/en/optimizations/incremental-refresh</t>
  </si>
  <si>
    <t>Open Delta Sharing supports bearer-token-based access and OIDC federation for recipients outside Databricks workspaces.</t>
  </si>
  <si>
    <t>For a non-Databricks partner using compatible BI tooling, open Delta Sharing with bearer-token or OIDC-based access is the right approach.</t>
  </si>
  <si>
    <t>Least-privilege table creation in a schema requires `USE CATALOG`, `USE SCHEMA`, and `CREATE TABLE` on that schema.</t>
  </si>
  <si>
    <t>For a failing Python UDF after schema drift, the best debugging path is checking driver and executor logs to see the runtime type errors.</t>
  </si>
  <si>
    <t>Classic, Pro, and Serverless SQL warehouses each match the capabilities described, so `All of the above` is the best answer here.</t>
  </si>
  <si>
    <t>Granting `SELECT` only on the specific external tables in Unity Catalog is the least-privilege governed access model.</t>
  </si>
  <si>
    <t>The question asks for access to existing and future tables, but the listed grant only covers existing tables. Current Unity Catalog docs use `USE CATALOG`, `USE SCHEMA`, and inherited `SELECT` on the schema for current and future tables.</t>
  </si>
  <si>
    <t>For a small dataset with too many shuffle tasks, reducing `spark.sql.shuffle.partitions` is the most direct fix for excess shuffle overhead.</t>
  </si>
  <si>
    <t>If stages are CPU-bound, the next step is usually stronger compute or code optimization rather than changing concurrency settings.</t>
  </si>
  <si>
    <t>Bundles are defined in YAML, but the required root file is `databricks.yml`, not `bundle.yml`, so the option text needs cleanup.</t>
  </si>
  <si>
    <t>S112</t>
  </si>
  <si>
    <t>The SQL warehouse setting that automatically shuts idle compute down is `Auto-Stop`.</t>
  </si>
  <si>
    <t>The push is rejected because the remote branch has newer commits; the engineer must pull and merge before pushing.</t>
  </si>
  <si>
    <t>`INSERT OVERWRITE TABLE ... SELECT ...` replaces the table rows while keeping the existing table object and metadata.</t>
  </si>
  <si>
    <t>`transform` applies an expression to each array element and returns the array structure unchanged.</t>
  </si>
  <si>
    <t>Repos support CI/CD by syncing Databricks code with Git repositories so external CI/CD systems can validate and deploy changes.</t>
  </si>
  <si>
    <t>`databricks bundle validate` is the CLI command for catching syntax and configuration issues before deployment.</t>
  </si>
  <si>
    <t>Task-level notifications are the correct way to alert only on failure of the final audit-log task.</t>
  </si>
  <si>
    <t>S18,S26</t>
  </si>
  <si>
    <t>`spark.sql(...)` is the correct PySpark entry point for running SQL against a temporary view and returning a DataFrame.</t>
  </si>
  <si>
    <t>If a branch is behind the remote, the fix is to pull the latest remote changes, merge, and then push again.</t>
  </si>
  <si>
    <t>A temporary view exists only for the current Spark session and disappears when the notebook is detached, matching the requirement exactly.</t>
  </si>
  <si>
    <t>Both `COUNT(*) ... WHERE return_reason IS NULL` and `COUNT_IF(return_reason IS NULL)` correctly count null-valued rows.</t>
  </si>
  <si>
    <t>Databricks keeps platform services in the control plane while customer data processing and storage stay in the customer-managed data plane.</t>
  </si>
  <si>
    <t>This is the standard medallion flow: raw ingestion in bronze, cleansing and standardization in silver, and business metrics in gold.</t>
  </si>
  <si>
    <t>Both `JOIN` and `INNER JOIN` forms correctly return only sales tied to products in the `Electronics` category.</t>
  </si>
  <si>
    <t>`flatten` is the Spark SQL function that turns an array of arrays into a single flat array.</t>
  </si>
  <si>
    <t>S116</t>
  </si>
  <si>
    <t>Notebook version history supports snapshots and restore, but it does not provide full Git workflows like branching, pull requests, and commit history.</t>
  </si>
  <si>
    <t>S118,S85</t>
  </si>
  <si>
    <t>The commands that expose table storage location are `DESCRIBE DETAIL` and `DESCRIBE EXTENDED`. Plain `DESCRIBE TABLE` does not reliably provide the physical storage path.</t>
  </si>
  <si>
    <t>S117,S58</t>
  </si>
  <si>
    <t>With no explicit violation action, the default expectation behavior is `warn`: rows are written and violations are recorded in metrics.</t>
  </si>
  <si>
    <t>Databricks Asset Bundles are the Databricks-native declarative way to manage consistent job and resource definitions across environments.</t>
  </si>
  <si>
    <t>Catalog Explorer is the visual Unity Catalog interface for browsing catalogs, schemas, tables, comments, tags, and metadata.</t>
  </si>
  <si>
    <t>Query federation pushes queries down to the external database, while catalog federation accesses data from external catalogs and executes on Databricks compute.</t>
  </si>
  <si>
    <t>`input_file_name()` returns the source file path for each ingested row, which is exactly what the lineage-style traceability requirement needs.</t>
  </si>
  <si>
    <t>Spark SQL reads JSON files directly from a path using the `json.` path syntax.</t>
  </si>
  <si>
    <t>S119</t>
  </si>
  <si>
    <t>Databricks SQL dashboards and ad hoc SQL queries run on a SQL Warehouse.</t>
  </si>
  <si>
    <t>A job cluster is ephemeral compute that starts for the job task and terminates when the run completes.</t>
  </si>
  <si>
    <t>`explode` turns each array element into its own row, duplicating the remaining columns as needed.</t>
  </si>
  <si>
    <t>The intended answer is the job's runs history view, but the option lettering is malformed because the stem includes an extra `A.` line before the real choices.</t>
  </si>
  <si>
    <t>When a single complex query is slow, scaling up the SQL warehouse size is more appropriate than adding concurrency-oriented scaling.</t>
  </si>
  <si>
    <t>`CREATE OR REPLACE FUNCTION ... RETURN ...` with `INITCAP` is the valid SQL UDF definition among the options shown.</t>
  </si>
  <si>
    <t>All-purpose clusters are interactive and persistent, while job clusters are created per run and terminate after completion.</t>
  </si>
  <si>
    <t>Language-specific magic commands such as `%python`, `%sql`, and `%scala` enable multi-language notebooks in Databricks.</t>
  </si>
  <si>
    <t>`ALTER TABLE ... ADD CONSTRAINT ... CHECK (...)` is the correct Delta Lake syntax for adding a check constraint.</t>
  </si>
  <si>
    <t>Managed tables are best when you want Databricks to manage the data lifecycle, optimization, and cleanup with the table.</t>
  </si>
  <si>
    <t>For auditing the total rows written by a `MERGE`, `numOutputRows` is the aggregate operation metric to inspect.</t>
  </si>
  <si>
    <t>With open sharing plus OIDC, the recipient must integrate and manage their own external authentication flow for obtaining short-lived access tokens.</t>
  </si>
  <si>
    <t>Unity Catalog audit logs are the right governance surface for tracking access to shared Delta assets.</t>
  </si>
  <si>
    <t>The Spark JDBC reader uses `.format("jdbc")` for JDBC sources such as SQLite.</t>
  </si>
  <si>
    <t>Alerts in Databricks SQL notify users when the result of a scheduled query meets a configured condition.</t>
  </si>
  <si>
    <t>The correct Bronze-to-Silver streaming code is the `readStream -&gt; filter -&gt; select -&gt; writeStream` option, but the answer letters are shifted because the stem accidentally occupies option A.</t>
  </si>
  <si>
    <t>ACID transactions guarantee atomic commits and consistent behavior during concurrent reads and writes.</t>
  </si>
  <si>
    <t>Develop a job with Databricks Asset Bundles</t>
  </si>
  <si>
    <t>https://docs.databricks.com/aws/en/dev-tools/bundles/jobs-tutorial</t>
  </si>
  <si>
    <t>Table-valued function (TVF) invocation</t>
  </si>
  <si>
    <t>https://docs.databricks.com/aws/en/sql/language-manual/sql-ref-syntax-qry-select-tvf</t>
  </si>
  <si>
    <t>S117</t>
  </si>
  <si>
    <t>https://docs.databricks.com/gcp/en/sql/language-manual/sql-ref-syntax-aux-describe-table</t>
  </si>
  <si>
    <t>S118</t>
  </si>
  <si>
    <t>Basic editing in Databricks notebooks</t>
  </si>
  <si>
    <t>https://docs.databricks.com/aws/en/notebooks/basic-editing</t>
  </si>
  <si>
    <t>Query data directly from files</t>
  </si>
  <si>
    <t>https://docs.databricks.com/aws/en/query/formats/json</t>
  </si>
  <si>
    <t>A shared cluster using Databricks Runtime for Machine Learning gives the team a consistent runtime plus preinstalled ML libraries such as MLflow and scikit-learn.</t>
  </si>
  <si>
    <t>S120</t>
  </si>
  <si>
    <t>Delta Sharing is read-only for recipients; it is designed for governed data access, not write access back to the provider.</t>
  </si>
  <si>
    <t>Triggered mode is the right fit when new data arrives only every few hours and the goal is reliable processing with lower idle compute cost.</t>
  </si>
  <si>
    <t>For a Tableau user without a Databricks workspace, the correct sharing model is the open Delta Sharing protocol.</t>
  </si>
  <si>
    <t>A lakehouse combines data-lake flexibility with warehouse-style reliability and governance, including ACID transactions and support for diverse data types.</t>
  </si>
  <si>
    <t>`RESTORE` reverts a Delta table to a prior version while preserving data history instead of deleting data.</t>
  </si>
  <si>
    <t>The Databricks function for inferring a schema from a JSON string is `schema_of_json()`. Workbook key D is incorrect.</t>
  </si>
  <si>
    <t>S123</t>
  </si>
  <si>
    <t>`OPTIMIZE` is the Delta Lake command used to compact many small files into fewer larger files for better read performance.</t>
  </si>
  <si>
    <t>`%run /Shared/Includes/config` is the standard notebook-development pattern for reusing shared setup code across notebooks.</t>
  </si>
  <si>
    <t>Automatic retries for intermittent failures are configured at the task level in Databricks Jobs.</t>
  </si>
  <si>
    <t>Databricks Connect lets developers keep using PyCharm or VS Code locally while executing Spark code on Databricks compute.</t>
  </si>
  <si>
    <t>Databricks Jobs provide scheduling, orchestration, and notifications for a daily ETL process like this.</t>
  </si>
  <si>
    <t>S19,S26</t>
  </si>
  <si>
    <t>Databricks recommends one Unity Catalog metastore per region so workspaces use a regional metastore and avoid unnecessary cross-region access costs.</t>
  </si>
  <si>
    <t>S121</t>
  </si>
  <si>
    <t>`readStream.format("cloudFiles")` with `cloudFiles.format` indicates Auto Loader is being used for streaming file ingestion.</t>
  </si>
  <si>
    <t>`transform_values` updates each map value while preserving the original keys, which matches the VAT use case exactly.</t>
  </si>
  <si>
    <t>To query a table, users need `USE CATALOG` on the parent catalog in addition to `USE SCHEMA` and `SELECT`.</t>
  </si>
  <si>
    <t>A `CREATE TABLE` statement without a `LOCATION` clause creates a managed table by default.</t>
  </si>
  <si>
    <t>Cluster-level environment-variable changes from init scripts take effect only after the cluster is restarted.</t>
  </si>
  <si>
    <t>`Trigger.ProcessingTime("1 minute")` is the correct micro-batch trigger for processing new data every 60 seconds.</t>
  </si>
  <si>
    <t>With Databricks Connect, Spark execution happens on the cluster while ordinary Python code such as list comprehensions runs locally in the IDE.</t>
  </si>
  <si>
    <t>`PIVOT` is the SQL clause for restructuring long-format rows into wide-format columns like months across each region.</t>
  </si>
  <si>
    <t>For JSON and similar formats without embedded types, Auto Loader infers fields as strings by default unless column type inference is enabled.</t>
  </si>
  <si>
    <t>`transform_values` is the higher-order function built for transforming values in a map while keeping the keys unchanged.</t>
  </si>
  <si>
    <t>Cross-cloud and cross-region Delta Sharing can incur storage-vendor egress fees, even though the data is not replicated.</t>
  </si>
  <si>
    <t>S124</t>
  </si>
  <si>
    <t>Databricks Connect is the feature that supports local IDE workflows with centralized Databricks Spark execution.</t>
  </si>
  <si>
    <t>Auto Loader is designed for incrementally ingesting new files that land in cloud storage, typically into a bronze table.</t>
  </si>
  <si>
    <t>The medallion architecture organizes data into progressively refined layers so it becomes more trustworthy and analytics-ready over time.</t>
  </si>
  <si>
    <t>In a multi-task job, you configure Task C to depend directly on both Task A and Task B so it runs only after both succeed.</t>
  </si>
  <si>
    <t>Databricks Asset Bundles use YAML configuration, with `databricks.yml` as the required entry-point file.</t>
  </si>
  <si>
    <t>For gold-layer aggregates that should refresh automatically but do not need streaming latency, a materialized view is the best fit.</t>
  </si>
  <si>
    <t>A job-level success notification sends one alert after all parallel tasks complete, without adding extra tasks.</t>
  </si>
  <si>
    <t>Z-Ordering groups related values together on disk so filtered queries can skip more irrelevant data and read less.</t>
  </si>
  <si>
    <t>Repos enable Git branch workflows and pair naturally with external CI/CD systems for testing and deployment after merge.</t>
  </si>
  <si>
    <t>The `_delta_log` directory stores Delta Lake transaction metadata such as versions, file actions, and commit history.</t>
  </si>
  <si>
    <t>A `LEFT JOIN` from `sales` to `products` keeps every sales row and fills missing product names with `NULL`.</t>
  </si>
  <si>
    <t>Lakehouse Federation is the right choice when analysts need ad hoc access to operational data in SQL Server without copying it first.</t>
  </si>
  <si>
    <t>The most likely explanation is cluster auto-termination after inactivity on the all-purpose cluster.</t>
  </si>
  <si>
    <t>A global temporary view is shared across notebooks on the same cluster and disappears when the cluster terminates.</t>
  </si>
  <si>
    <t>`ON VIOLATION DROP ROW` drops bad records, keeps the pipeline running, and still records the dropped-row metrics.</t>
  </si>
  <si>
    <t>`transform(items, x -&gt; struct(...))` is the correct way to update each element of an array of structs while preserving the array shape.</t>
  </si>
  <si>
    <t>The least-privilege permission for invoking a Unity Catalog function is `EXECUTE`.</t>
  </si>
  <si>
    <t>This multi-select item now has at least three valid answers: `spark.table(...)`, `spark.read.table(...)`, and `spark.sql(...)`. The question asks for only two.</t>
  </si>
  <si>
    <t>S122</t>
  </si>
  <si>
    <t>`MERGE` is the Delta Lake command for atomic upsert behavior: update matched rows and insert unmatched rows in one operation.</t>
  </si>
  <si>
    <t>The correct Silver-to-Gold streaming hop uses `readStream` from Delta, performs the aggregation, and writes with `writeStream` plus a checkpoint location.</t>
  </si>
  <si>
    <t>The Lineage tab in Catalog Explorer is the built-in visual tool for upstream/downstream and column-level lineage tracing.</t>
  </si>
  <si>
    <t>Databricks Repos supports core Git actions like pull, commit, and push, while PRs and reviews stay in the external Git provider.</t>
  </si>
  <si>
    <t>A persistent governed logical object that does not store physical data is a view.</t>
  </si>
  <si>
    <t>A SQL UDF centralizes the payment-status mapping logic so it can be reused consistently across pipelines and queries.</t>
  </si>
  <si>
    <t>Databricks Connect requires local Python compatibility with the Databricks Runtime version used by the cluster.</t>
  </si>
  <si>
    <t>Unauthorized access without any trace points to missing access controls and missing audit logging.</t>
  </si>
  <si>
    <t>S52,S93</t>
  </si>
  <si>
    <t>Apache Spark, Delta Lake, Unity Catalog, and Databricks SQL are the core Lakehouse building blocks in the answer choices.</t>
  </si>
  <si>
    <t>A Data Lakehouse unifies data-lake and warehouse workloads on one platform, reducing duplicate systems and operational overhead.</t>
  </si>
  <si>
    <t>`from_json()` converts JSON strings into structured values using a supplied schema.</t>
  </si>
  <si>
    <t>Continuous pipeline mode keeps compute running so it can process new data immediately, even during idle periods.</t>
  </si>
  <si>
    <t>When SQL warehouse performance issues are driven by concurrency, the right change is to increase the maximum number of clusters.</t>
  </si>
  <si>
    <t>A custom cron expression is the standard Databricks way to express schedules like “first Monday of the month at 7:00 AM.”</t>
  </si>
  <si>
    <t>`%run` executes another notebook and brings its definitions into the current session.</t>
  </si>
  <si>
    <t>Databricks Repos linked to GitHub or Azure DevOps best supports branching, review, and CI/CD-driven notebook development.</t>
  </si>
  <si>
    <t>Both a `WHERE ... IS NOT NULL` filter with `COUNT(*)` and `COUNT(session_duration)` correctly count non-null rows.</t>
  </si>
  <si>
    <t>Using `%sql` and `%python` in the same notebook lets both collaborators work in one place without switching notebooks.</t>
  </si>
  <si>
    <t>A Delta table created without `LOCATION` is managed, so dropping it removes both metadata and underlying managed data files.</t>
  </si>
  <si>
    <t>The wildcard path pattern selecting `transactions_2023_*.json` is the option that targets only the 2023 JSON files.</t>
  </si>
  <si>
    <t>A Databricks SQL alert on the scheduled query can evaluate the churn threshold and send a Slack webhook notification automatically.</t>
  </si>
  <si>
    <t>The native supported deployment feature for packaging and promoting Databricks projects across environments is Databricks Asset Bundles. Workbook key D is incorrect.</t>
  </si>
  <si>
    <t>To give regulators live read-only access to Lakehouse tables without making copies, the correct feature is Delta Sharing. Workbook key B is incorrect.</t>
  </si>
  <si>
    <t>This item is malformed: the stem is embedded as option A, so the intended answer “All-purpose cluster” is present only as a shifted option letter.</t>
  </si>
  <si>
    <t>For interactive collaborative notebook work with ad hoc library installs and no job scheduling, an all-purpose cluster is the right compute choice.</t>
  </si>
  <si>
    <t>Databricks Runtime for Machine Learning</t>
  </si>
  <si>
    <t>https://docs.databricks.com/aws/en/machine-learning/databricks-runtime-ml</t>
  </si>
  <si>
    <t>Create a Unity Catalog metastore</t>
  </si>
  <si>
    <t>https://docs.databricks.com/aws/en/data-governance/unity-catalog/create-metastore</t>
  </si>
  <si>
    <t>pyspark.sql.DataFrameReader.table</t>
  </si>
  <si>
    <t>https://spark.apache.org/docs/latest/api/python/reference/pyspark.sql/api/pyspark.sql.DataFrameReader.table.html</t>
  </si>
  <si>
    <t>schema_of_json function</t>
  </si>
  <si>
    <t>https://docs.databricks.com/en/sql/language-manual/functions/schema_of_json.html</t>
  </si>
  <si>
    <t>Monitor and manage Delta Sharing egress costs</t>
  </si>
  <si>
    <t>https://docs.databricks.com/aws/ja/delta-sharing/manage-egress</t>
  </si>
  <si>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</si>
  <si>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</si>
  <si>
    <t>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So, Bronze table acts a destination for a job that ingests raw data from a streaming source into the Lakehouse.</t>
  </si>
  <si>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</si>
  <si>
    <t xml:space="preserve"> 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</si>
  <si>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</si>
  <si>
    <t>Python cells will be grayed out and won't run until you change the default language back to Python</t>
  </si>
  <si>
    <t>What is the role of Data Lineage in Databricks' Data Governance?</t>
  </si>
  <si>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</si>
  <si>
    <t>They can set up the dashboard's SQL endpoint to be serverless.</t>
  </si>
  <si>
    <t>They can ensure the dashboard's SQL endpoint is not one of the included query's SQL endpoint.</t>
  </si>
  <si>
    <t>They can ensure the dashboard's SQL endpoint matches each of the queries' SQL endpoints.</t>
  </si>
  <si>
    <t>Silver tables provide a more refined view of raw data, where it's filtered, cleansed, and enriched.</t>
  </si>
  <si>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</si>
  <si>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</si>
  <si>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</si>
  <si>
    <t>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</si>
  <si>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</si>
  <si>
    <t>Supported destinations for jobs
As part of the public preview, Databricks supports the following destinations for job notifications:
HTTP: Get an HTTP request on a configured URL with information about your job runs.
Slack: Instantly receive a message on a configured channel and take action on job run statuses.
Create a new notification destination
To configure a new notification destination
1. Click your username in the top bar of the workspace and select Admin Console from the dropdown.
2. Click the Notification destinations tab.
3. Click +New destination.
4. Select a destination type. The following destinations are currently supported:
Email
Slack
Webhook
MS Teams
PagerDuty
5. Configure the destination based on the type.
6. Click Create.
Add a webhook to a job
After you've configured a destination, you can add the notification destination to a job.
So, the correct answer is: “They can set up an Alert with a new webhook alert destination“</t>
  </si>
  <si>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</si>
  <si>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</si>
  <si>
    <t>Auto Loader's file notification mode can help reduce your cloud costs further by avoiding directory listing altogether. It can automatically set up file notification services on storage to make file discovery much cheaper.</t>
  </si>
  <si>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</si>
  <si>
    <t>They can increase the maximum bound of the SQL endpoint's scaling range.</t>
  </si>
  <si>
    <t>Auto Stop
It determines whether the warehouse stops if it's idle for the specified number of minutes. Idle SQL warehouses continue to accumulate DBU and cloud instance charges until they are stopped.
You should use Auto Stop to automatically terminate the SQL warehouse when you are not using it.
So, the correct answer is “They can turn on the Auto Stop feature for the SQL endpoint.“</t>
  </si>
  <si>
    <t>Unity Catalog's security model is based on standard ANSI SQL and allows administrators to grant permissions in their existing data lake using familiar syntax, at the level of catalogs, databases, tables, and views.</t>
  </si>
  <si>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</si>
  <si>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</si>
  <si>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</si>
  <si>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</si>
  <si>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</si>
  <si>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</si>
  <si>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</si>
  <si>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</si>
  <si>
    <t>They can download the XML description of the Job from the Job's page.</t>
  </si>
  <si>
    <t>They can download the JSON description of the Job from the Job's page.</t>
  </si>
  <si>
    <t>Autoscaling makes it easier to achieve high cluster utilization, because you don't need to provision the cluster to match a workload</t>
  </si>
  <si>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</si>
  <si>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</si>
  <si>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</si>
  <si>
    <t>When a Delta table is marked as a managed table in Databricks, Databricks takes full responsibility for both the metadata and the underlying data files associated with that table.
Key implications for control and management:
Ownership: Databricks controls the storage location of the data files. The files are automatically stored in a location determined by the schema or catalog and are managed by the Databricks workspace. Users do not choose the file path when creating the table.
Lifecycle management: When you drop (delete) a managed table, Databricks deletes both the table's metadata and the underlying data files. This contrasts with external (unmanaged) tables, where dropping the table only removes the metadata, and the data files remain in place.
Optimization and maintenance: Databricks performs automated maintenance (such as file compaction and optimization), manages access permissions, and implements security controls on managed tables to improve performance and reduce operational overhead.
Integration: Managed tables are automatically included in Unity Catalog governance, benefitting from unified access controls, auditing, and data sharing features via open protocols.
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t>
  </si>
  <si>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</si>
  <si>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</si>
  <si>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</si>
  <si>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</si>
  <si>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</si>
  <si>
    <t>Don't use lineage, as it only captures 3 months of data</t>
  </si>
  <si>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</si>
  <si>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</si>
  <si>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</si>
  <si>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</si>
  <si>
    <t>For DLT without Auto Loader, use an annotated function with @dlt.table that returns a DataFrame created via spark.read.format(“json“).load(“s3://…“). The explicit format call (Option C) is the expected, consistent pattern across file formats and is the safest answer.
Note:
Both of the below options are technically correct:
spark.read.format(“json“).load(“s3://my-bucket/data.json“)
and
return spark.read.json(“s3://my-bucket/data.json“)
If your use case is simple, and you're just loading standard JSON from S3, either syntax worksthey are functionally equivalent for basic reads.
If you plan to customize your data loading (set .option() parameters, possibly change formats in future), or want consistency in a larger codebase, prefer the first option.</t>
  </si>
  <si>
    <t>Don't use lineage; it only keeps data for 3 months.</t>
  </si>
  <si>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</si>
  <si>
    <t>Use OIDC federation to issue short-lived Databricks OAuth tokens based on the recipient's IdP JWT.</t>
  </si>
  <si>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</si>
  <si>
    <t>To enable writes to an existing table with least privilege, grant USE CATALOG, USE SCHEMA, and MODIFY on that table to the manufacting-team. Avoid broader privileges like OWNERSHIP or schema-level CREATE TABLE unless they're explicitly required.</t>
  </si>
  <si>
    <t>Silver layer: Exact copy of source with no cleaning or enrichment; schema never changes and it's kept only for long-term archiving.</t>
  </si>
  <si>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</si>
  <si>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</si>
  <si>
    <t>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
COMMENT ON TABLE IS ‘This is a table comment‘</t>
  </si>
  <si>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</si>
  <si>
    <t>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t>
  </si>
  <si>
    <t>Use Unity Catalog grants to the partner's email address even without a Databricks account.</t>
  </si>
  <si>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</si>
  <si>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</si>
  <si>
    <t>The remote branch has new commits they haven't pulled; they must perform a Git Pull to merge before pushing.</t>
  </si>
  <si>
    <t>it enforces a rule that you can't push changes if your local branch is behind the remote. This ensures you don't overwrite someone else's work. The solution is to pull the latest changes, resolve any merge conflicts if needed, and then push.</t>
  </si>
  <si>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</si>
  <si>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</si>
  <si>
    <t>The control plane is hosted by Databricks, while the data plane runs in the customer's cloud account</t>
  </si>
  <si>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</si>
  <si>
    <t>A data engineer is reviewing a table called sales.orders in Databricks. They want to verify where the table's data is physically stored in cloud storage. Which of the following SQL commands can be used to find the storage location of the table? (Select two answers)</t>
  </si>
  <si>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</si>
  <si>
    <t>An analyst wants to run ad hoc SQL queries and build dashboards within the Databricks SQL workspace. They're unsure which compute resource to use when configuring their environment. Which compute resource should they select to support this use case?</t>
  </si>
  <si>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</si>
  <si>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</si>
  <si>
    <t>Revisions tab in the job's associated notebook</t>
  </si>
  <si>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</si>
  <si>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</si>
  <si>
    <t xml:space="preserve"> Install libraries manually on each user's cluster to ensure consistency</t>
  </si>
  <si>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</si>
  <si>
    <t>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
The function that enables this is: schema_of_json(json_string)
This function:
Takes a JSON string as input.
Returns the inferred schema as a string in struct&lt;...&gt; format.
Is commonly used to dynamically generate the schema for functions like from_json() or from_json(col, schema_of_json(col)).</t>
  </si>
  <si>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</si>
  <si>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</si>
  <si>
    <t>The pipeline uses Delta Lake's transaction log for ingestion</t>
  </si>
  <si>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</si>
  <si>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</si>
  <si>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</si>
  <si>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</si>
  <si>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</si>
  <si>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</si>
  <si>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</si>
  <si>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</si>
  <si>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</si>
  <si>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</si>
  <si>
    <t>The developer's local Python version is incompatible with the cluster runtime</t>
  </si>
  <si>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</si>
  <si>
    <t>Which of the following technologies form the core of Databricks' Data Lakehouse architecture?</t>
  </si>
  <si>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</si>
  <si>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</si>
  <si>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</si>
  <si>
    <t>Create a notebook task that checks the date and runs only if it's the first Monday of the month</t>
  </si>
  <si>
    <t>Use the Retry setting to run the job periodically until it's the correct date</t>
  </si>
  <si>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</si>
  <si>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</si>
  <si>
    <t>Replicating the data into the regulator's cloud account</t>
  </si>
  <si>
    <r>
      <t xml:space="preserve">This question asks how to create an </t>
    </r>
    <r>
      <rPr>
        <b/>
        <sz val="11"/>
        <color theme="1"/>
        <rFont val="Segoe UI"/>
        <family val="2"/>
      </rPr>
      <t>unmanaged (external) Delta table</t>
    </r>
    <r>
      <rPr>
        <sz val="11"/>
        <color theme="1"/>
        <rFont val="Segoe UI"/>
        <family val="2"/>
      </rPr>
      <t xml:space="preserve"> using </t>
    </r>
    <r>
      <rPr>
        <b/>
        <sz val="11"/>
        <color theme="1"/>
        <rFont val="Segoe UI"/>
        <family val="2"/>
      </rPr>
      <t>existing data files</t>
    </r>
    <r>
      <rPr>
        <sz val="11"/>
        <color theme="1"/>
        <rFont val="Segoe UI"/>
        <family val="2"/>
      </rPr>
      <t xml:space="preserve"> stored at a specific DBFS path. In Databricks, a table is considered </t>
    </r>
    <r>
      <rPr>
        <i/>
        <sz val="11"/>
        <color theme="1"/>
        <rFont val="Segoe UI"/>
        <family val="2"/>
      </rPr>
      <t>external</t>
    </r>
    <r>
      <rPr>
        <sz val="11"/>
        <color theme="1"/>
        <rFont val="Segoe UI"/>
        <family val="2"/>
      </rPr>
      <t xml:space="preserve"> when a </t>
    </r>
    <r>
      <rPr>
        <sz val="10"/>
        <color theme="1"/>
        <rFont val="Arial Unicode MS"/>
      </rPr>
      <t>LOCATION</t>
    </r>
    <r>
      <rPr>
        <sz val="11"/>
        <color theme="1"/>
        <rFont val="Segoe UI"/>
        <family val="2"/>
      </rPr>
      <t xml:space="preserve"> is explicitly provided. The correct syntax for creating an external Delta table is </t>
    </r>
    <r>
      <rPr>
        <sz val="10"/>
        <color theme="1"/>
        <rFont val="Arial Unicode MS"/>
      </rPr>
      <t>CREATE TABLE table_name USING DELTA LOCATION 'path'</t>
    </r>
    <r>
      <rPr>
        <sz val="11"/>
        <color theme="1"/>
        <rFont val="Segoe UI"/>
        <family val="2"/>
      </rPr>
      <t xml:space="preserve">. Option </t>
    </r>
    <r>
      <rPr>
        <b/>
        <sz val="11"/>
        <color theme="1"/>
        <rFont val="Segoe UI"/>
        <family val="2"/>
      </rPr>
      <t>B</t>
    </r>
    <r>
      <rPr>
        <sz val="11"/>
        <color theme="1"/>
        <rFont val="Segoe UI"/>
        <family val="2"/>
      </rPr>
      <t xml:space="preserve"> correctly uses this syntax to reference the existing directory without Databricks managing the data lifecycle. Options A, C, D, and E are invalid due to unsupported syntax, misuse of </t>
    </r>
    <r>
      <rPr>
        <sz val="10"/>
        <color theme="1"/>
        <rFont val="Arial Unicode MS"/>
      </rPr>
      <t>OR REPLACE</t>
    </r>
    <r>
      <rPr>
        <sz val="11"/>
        <color theme="1"/>
        <rFont val="Segoe UI"/>
        <family val="2"/>
      </rPr>
      <t>, or missing required SQL keywords.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</si>
</sst>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rgb="FF4E5768"/>
      <name val="Arial"/>
      <family val="2"/>
    </font>
    <font>
      <sz val="11"/>
      <color theme="1"/>
      <name val="Segoe UI"/>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Segoe UI"/>
      <family val="2"/>
    </font>
    <font>
      <i/>
      <sz val="11"/>
      <color theme="1"/>
      <name val="Segoe UI"/>
      <family val="2"/>
    </font>
    <font>
      <sz val="10"/>
      <color theme="1"/>
      <name val="Arial Unicode MS"/>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medium">
        <color rgb="FFC3D1A3"/>
      </left>
      <right style="medium">
        <color rgb="FFC3D1A3"/>
      </right>
      <top style="medium">
        <color rgb="FFC3D1A3"/>
      </top>
      <bottom/>
      <diagonal/>
    </border>
    <border>
      <left style="medium">
        <color rgb="FFC3D1A3"/>
      </left>
      <right style="medium">
        <color rgb="FFC3D1A3"/>
      </right>
      <top/>
      <bottom/>
      <diagonal/>
    </border>
  </borders>
  <cellStyleXfs count="5">
    <xf numFmtId="0" fontId="0" fillId="0" borderId="0"/>
    <xf numFmtId="9" fontId="1" fillId="0" borderId="0" applyFon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cellStyleXfs>
  <cellXfs count="19">
    <xf numFmtId="0" fontId="0" fillId="0" borderId="0" xfId="0"/>
    <xf numFmtId="0" fontId="0" fillId="0" borderId="0" xfId="0" applyAlignment="1">
      <alignment vertical="top" wrapText="1"/>
    </xf>
    <xf numFmtId="1" fontId="0" fillId="0" borderId="0" xfId="0" applyNumberFormat="1"/>
    <xf numFmtId="0" fontId="2" fillId="0" borderId="0" xfId="0" applyFont="1"/>
    <xf numFmtId="0" fontId="0" fillId="0" borderId="0" xfId="0" pivotButton="1"/>
    <xf numFmtId="0" fontId="0" fillId="0" borderId="0" xfId="0" applyAlignment="1">
      <alignment horizontal="left"/>
    </xf>
    <xf numFmtId="9" fontId="0" fillId="0" borderId="0" xfId="1" applyFont="1"/>
    <xf numFmtId="0" fontId="2" fillId="0" borderId="0" xfId="0" applyFont="1" applyAlignment="1">
      <alignment vertical="top" wrapText="1"/>
    </xf>
    <xf numFmtId="0" fontId="4" fillId="0" borderId="2" xfId="0" applyFont="1" applyBorder="1" applyAlignment="1">
      <alignment horizontal="left" vertical="center" wrapText="1" indent="1"/>
    </xf>
    <xf numFmtId="0" fontId="4" fillId="0" borderId="0" xfId="0" applyFont="1"/>
    <xf numFmtId="0" fontId="5" fillId="0" borderId="0" xfId="0" applyFont="1" applyAlignment="1">
      <alignment vertical="center" wrapText="1"/>
    </xf>
    <xf numFmtId="0" fontId="3" fillId="0" borderId="1" xfId="0" applyFont="1" applyBorder="1" applyAlignment="1">
      <alignment horizontal="left" vertical="top" wrapText="1"/>
    </xf>
    <xf numFmtId="0" fontId="0" fillId="0" borderId="0" xfId="0" applyAlignment="1">
      <alignment horizontal="left" indent="1"/>
    </xf>
    <xf numFmtId="0" fontId="6" fillId="2" borderId="0" xfId="2"/>
    <xf numFmtId="0" fontId="8" fillId="4" borderId="0" xfId="4"/>
    <xf numFmtId="0" fontId="7" fillId="3" borderId="0" xfId="3"/>
    <xf numFmtId="164" fontId="2" fillId="0" borderId="0" xfId="0" applyNumberFormat="1" applyFont="1"/>
    <xf numFmtId="165" fontId="2" fillId="0" borderId="0" xfId="1" applyNumberFormat="1" applyFont="1"/>
    <xf numFmtId="14" fontId="0" fillId="0" borderId="0" xfId="0" applyNumberFormat="1"/>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180975</xdr:colOff>
      <xdr:row>44</xdr:row>
      <xdr:rowOff>57150</xdr:rowOff>
    </xdr:to>
    <xdr:pic>
      <xdr:nvPicPr>
        <xdr:cNvPr id="2" name="Picture 1">
          <a:extLst>
            <a:ext uri="{FF2B5EF4-FFF2-40B4-BE49-F238E27FC236}">
              <a16:creationId xmlns:a16="http://schemas.microsoft.com/office/drawing/2014/main" id="{A511F790-9CA5-631C-9399-232298B05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24975" cy="84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39</xdr:col>
      <xdr:colOff>38100</xdr:colOff>
      <xdr:row>78</xdr:row>
      <xdr:rowOff>57150</xdr:rowOff>
    </xdr:to>
    <xdr:pic>
      <xdr:nvPicPr>
        <xdr:cNvPr id="2" name="Picture 1">
          <a:extLst>
            <a:ext uri="{FF2B5EF4-FFF2-40B4-BE49-F238E27FC236}">
              <a16:creationId xmlns:a16="http://schemas.microsoft.com/office/drawing/2014/main" id="{54F8B555-802B-09F8-E245-408D8B09E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812500" cy="1491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Smith" refreshedDate="46112.483514583335" createdVersion="8" refreshedVersion="8" minRefreshableVersion="3" recordCount="772" xr:uid="{45A14CFC-7C26-4210-AB99-F71EB3977637}">
  <cacheSource type="worksheet">
    <worksheetSource ref="A1:X768" sheet="QuestionBank"/>
  </cacheSource>
  <cacheFields count="24">
    <cacheField name="Source" numFmtId="0">
      <sharedItems count="2">
        <s v="SCP"/>
        <s v="DBx"/>
      </sharedItems>
    </cacheField>
    <cacheField name="QID" numFmtId="0">
      <sharedItems containsSemiMixedTypes="0" containsString="0" containsNumber="1" containsInteger="1" minValue="1001" maxValue="1772"/>
    </cacheField>
    <cacheField name="Exam" numFmtId="0">
      <sharedItems containsSemiMixedTypes="0" containsString="0" containsNumber="1" containsInteger="1" minValue="1" maxValue="14" count="14">
        <n v="1"/>
        <n v="2"/>
        <n v="3"/>
        <n v="4"/>
        <n v="5"/>
        <n v="6"/>
        <n v="7"/>
        <n v="8"/>
        <n v="9"/>
        <n v="10"/>
        <n v="11"/>
        <n v="12"/>
        <n v="13"/>
        <n v="14"/>
      </sharedItems>
    </cacheField>
    <cacheField name="Number" numFmtId="0">
      <sharedItems containsSemiMixedTypes="0" containsString="0" containsNumber="1" containsInteger="1" minValue="1" maxValue="60"/>
    </cacheField>
    <cacheField name="Topic" numFmtId="0">
      <sharedItems containsBlank="1"/>
    </cacheField>
    <cacheField name="Subtopic" numFmtId="0">
      <sharedItems containsBlank="1"/>
    </cacheField>
    <cacheField name="Difficulty" numFmtId="0">
      <sharedItems containsBlank="1"/>
    </cacheField>
    <cacheField name="Question" numFmtId="0">
      <sharedItems longText="1"/>
    </cacheField>
    <cacheField name="A" numFmtId="0">
      <sharedItems containsMixedTypes="1" containsNumber="1" containsInteger="1" minValue="1" maxValue="30" longText="1"/>
    </cacheField>
    <cacheField name="B" numFmtId="0">
      <sharedItems containsMixedTypes="1" containsNumber="1" containsInteger="1" minValue="2" maxValue="45" longText="1"/>
    </cacheField>
    <cacheField name="C" numFmtId="0">
      <sharedItems containsBlank="1" containsMixedTypes="1" containsNumber="1" containsInteger="1" minValue="1" maxValue="60" longText="1"/>
    </cacheField>
    <cacheField name="D" numFmtId="0">
      <sharedItems containsBlank="1" containsMixedTypes="1" containsNumber="1" containsInteger="1" minValue="2" maxValue="90" longText="1"/>
    </cacheField>
    <cacheField name="E" numFmtId="0">
      <sharedItems containsBlank="1" containsMixedTypes="1" containsNumber="1" containsInteger="1" minValue="1" maxValue="120" longText="1"/>
    </cacheField>
    <cacheField name="F" numFmtId="0">
      <sharedItems containsBlank="1" longText="1"/>
    </cacheField>
    <cacheField name="CorrectLetter" numFmtId="0">
      <sharedItems containsBlank="1"/>
    </cacheField>
    <cacheField name="Explanation" numFmtId="0">
      <sharedItems containsBlank="1" longText="1"/>
    </cacheField>
    <cacheField name="Notes" numFmtId="0">
      <sharedItems containsBlank="1"/>
    </cacheField>
    <cacheField name="LastReviewed" numFmtId="0">
      <sharedItems containsNonDate="0" containsString="0" containsBlank="1"/>
    </cacheField>
    <cacheField name="CorrectCount" numFmtId="0">
      <sharedItems containsNonDate="0" containsString="0" containsBlank="1"/>
    </cacheField>
    <cacheField name="IncorrectCount" numFmtId="0">
      <sharedItems containsString="0" containsBlank="1" containsNumber="1" containsInteger="1" minValue="1" maxValue="1"/>
    </cacheField>
    <cacheField name="FlagForReview" numFmtId="0">
      <sharedItems containsString="0" containsBlank="1" containsNumber="1" containsInteger="1" minValue="1" maxValue="1"/>
    </cacheField>
    <cacheField name="Tags" numFmtId="0">
      <sharedItems containsNonDate="0" containsString="0" containsBlank="1"/>
    </cacheField>
    <cacheField name="Graphic" numFmtId="0">
      <sharedItems containsString="0" containsBlank="1" containsNumber="1" containsInteger="1" minValue="1" maxValue="1"/>
    </cacheField>
    <cacheField name="Deeper Div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n v="1001"/>
    <x v="0"/>
    <n v="1"/>
    <s v="Development and Ingestion"/>
    <s v="Auto Loader"/>
    <s v="Easy"/>
    <s v="What column does Auto Loader add to capture malformed data?"/>
    <s v="rescued_data"/>
    <s v="rescuedData"/>
    <s v="_rescued_data"/>
    <s v="_corrupt_record"/>
    <m/>
    <m/>
    <s v="C"/>
    <s v="What is the rescued data column?_x000a_When Auto Loader infers the schema, a rescued data column is automatically added to your schema as _rescued_data. You can rename the column or include it in cases where you provide a schema by setting the option rescuedDataColumn._x000a_The rescued data column ensures that columns that dont match with the schema are rescued instead of being dropped. The rescued data column contains any data that isnt parsed for the following reasons:_x000a_The column is missing from the schema._x000a_Type mismatches._x000a_Case mismatches._x000a_The rescued data column contains a JSON containing the rescued columns and the source file path of the record."/>
    <m/>
    <m/>
    <m/>
    <m/>
    <m/>
    <m/>
    <m/>
    <m/>
  </r>
  <r>
    <x v="0"/>
    <n v="1002"/>
    <x v="0"/>
    <n v="2"/>
    <s v="Databricks Intelligence Platform"/>
    <s v="Select Appropriate Compute"/>
    <s v="Medium"/>
    <s v="Which item is NOT lost when a Databricks cluster terminates?"/>
    <s v="Attached volumes"/>
    <s v="Execution state"/>
    <s v="Cached data"/>
    <s v="Network connections"/>
    <s v="Saved notebooks"/>
    <m/>
    <s v="E"/>
    <s v="When a cluster terminates, all cloud resources currently in use are deleted. This means:_x000a_Associated VMs and operational memory will be purged_x000a_Attached volume storage will be deleted_x000a_Network connections between nodes will be removed_x000a_In short, all resources previously associated with the compute environment will be completely removed. This means that any results that need to be persisted should be saved to a permanent location._x000a_Note that you will not lose your code, nor will you lose data files that you‘ve saved out appropriately."/>
    <m/>
    <m/>
    <m/>
    <m/>
    <m/>
    <m/>
    <m/>
    <m/>
  </r>
  <r>
    <x v="0"/>
    <n v="1003"/>
    <x v="0"/>
    <n v="3"/>
    <s v="Data Processing &amp; Transformations"/>
    <s v="DDL and DML"/>
    <s v="Medium"/>
    <s v="As a data engineer, you are working on a task to retain only those versions of sales Delta table which are not older than last 7 days. You have observed that directory associated with this table contains a large number of data files for all the historical versions since inception._x000a_What will be the query that you will run to delete the files of sales table older than 1 week?   "/>
    <s v="VACUUM sales RETAIN 168 HOURS"/>
    <s v="VACUUM sales RETAIN 7 DAYS"/>
    <s v="VACUUM sales RETAIN 10080 MINUTES"/>
    <s v="VACUUM sales RETAIN 1 WEEK"/>
    <s v="VACUUM sales RETAIN 604800 SECONDS"/>
    <m/>
    <s v="A"/>
    <s v="The retention value provided while running VACCUM command is in HOURS_x000a_So, the correct answer is: VACUUM sales RETAIN 168 HOURS_x000a_Learn More: Vacuum a Delta table"/>
    <m/>
    <m/>
    <m/>
    <m/>
    <m/>
    <m/>
    <m/>
    <m/>
  </r>
  <r>
    <x v="0"/>
    <n v="1004"/>
    <x v="0"/>
    <n v="4"/>
    <s v="Data Processing &amp; Transformations"/>
    <s v="DDL and DML"/>
    <s v="Hard"/>
    <s v="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_x000a_You want to incorporate this Change Data Capture (CDC) feed by inserting data of new employees and deleting data of former employees from employees delta table. Which of the following queries will help you to accomplish this task?"/>
    <s v="MERGE INTO employees e_x000a_USING employees_updates eu_x000a_ON e.id = eu.id_x000a_WHEN MATCHED AND eu.type = “former“_x000a_THEN DELETE *_x000a_WHEN NOT MATCHED AND eu.type = “new“_x000a_THEN INSERT ALL_x000a_UPSERT INTO employees e_x000a_USING employees_updates eu_x000a_ON e.id = eu.id_x000a_WHEN MATCHED AND eu.type = “former“_x000a_THEN DELETE_x000a_WHEN NOT MATCHED AND eu.type = “new“_x000a_THEN INSERT *"/>
    <s v="MERGE INTO employees e_x000a_USING employees_updates eu_x000a_ON e.id = eu.id_x000a_WHEN MATCHED AND eu.type = “former“_x000a_THEN DELETE_x000a_WHEN NOT MATCHED AND eu.type = “new“_x000a_THEN INSERT *"/>
    <s v="MERGE INTO employees e_x000a_USING employees_updates eu_x000a_ON e.id = eu.id_x000a_IF MATCHED AND eu.type = “former“_x000a_THEN DELETE_x000a_IF NOT MATCHED AND eu.type = “new“_x000a_THEN INSERT *"/>
    <s v="MERGE INTO employees e_x000a_USING employees_updates eu_x000a_ON e.id = eu.id_x000a_WHEN MATCHED AND eu.type = “former“_x000a_THEN DELETE ALL_x000a_WHEN NOT MATCHED AND eu.type = “new“_x000a_THEN INSERT *"/>
    <m/>
    <m/>
    <s v="B"/>
    <s v="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_x000a_So, the correct code block which handles both these conditions is:_x000a_MERGE INTO employees e_x000a_USING employees_updates eu_x000a_ON e.id = eu.id_x000a_WHEN MATCHED AND eu.type = “former“_x000a_THEN DELETE_x000a_WHEN NOT MATCHED AND eu.type = “new“_x000a_THEN INSERT *_x000a_Learn More: Use MERGE INTO statement | Databricks"/>
    <m/>
    <m/>
    <m/>
    <m/>
    <m/>
    <m/>
    <m/>
    <m/>
  </r>
  <r>
    <x v="0"/>
    <n v="1005"/>
    <x v="0"/>
    <n v="5"/>
    <s v="Data Processing &amp; Transformations"/>
    <s v="DDL and DML"/>
    <s v="Easy"/>
    <s v="A junior data engineer has created a global temporary view called orders_vw to do some task. He is trying to run the following query on the view._x000a_SELECT * FROM orders_vw_x000a_But, he is getting an error. As a senior data engineer, what correction you will suggest to your colleague in order to run this query?"/>
    <s v="SELECT * FROM global_temporary.orders_vw"/>
    <s v="SELECT * FROM global_temp.orders_vw"/>
    <s v="SELECT * FROM gbl_temp.orders_vw"/>
    <s v="SELECT * FROM gbl_temporary.orders_vw"/>
    <s v="SELECT * FROM gbl_tmp.orders_vw"/>
    <m/>
    <s v="B"/>
    <s v="The correct suggestion to run the query on the global temporary view is:_x000a__x000a_SELECT * FROM global_temp.orders_vw_x000a__x000a_Here‘s why:_x000a__x000a_Global temporary objects: In SQL Server, global temporary tables and views are prefixed with ##. However, when querying them, you use global_temp followed by the object name._x000a_Incorrect options:_x000a_global_temporary.orders_vw: This is not a standard prefix for global temporary objects in SQL Server._x000a_gbl_temp.*, gbl_temporary.*, gbl_tmp.*: These variations are not recognized by SQL Server for referencing global temporary objects._x000a_By using global_temp.orders_vw, your colleague can correctly specify the location and name of the global temporary view. This should allow him to run the query successfully."/>
    <m/>
    <m/>
    <m/>
    <m/>
    <m/>
    <m/>
    <m/>
    <m/>
  </r>
  <r>
    <x v="0"/>
    <n v="1006"/>
    <x v="0"/>
    <n v="6"/>
    <s v="Storage"/>
    <s v="Delta Lake"/>
    <s v="Medium"/>
    <s v="Which of the following statements Databricks uses to allow insert, update and delete operations to be run as a single atomic transaction on a Delta table?"/>
    <s v="UPSERT"/>
    <s v=" MERGE"/>
    <s v=" UPDATE"/>
    <s v=" INSERT INTO"/>
    <s v=" DELETE"/>
    <m/>
    <s v="B"/>
    <s v="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UPDATE It updates the column values for the rows that match a predicate. When no predicate is provided, update the column values for all rows. This statement is only supported for Delta Lake tables._x000a_INSERT INTO is used to atomically append new rows to an existing Delta table. This allows for incremental updates to existing tables but the schema of new records must match with schema of existing records else this operation will not succeed._x000a_DELETE It deletes the rows that match a predicate. When no predicate is provided, deletes all rows. This statement is only supported for Delta Lake tables._x000a_So, the correct answer is MERGE"/>
    <m/>
    <m/>
    <m/>
    <m/>
    <m/>
    <m/>
    <m/>
    <m/>
  </r>
  <r>
    <x v="0"/>
    <n v="1007"/>
    <x v="0"/>
    <n v="7"/>
    <s v="Storage"/>
    <s v="Delta Lake"/>
    <s v="Hard"/>
    <s v="You have to create a delta table players which contains the following columns:_x000a_playerId      playerName      playerRuns_x000a_      1                       Virat                23726_x000a_      2                     Yuvraj               11778_x000a_    . . . .                    . . . .                   . . . ._x000a_Which of the following SQL DDL commands is used to create an empty Delta table in the above format only if a table does not already exists with this name?"/>
    <s v="CREATE OR REPLACE TABLE players_x000a_(_x000a_playerId INT,_x000a_playerName STRING,_x000a_playerRuns LONG_x000a_)_x000a_USING DELTA;"/>
    <s v="CREATE TABLE IF NOT EXISTS players_x000a_(_x000a_playerId INT,_x000a_playerName STRING,_x000a_playerRuns LONG_x000a_);"/>
    <s v="CREATE OR REPLACE TABLE players WITH COLUMNS_x000a_(_x000a_playerId INT,_x000a_playerName STRING,_x000a_playerRuns LONG_x000a_)_x000a_USING DELTA;"/>
    <s v="CREATE TABLE players IF NOT EXISTS_x000a_(_x000a_playerId INT,_x000a_playerName STRING,_x000a_playerRuns LONG_x000a_)_x000a_USING DELTA;"/>
    <s v="CREATE OR REPLACE TABLE players AS_x000a_SELECT_x000a_playerId INT,_x000a_playerName STRING,_x000a_playerRuns LONG_x000a_USING DELTA;"/>
    <m/>
    <s v="B"/>
    <s v="CREATE TABLE IF NOT EXISTS is used when you need to create a table ONLY if it does not exist. So, all the options that do not use CREATE TABLE IF NOT EXISTS are incorrect. We are down to just 2 options, lets examine each of them._x000a_CREATE TABLE players IF NOT EXISTS_x000a_(_x000a_playerId INT,_x000a_playerName STRING,_x000a_playerRuns LONG_x000a_)_x000a_USING DELTA;_x000a_INCORRECT: As per the syntax of table creation, IF NOT EXISTS should come before the table name._x000a_CREATE TABLE IF NOT EXISTS players_x000a_(_x000a_playerId INT,_x000a_playerName STRING,_x000a_playerRuns LONG_x000a_);_x000a_CORRECT: This is the correct code block. It will create the table only if it does not exist. Moreover, the default table type in Databricks is DELTA which means that adding USING DELTA at the end of the query is optional._x000a_Learn More: Create Table Using IF NOT EXISTS Parameter | Databricks"/>
    <m/>
    <m/>
    <m/>
    <m/>
    <m/>
    <m/>
    <m/>
    <m/>
  </r>
  <r>
    <x v="0"/>
    <n v="1008"/>
    <x v="0"/>
    <n v="8"/>
    <s v="Storage"/>
    <s v="Delta Lake"/>
    <s v="Hard"/>
    <s v="You need to create a table employees which will have the following columns._x000a_CREATE TABLE employees_x000a_(_x000a_id INT,_x000a_name STRING,_x000a_gender STRING,_x000a_dateOfBirth DATE,_x000a_age INT ___________,_x000a_salary LONG_x000a_)_x000a_USING DELTA;_x000a_Here, age is a calculated column which is getting inferred from dateOfBirth column. Choose the correct statement from below and fill in the blank for this SQL code block to execute."/>
    <s v="GENERATED DEFAULT AS (CAST(DATEDIFF(CURRENT_DATE, dateOfBirth) / 365) AS INT)"/>
    <s v="GENERATED DEFAULT AS (CAST(DATEDIFF(CURRENT_DATE, dateOfBirth) / 365) AS FLOAT)"/>
    <s v="GENERATED ALWAYS AS (CAST(DATEDIFF(CURRENT_DATE, dateOfBirth) / 365) AS INT)"/>
    <s v="GENERATED AS (CAST(DATEDIFF(CURRENT_DATE, dateOfBirth) / 365) AS FLOAT)"/>
    <s v="GENERATED AS (CAST(DATEDIFF(CURRENT_DATE, dateOfBirth) / 365) AS FLOAT)"/>
    <m/>
    <s v="D"/>
    <s v="Delta Lake supports generated columns which are a special type of columns whose values are automatically generated based on a user-specified function over other columns in the Delta table._x000a_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_x000a_So, the correct answer of this question is:_x000a_GENERATED ALWAYS AS (CAST(DATEDIFF(CURRENT_DATE, dateOfBirth) / 365) AS INT)"/>
    <m/>
    <m/>
    <m/>
    <m/>
    <m/>
    <m/>
    <m/>
    <m/>
  </r>
  <r>
    <x v="0"/>
    <n v="1009"/>
    <x v="0"/>
    <n v="9"/>
    <s v="General"/>
    <s v="Conceptual"/>
    <s v="Easy"/>
    <s v="A team of data analysts is testing data in a table called sales using SQL. They want some help from the data engineering team on this table but the data engineers use Python in their Databricks notebooks. How can the data engineers query this table using PySpark?"/>
    <s v="spark.table(“select * from sales“)"/>
    <s v="“select * from sales“"/>
    <s v="spark.sql(“select * from sales“)"/>
    <s v="park.sql(“sales“)"/>
    <s v="There is no way to access sales table in Python notebook"/>
    <m/>
    <s v="C"/>
    <s v="We can access any table in PySpark using spark.sql(“select * from table_name“) method. It will return us a DataFrame._x000a_So, the correct answer is spark.sql(“select * from sales“)"/>
    <m/>
    <m/>
    <m/>
    <m/>
    <m/>
    <m/>
    <m/>
    <m/>
  </r>
  <r>
    <x v="0"/>
    <n v="1010"/>
    <x v="0"/>
    <n v="10"/>
    <s v="General"/>
    <s v="Conceptual"/>
    <s v="Easy"/>
    <s v="Which of the below SQL DDL can be used to create a UDF to convert distance value from Miles to KM and vice-versa?_x000a_Note: If any other distance measure is provided then function should return the same value."/>
    <s v="CREATE UDF convert_distance(distance DOUBLE, measure STRING)_x000a_RETURN_x000a_CASE_x000a_WHEN measure = “Miles“ THEN (distance * 1.60934)_x000a_WHEN measure = “KM“ THEN (distance * 0.621371)_x000a_ELSE distance_x000a_END;"/>
    <s v="CREATE UDF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S DOUBLE_x000a_RETURN_x000a_CASE_x000a_WHEN measure = “Miles“ THEN (distance * 1.60934)_x000a_WHEN measure = “KM“ THEN (distance * 0.621371)_x000a_ELSE distance_x000a_END;"/>
    <s v="CREATE UDF convert_distance(distance DOUBLE, measure STRING)_x000a_RETURNS DOUBLE_x000a_RETURN_x000a_CASE_x000a_WHEN measure = “Miles“ THEN (distance * 1.60934)_x000a_WHEN measure = “KM“ THEN (distance * 0.621371)_x000a_ELSE distance_x000a_END;"/>
    <m/>
    <s v="D"/>
    <s v="At minimum, a SQL UDF requires a function name, optional parameters, the type to be returned and some custom logic._x000a_So, the correct answer is given below._x000a_CREATE FUNCTION convert_distance(distance DOUBLE, measure STRING)_x000a_RETURNS DOUBLE_x000a_RETURN_x000a_CASE_x000a_WHEN measure = “Miles“ THEN (distance * 1.60934)_x000a_WHEN measure = “KM“ THEN (distance * 0.621371)_x000a_ELSE distance_x000a_END;"/>
    <m/>
    <m/>
    <m/>
    <m/>
    <m/>
    <m/>
    <m/>
    <m/>
  </r>
  <r>
    <x v="0"/>
    <n v="1011"/>
    <x v="0"/>
    <n v="11"/>
    <s v="Development and Ingestion"/>
    <s v="Ingestion"/>
    <s v="Medium"/>
    <s v="As part of ingesting data, which of the following options will help you to overwrite the existing data and schema of a Delta table?"/>
    <s v="INSERT OVERWRITE"/>
    <s v="INSERT INTO"/>
    <s v="MERGE INTO"/>
    <s v="COPY INTO"/>
    <s v="CREATE OR REPLACE TABLE"/>
    <m/>
    <s v="E"/>
    <s v="INSERT OVERWRITE can overwrite a table only with new records that match the current table schema. In case of a schema mismatch, the operation gets failed. This option can only overwrite an existing table and it will not create a new one like CRAS statement.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CREATE OR REPLACE TABLE"/>
    <m/>
    <m/>
    <m/>
    <m/>
    <m/>
    <m/>
    <m/>
    <m/>
  </r>
  <r>
    <x v="0"/>
    <n v="1012"/>
    <x v="0"/>
    <n v="12"/>
    <s v="General"/>
    <s v="Conceptual"/>
    <s v="Easy"/>
    <s v="How can you inject the Python variables called table_name and database_name into a SQL query and execute it using PySpark?"/>
    <s v="spark.sql(f“SELECT * FROM {database_name}+{table_name}“)"/>
    <s v="spark.sql(f“SELECT * FROM [database_name].[table_name]“)"/>
    <s v="spark.sql(f“SELECT * FROM {database_name}.{table_name}“)"/>
    <s v="spark.sql(f“SELECT * FROM (database_name).(table_name)“)"/>
    <s v="spark.sql(“SELECT * FROM .“)"/>
    <m/>
    <s v="C"/>
    <s v="You can run a SQL query in a Python cell by simply passing the string query to spark.sql()_x000a_By adding the letter f before a Python string, you can inject variables or evaluate Python code by inserting them inside curly braces {}_x000a_So, the correct answer is spark.sql(f“SELECT * FROM {database_name}.{table_name}“)"/>
    <m/>
    <m/>
    <m/>
    <m/>
    <m/>
    <m/>
    <m/>
    <m/>
  </r>
  <r>
    <x v="0"/>
    <n v="1013"/>
    <x v="0"/>
    <n v="13"/>
    <s v="Storage"/>
    <s v="Delta Lake"/>
    <s v="Medium"/>
    <s v="Which of the following SQL commands will return the count of distinct product names from an existing Delta table called products?"/>
    <s v="SELECT COUNT(DISTINCT product_name) FROM products"/>
    <s v="SELECT COUNT(UNIQUE product_name) FROM products"/>
    <s v="SELECT UNIQUE(COUNT(product_name)) FROM products"/>
    <s v="SELECT DISTINCT(COUNT product_name) FROM products"/>
    <s v="SELECT DISTINCT(product_name) FROM products"/>
    <m/>
    <s v="A"/>
    <s v="The correct answer is: SELECT COUNT(DISTINCT product_name) FROM products"/>
    <m/>
    <m/>
    <m/>
    <m/>
    <m/>
    <m/>
    <m/>
    <m/>
  </r>
  <r>
    <x v="0"/>
    <n v="1014"/>
    <x v="0"/>
    <n v="14"/>
    <s v="General"/>
    <s v="Conceptual"/>
    <s v="Medium"/>
    <s v="Which of the following data workloads will utilize a Bronze table as its destination?"/>
    <s v="A job that aggregates cleaned data to create standard summary statistics"/>
    <s v="A job that queries aggregated data to publish key insights into a dashboard"/>
    <s v="A job that develops a feature set for a machine learning application"/>
    <s v="A job that enriches data by parsing its timestamps into a human-readable format"/>
    <s v="A job that ingests raw data from a streaming source into the Lakehouse"/>
    <m/>
    <s v="E"/>
    <s v="Bronze tables contain raw data ingested from various sources like batch and streaming._x000a_For example: JSON files, RDBMS data, IoT data, Kafka data, etc._x000a_Bronze tables serve as the data lake, where massive amounts of data comes in continuously. When it arrives, its dirty because it comes from different sources, some of which are not so structured. It‘s basically a place where data can be captured and retained in its rawest form._x000a_So, Bronze table acts a destination for a job that ingests raw data from a streaming source into the Lakehouse."/>
    <m/>
    <m/>
    <m/>
    <m/>
    <m/>
    <m/>
    <m/>
    <m/>
  </r>
  <r>
    <x v="0"/>
    <n v="1015"/>
    <x v="0"/>
    <n v="15"/>
    <s v="Streaming"/>
    <s v="Structured Streaming"/>
    <s v="Medium"/>
    <s v="Which of the following techniques Structured Streaming uses to ensure end-to-end, exactly-once semantics under any failure condition?"/>
    <s v="Write Ahead Logging and Water Marking"/>
    <s v="Checkpointing, Write Ahead Logs and Idempotent Sinks"/>
    <s v="Write Ahead Logging and Idempotent Sinks"/>
    <s v="Checkpointing and Write Ahead Logging"/>
    <s v=" Idempotent Sinks and Water Marking"/>
    <m/>
    <s v="B"/>
    <s v="Let‘s try to understand the details about Structured Streaming._x000a_At a high level, the underlying streaming mechanism relies on a couple of approaches:_x000a_First, Structured Streaming uses checkpointing and write-ahead logs to record the offset range of data being processed during each trigger interval._x000a_Next, the streaming sinks are designed to be idempotent – that is, multiple writes of the same data (as identified by the offset) do not result in duplicates being written to the sink._x000a_Taken together, replayable data sources and idempotent sinks allow Structured Streaming to ensure end-to-end, exactly-once semantics under any failure condition._x000a_So, the correct answer is: Checkpointing, Write Ahead Logs and Idempotent Sinks"/>
    <m/>
    <m/>
    <m/>
    <m/>
    <m/>
    <m/>
    <m/>
    <m/>
  </r>
  <r>
    <x v="0"/>
    <n v="1016"/>
    <x v="0"/>
    <n v="16"/>
    <s v="General"/>
    <s v="Conceptual"/>
    <s v="Hard"/>
    <s v="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_x000a_Which of the following magic commands can be used to import the custom functions notebook to your current notebook?"/>
    <s v="%import"/>
    <s v="%execute"/>
    <s v="%run"/>
    <s v="%load"/>
    <s v="%include"/>
    <m/>
    <s v="C"/>
    <s v="Lets try to understand the correct answer of this question._x000a_In Databricks notebooks, the %run magic command allows you to include another notebook within a notebook. When used this way, variables, functions and code blocks become part of the current programming context._x000a_Learn More: Modularize or link code in Databricks notebooks"/>
    <m/>
    <m/>
    <m/>
    <m/>
    <m/>
    <m/>
    <m/>
    <m/>
  </r>
  <r>
    <x v="0"/>
    <n v="1017"/>
    <x v="0"/>
    <n v="17"/>
    <s v="Pipelines"/>
    <s v="Delta Live Tables"/>
    <s v="Medium"/>
    <s v="A dataset has been defined using Delta Live Tables and includes an expectations clause:_x000a_CONSTRAINT valid_age EXPECT (age &gt; 0) ON VIOLATION FAIL UPDATE_x000a_What is the expected behavior when an incoming batch of data that violates this constraint gets processed?"/>
    <s v="Records that violate the expectation are dropped from the target dataset and recorded as invalid in the event log."/>
    <s v="Records that violate the expectation are added to the target dataset and recorded as invalid in the event log."/>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m/>
    <s v="D"/>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cause the job to fail“."/>
    <m/>
    <m/>
    <m/>
    <m/>
    <m/>
    <m/>
    <m/>
    <m/>
  </r>
  <r>
    <x v="0"/>
    <n v="1018"/>
    <x v="0"/>
    <n v="18"/>
    <s v="Compute"/>
    <s v="Clusters"/>
    <s v="Hard"/>
    <s v="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_x000a_Which of the following approaches can the data analysis team use so that the queries run faster for all concurrent users?"/>
    <s v="urn on the Auto Stop feature for the SQL endpoint"/>
    <s v="Turn on the Serverless feature for the SQL endpoint"/>
    <s v="Increase the cluster size of the SQL endpoint"/>
    <s v=" Increase the maximum bound of the SQL endpoints scaling range."/>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_x000a_So, the correct answer is “Increase the maximum bound of the SQL endpoints scaling range“._x000a_Learn More: SQL Endpoint Properties | Databricks"/>
    <m/>
    <m/>
    <m/>
    <m/>
    <m/>
    <m/>
    <m/>
    <m/>
  </r>
  <r>
    <x v="0"/>
    <n v="1019"/>
    <x v="0"/>
    <n v="19"/>
    <s v="Orchestration"/>
    <s v="Jobs"/>
    <s v="Easy"/>
    <s v="How many days of historical job runs are preserved by the Databricks?"/>
    <n v="30"/>
    <n v="45"/>
    <n v="60"/>
    <n v="90"/>
    <n v="120"/>
    <m/>
    <s v="C"/>
    <s v="Databricks maintains a history of your job runs for up to 60 days. If you need to preserve job runs, Databricks recommends that you export results before they expire."/>
    <m/>
    <m/>
    <m/>
    <m/>
    <m/>
    <m/>
    <m/>
    <m/>
  </r>
  <r>
    <x v="0"/>
    <n v="1020"/>
    <x v="0"/>
    <n v="20"/>
    <s v="Orchestration"/>
    <s v="Jobs"/>
    <s v="Medium"/>
    <s v="A data engineer has set up two Jobs called A and B. Job A runs before Job B and the output of Job A is used as the input of Job B. If the Job A gets failed due to some reason then Job B cannot be run until Job A gets fixed and rerun successfully._x000a_Which of the following statements is logically correct about the two Jobs A and B?"/>
    <s v="Job A has a dependency on Job B to get completed"/>
    <s v="Both jobs are dependent on each other to get completed"/>
    <s v="Job B has a dependency on Job A to get completed"/>
    <s v="Both jobs are independent of each other and can be run independently"/>
    <s v="None of the above"/>
    <m/>
    <s v="C"/>
    <s v="Let‘s try to understand the answer for this question._x000a_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_x000a_Also, if the Job A gets failed due to some reason then Job B cannot be triggered until Job A gets fixed and rerun successfully._x000a_So, the correct answer is “Job B has a dependency on Job A to get completed“."/>
    <m/>
    <m/>
    <m/>
    <m/>
    <m/>
    <m/>
    <m/>
    <m/>
  </r>
  <r>
    <x v="0"/>
    <n v="1021"/>
    <x v="0"/>
    <n v="21"/>
    <s v="General"/>
    <s v="Conceptual"/>
    <s v="Medium"/>
    <s v="Which of the following views cannot be referenced outside of the notebook in which they are declared?"/>
    <s v="View and Temporary View"/>
    <s v="Global Temporary View and Temporary View"/>
    <s v="View"/>
    <s v="Global Temporary View"/>
    <s v="Temporary View"/>
    <m/>
    <s v="E"/>
    <s v="Temporary views are tied to a Spark session and they are not accessible in the following scenarios_x000a_After restarting a cluster_x000a_After detaching and reattaching to a cluster_x000a_After installing a python package which in turn restarts the Python interpreter_x000a_Or from another notebook_x000a_So, the correct answer is Temporary View"/>
    <m/>
    <m/>
    <m/>
    <m/>
    <m/>
    <m/>
    <m/>
    <m/>
  </r>
  <r>
    <x v="0"/>
    <n v="1022"/>
    <x v="0"/>
    <n v="22"/>
    <s v="Orchestration"/>
    <s v="Jobs"/>
    <s v="Hard"/>
    <s v="In which of the following scenarios, you will want to use a job cluster instead of an all-purpose cluster?"/>
    <s v="A team of data scientists need to collaborate on testing of a machine learning model"/>
    <s v="A data engineer needs to manually debug and fix a production error"/>
    <s v="An ad-hoc analytics report needs to be developed using some data visualizations"/>
    <s v="An automated workflow needs to be run every 1 hour"/>
    <s v="A data analyst needs to schedule a Databricks SQL query for upward reporting"/>
    <m/>
    <s v="D"/>
    <s v="Databricks makes a distinction between all-purpose clusters and job clusters._x000a_All-Purpose Clusters_x000a_You can manually terminate and restart an all-purpose cluster._x000a_You can create an all-purpose cluster using the UI, CLI, or REST API_x000a_Multiple users can share such clusters to do collaborative interactive analysis._x000a_Job Clusters_x000a_Databricks job scheduler creates a job cluster when you run a job on a new job cluster._x000a_Job cluster terminates when the job is complete._x000a_You cannot restart a job cluster._x000a_You use job clusters to run fast and robust automated jobs._x000a_Learn More: Databricks Clusters"/>
    <m/>
    <m/>
    <m/>
    <m/>
    <m/>
    <m/>
    <m/>
    <m/>
  </r>
  <r>
    <x v="0"/>
    <n v="1023"/>
    <x v="0"/>
    <n v="23"/>
    <s v="General"/>
    <s v="Conceptual"/>
    <s v="Medium"/>
    <s v="Which of the following statements correctly describe the Databricks Lakehouse Platform?"/>
    <s v="Databricks Lakehouse Platform is the replacement of data warehouses."/>
    <s v="Databricks Lakehouse Platform is only suitable for streaming data workloads to process data in real time."/>
    <s v="Databricks Lakehouse Platform does not have the support BI use cases."/>
    <s v="Databricks Lakehouse Platform combines the best elements of data lakes and data warehouses to deliver reliability, strong governance and performance."/>
    <s v="Databricks Lakehouse Platform is designed only for batch data workloads with huge data."/>
    <m/>
    <s v="D"/>
    <s v="Correct_x000a_Option D. Databricks Lakehouse Platform combines the best elements of data lakes and data warehouses to deliver reliability, strong governance and performance._x000a__x000a_Correct because the Lakehouse architecture unifies the flexibility and scalability of data lakes with the reliability, performance, and governance of data warehouses._x000a_It supports diverse workloads including BI, ML, streaming, and batch, making it a comprehensive platform._x000a_Incorrect_x000a_Option A. Databricks Lakehouse Platform is the replacement of data warehouses._x000a__x000a_Incorrect because the Lakehouse is not a direct replacement but rather a convergence of data lakes and data warehouses._x000a_It extends warehouse capabilities instead of eliminating them._x000a_Option B. Databricks Lakehouse Platform is only suitable for streaming data workloads to process data in real time._x000a__x000a_Incorrect because the Lakehouse supports batch, streaming, BI, and ML workloads._x000a_It is not limited to streaming use cases._x000a_Option C. Databricks Lakehouse Platform does not have the support BI use cases._x000a__x000a_Incorrect because the Lakehouse explicitly supports BI and SQL analytics through features like Delta tables and integration with BI tools._x000a_Option E. Databricks Lakehouse Platform is designed only for batch data workloads with huge data._x000a__x000a_Incorrect because while it handles large batch workloads, it also supports streaming, ML, and interactive BI queries._x000a_ "/>
    <m/>
    <m/>
    <m/>
    <m/>
    <m/>
    <m/>
    <m/>
    <m/>
  </r>
  <r>
    <x v="0"/>
    <n v="1024"/>
    <x v="0"/>
    <n v="24"/>
    <s v="Development and Ingestion"/>
    <s v="Ingestion"/>
    <s v="Hard"/>
    <s v="A data engineer is in the process of converting their existing data pipeline to utilize Auto Loader for incremental processing in the ingestion of JSON files._x000a_streaming_df = (_x000a_spark_x000a_.readStream_x000a_.format(“cloudFiles“)_x000a_._______________________x000a_.option(“cloudFiles.schemaLocation“, schemaLocation)_x000a_.load(sourcePath)_x000a_)_x000a_Which of the following code snippet should be used to fill above blank so that data engineer can use Auto Loader for ingesting the data?"/>
    <s v="option(“format“, “json“)"/>
    <s v="option(“cloudFiles.format“, “json“)"/>
    <s v="option(“cloudFiles“, “json“)"/>
    <s v="option(cloudFiles.format, json)"/>
    <s v="option(“json“)"/>
    <m/>
    <s v="B"/>
    <s v="Correct_x000a__x000a_Option B. option(“cloudFiles.format”, “json”)_x000a__x000a_Auto Loader requires specifying the file format through the cloudFiles.format option._x000a_This tells Databricks Auto Loader that the incoming files are JSON, enabling incremental ingestion and schema inference._x000a_Correct because it directly matches the required syntax for Auto Loader when using cloudFiles._x000a_Incorrect_x000a__x000a_Option A. option(“format”, “json”)_x000a__x000a_This is the standard Spark option for specifying format, but Auto Loader specifically requires cloudFiles.format._x000a_Using format here would not enable Auto Loader’s incremental processing._x000a_Option C. option(“cloudFiles”, “json”)_x000a__x000a_Invalid syntax. cloudFiles is the source format, not the option key._x000a_Auto Loader expects cloudFiles.format as the option name._x000a_Option D. option(cloudFiles.format, json)_x000a__x000a_Incorrect because the option values must be strings._x000a_Missing quotation marks around both the key and value makes this invalid Spark code._x000a_Option E. option(“json”)_x000a__x000a_Incomplete. Does not specify the option key, only the value._x000a_Spark requires both a key and a value in .option()."/>
    <m/>
    <m/>
    <m/>
    <n v="1"/>
    <m/>
    <m/>
    <m/>
    <m/>
  </r>
  <r>
    <x v="0"/>
    <n v="1025"/>
    <x v="0"/>
    <n v="25"/>
    <s v="Development and Ingestion"/>
    <s v="Ingestion"/>
    <s v="Hard"/>
    <s v="As a data engineer, you are working on a task to load external CSV files into a Delta table using the COPY INTO command given below._x000a_COPY INTO my_table_x000a_FROM ‘/path/to/files‘_x000a_FILEFORMAT = CSV_x000a_After running the command once, the schema of the incoming data has changed in one of the files due to addition of a new column and data load got failed. Which of the following SQL commands will help you to overcome this issue?"/>
    <s v="COPY INTO my_table_x000a_FROM ‘/path/to/files‘_x000a_FILEFORMAT = CSV_x000a_FORMAT_OPTIONS (‘overWriteSchema‘ = ‘true‘)_x000a_COPY_OPTIONS (‘overWriteSchema‘ = ‘true‘);"/>
    <s v="COPY INTO my_table_x000a_FROM ‘/path/to/files‘_x000a_FILEFORMAT = CSV_x000a_FORMAT_OPTIONS (‘mergeSchema‘ = ‘true‘)_x000a_COPY_OPTIONS (‘mergeSchema‘ = ‘true‘);"/>
    <s v="COPY INTO my_table_x000a_FROM ‘/path/to/files‘_x000a_FILEFORMAT = CSV_x000a_FORMAT_OPTIONS (‘mergeSchema‘ = ‘true‘)_x000a_COPY_OPTIONS (‘overWriteSchema‘ = ‘true‘);"/>
    <s v="COPY INTO my_table_x000a_FROM ‘/path/to/files‘_x000a_FILEFORMAT = CSV_x000a_FORMAT_OPTIONS (‘overWriteSchema‘ = ‘true‘)_x000a_COPY_OPTIONS (‘mergeSchema‘ = ‘true‘);"/>
    <s v="None of the above"/>
    <m/>
    <s v="B"/>
    <s v="Option B: COPY INTO with mergeSchema = true_x000a__x000a_SQL_x000a_COPY INTO my_table_x000a_FROM '/path/to/files'_x000a_FILEFORMAT = CSV_x000a_FORMAT_OPTIONS ('mergeSchema' = 'true')_x000a_COPY_OPTIONS ('mergeSchema' = 'true');_x000a_The Logic: By default, Delta Lake enforces a strict schema. If a new column is added to the source files, the load will fail to prevent data corruption._x000a__x000a_The Solution: The mergeSchema option allows the Delta table to automatically update its metadata to include the new column._x000a__x000a_Placement: In the COPY INTO syntax, mergeSchema must be explicitly provided in the COPY_OPTIONS to allow the target table’s schema to evolve._x000a__x000a_Why it works: It allows for a “seamless” transition where the new column is added as a nullable field to existing records while accommodating the new data._x000a__x000a_Incorrect _x000a_Option A: Using overWriteSchema = true_x000a__x000a_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_x000a__x000a_Options C &amp; D: Mixed mergeSchema and overWriteSchema_x000a__x000a_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_x000a__x000a_Option E: None of the above_x000a__x000a_Reasoning: Since Option B is the standard, documented way to handle new columns in a COPY INTO operation on Databricks, this is incorrect."/>
    <m/>
    <m/>
    <m/>
    <n v="1"/>
    <m/>
    <m/>
    <m/>
    <m/>
  </r>
  <r>
    <x v="0"/>
    <n v="1026"/>
    <x v="0"/>
    <n v="26"/>
    <s v="Storage"/>
    <s v="Delta Lake"/>
    <s v="Hard"/>
    <s v="A junior data engineer was typing up a query to manually delete some records from delta table products but he accidentally executed the following query and deleted all records from this table._x000a_DELETE FROM products_x000a_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
    <s v="ROLLBACK TABLE products TO VERSION 20"/>
    <s v="RESTORE products TO VERSION AS OF 19"/>
    <s v="ROLLBACK TABLE products TO VERSION 20"/>
    <s v="RESTORE products TO VERSION 19"/>
    <s v="RESTORE TABLE products TO VERSION AS OF 20"/>
    <m/>
    <s v="E"/>
    <s v="Correct_x000a_Option E. RESTORE TABLE products TO VERSION AS OF 20_x000a__x000a_Correct because Delta Lake supports the RESTORE TABLE … TO VERSION AS OF command._x000a_Since the accidental delete created version 21, rolling back to version 20 restores the table to its state before the delete._x000a_This is the proper syntax and method for undoing destructive operations in Delta tables._x000a_Incorrect_x000a_Option A. ROLLBACK TABLE products TO VERSION 20_x000a__x000a_Incorrect because Delta Lake does not support a ROLLBACK TABLE command._x000a_The correct keyword is RESTORE, not ROLLBACK._x000a_Option B. RESTORE products TO VERSION AS OF 19_x000a__x000a_Incorrect because restoring to version 19 would revert the table further back than necessary._x000a_The correct version to restore is 20, the state immediately before the delete._x000a_Option C. ROLLBACK TABLE products TO VERSION 20_x000a__x000a_Incorrect for the same reason as Option A._x000a_It is a duplicate option and still invalid syntax._x000a_Option D. RESTORE products TO VERSION 19_x000a__x000a_Incorrect because the syntax is incomplete._x000a_The proper command requires RESTORE TABLE … TO VERSION AS OF._x000a_Also, version 19 is not the immediate prior state; version 20 is the correct target."/>
    <m/>
    <m/>
    <m/>
    <m/>
    <m/>
    <m/>
    <m/>
    <m/>
  </r>
  <r>
    <x v="0"/>
    <n v="1027"/>
    <x v="0"/>
    <n v="27"/>
    <s v="Orchestration"/>
    <s v="Jobs"/>
    <s v="Medium"/>
    <s v="You want to execute a block of code only when the value of variable isValid is 1 and value of variable isRunnable is True_x000a_Which of the following Python control flow statements will help you to achieve this task?"/>
    <s v="if isValid = 1 and isRunnable = True:"/>
    <s v="if isValid == 1 and isRunnable:"/>
    <s v="if isValid == 1 and isRunnable = “True“:"/>
    <s v="if isValid = 1 and isRunnable:"/>
    <s v="if isValid == 1 &amp;&amp; isRunnable = True:"/>
    <m/>
    <s v="B"/>
    <s v="Correct_x000a_Option B. if isValid == 1 and isRunnable:_x000a__x000a_Correct because:_x000a_== is the proper equality operator in Python (not = which is assignment)._x000a_and is the correct logical operator in Python (not &amp;&amp;)._x000a_isRunnable is already a boolean, so simply writing and isRunnable is sufficient._x000a_This statement correctly checks both conditions before executing the block of code._x000a_Incorrect_x000a_Option A. if isValid = 1 and isRunnable = True:_x000a__x000a_Incorrect because = is the assignment operator, not comparison._x000a_This would cause a syntax error in Python._x000a_Option C. if isValid == 1 and isRunnable = &quot;True&quot;:_x000a__x000a_Incorrect because &quot;True&quot; is a string, not a boolean._x000a_Also uses = instead of == for comparison with isRunnable._x000a_Option D. if isValid = 1 and isRunnable:_x000a__x000a_Incorrect because = is assignment, not comparison._x000a_This would also result in a syntax error._x000a_Option E. if isValid == 1 &amp;&amp; isRunnable = True:_x000a__x000a_Incorrect because Python uses and, not &amp;&amp;._x000a_Also incorrectly uses = instead of == for comparison."/>
    <m/>
    <m/>
    <m/>
    <m/>
    <m/>
    <m/>
    <m/>
    <m/>
  </r>
  <r>
    <x v="0"/>
    <n v="1028"/>
    <x v="0"/>
    <n v="28"/>
    <s v="Orchestration"/>
    <s v="Jobs"/>
    <s v="Hard"/>
    <s v="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
    <s v="They can observe the task as it runs to try and determine why it is failing"/>
    <s v="They can institute a retry policy for the task that periodically fails"/>
    <s v="They can institute a retry policy for the entire job"/>
    <s v="They can set up the Job to run multiple times ensuring that at least one will complete"/>
    <s v="They can utilize a Jobs cluster for each of the tasks in the Job"/>
    <m/>
    <s v="B"/>
    <s v="Correct_x000a_Option B. They can institute a retry policy for the task that periodically fails_x000a__x000a_Purpose: Databricks allows retry policies at the task level._x000a_Why Correct: Since only one task fails intermittently, applying a retry policy ensures the job can recover automatically without rerunning the entire job._x000a_Benefit: Minimizes compute costs because only the failing task is retried, not the entire workflow. This directly addresses the problem described in the scenario._x000a_Incorrect_x000a_Option A. They can observe the task as it runs to try and determine why it is failing_x000a__x000a_Why Incorrect: Observation may help diagnose the issue but does not guarantee completion every night. It requires manual intervention and does not minimize compute costs._x000a_Option C. They can institute a retry policy for the entire job_x000a__x000a_Why Incorrect: Retrying the entire job wastes compute resources since only one task fails intermittently. This approach increases costs and overhead compared to retrying just the failing task._x000a_Option D. They can set up the Job to run multiple times ensuring that at least one will complete_x000a__x000a_Why Incorrect: Running the job multiple times is highly inefficient and costly. It does not minimize compute costs and introduces redundancy._x000a_Option E. They can utilize a Jobs cluster for each of the tasks in the Job_x000a__x000a_Why Incorrect: Assigning separate clusters for each task increases compute costs significantly. It does not solve the intermittent failure problem and is not cost-effective."/>
    <m/>
    <m/>
    <m/>
    <m/>
    <m/>
    <m/>
    <m/>
    <m/>
  </r>
  <r>
    <x v="0"/>
    <n v="1029"/>
    <x v="0"/>
    <n v="29"/>
    <s v="Orchestration"/>
    <s v="Jobs"/>
    <s v="Easy"/>
    <s v="In a Databricks notebook, all the cells contain code in Python language and you want to add another cell with a SQL statement in it. You changed the default language of the notebook to accomplish this task._x000a_What changes (if any) can be seen in the already existing Python cells?"/>
    <s v="Magic command %python will be added at the end of all cells that contain Python code"/>
    <s v="Python cells will be grayed out and wont run until you change the default language back to Python"/>
    <s v="Magic command %python will be added at the beginning of all cells that contain Python code"/>
    <s v="Magic command %sql will be added at the beginning of all cells that contain Python code"/>
    <s v="There will be no change in any cell and the notebook will remain the same"/>
    <m/>
    <s v="C"/>
    <s v="Correct_x000a_Option C. Magic command %python will be added at the beginning of all cells that contain Python code_x000a__x000a_Explanation:_x000a_In Databricks, when you change the default language of a notebook (for example, from Python to SQL), the existing cells are automatically updated with the appropriate magic command to preserve their original language._x000a_Since the original cells were written in Python, they will be prefixed with %python to explicitly indicate their language._x000a_This ensures that the notebook continues to run correctly without breaking existing Python code._x000a_Incorrect_x000a_Option A. Magic command %python will be added at the end of all cells that contain Python code_x000a__x000a_Incorrect because magic commands are always placed at the beginning of the cell, not at the end._x000a_Option B. Python cells will be grayed out and won’t run until you change the default language back to Python_x000a__x000a_Incorrect because Databricks does not disable or gray out cells when the default language changes. Instead, it adds the appropriate magic command to preserve functionality._x000a_Option D. Magic command %sql will be added at the beginning of all cells that contain Python code_x000a__x000a_Incorrect because %sql applies only to SQL cells. Python cells remain Python and are marked with %python._x000a_Option E. There will be no change in any cell and the notebook will remain the same_x000a__x000a_Incorrect because Databricks explicitly adds magic commands to existing cells when the default language is changed, ensuring clarity and consistency."/>
    <m/>
    <m/>
    <m/>
    <m/>
    <m/>
    <m/>
    <m/>
    <m/>
  </r>
  <r>
    <x v="0"/>
    <n v="1030"/>
    <x v="0"/>
    <n v="3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INSERT INTO"/>
    <s v="CREATE TABLE AS SELECT (CTAS)"/>
    <s v="MERGE INTO"/>
    <s v="UPDATE"/>
    <s v="ALTER TABLE"/>
    <m/>
    <s v="B"/>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a_CREATE TABLE new_table_x000a_AS_x000a_SELECT_x000a_id,_x000a_SUM(amount) as total_amount,_x000a_AVG(score) as average_score_x000a_FROM_x000a_old_table_x000a_GROUP BY_x000a_id;_x000a_This example shows how to use CTAS to create a new table called new_table by adding up and averaging data from old_table. It‘s a handy way to make tables for analysis."/>
    <m/>
    <m/>
    <m/>
    <m/>
    <m/>
    <m/>
    <m/>
    <m/>
  </r>
  <r>
    <x v="0"/>
    <n v="1031"/>
    <x v="0"/>
    <n v="31"/>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REDUCE"/>
    <s v="OPTIMIZE"/>
    <s v="REPARTITION"/>
    <s v="COMPACTION"/>
    <s v="VACUUM"/>
    <m/>
    <s v="B"/>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032"/>
    <x v="0"/>
    <n v="3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Delta Lake"/>
    <s v="File compaction"/>
    <s v="Spark Streaming"/>
    <s v="Data partitioning"/>
    <s v="Dataframe caching"/>
    <m/>
    <s v="A"/>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033"/>
    <x v="0"/>
    <n v="33"/>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Manually check the job status every Monday and send emails to stakeholders."/>
    <s v="Schedule the job run for Monday morning and hope it completes on time."/>
    <s v="Disable all alerts to avoid flooding stakeholders with notifications."/>
    <s v="Configure the job to send completion alerts to the stakeholders‘ email addresses."/>
    <m/>
    <m/>
    <s v="D"/>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m/>
    <m/>
    <m/>
    <m/>
    <m/>
    <m/>
    <m/>
    <m/>
  </r>
  <r>
    <x v="0"/>
    <n v="1034"/>
    <x v="0"/>
    <n v="34"/>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_x000a_SELECT * FROM march_transactions_x000a_OUTER JOIN SELECT * FROM april_transactions;"/>
    <s v="CREATE TABLE all_transactions AS_x000a_SELECT * FROM march_transactions_x000a_INTERSECT SELECT * from april_transactions;"/>
    <s v="CREATE TABLE all_transactions AS_x000a_SELECT * FROM march_transactions_x000a_INNER JOIN SELECT * FROM april_transactions;"/>
    <s v="CREATE TABLE all_transactions AS_x000a_SELECT * FROM march_transactions_x000a_MERGE SELECT * FROM april_transactions;"/>
    <s v="CREATE TABLE all_transactions AS_x000a_SELECT * FROM march_transactions_x000a_UNION SELECT * FROM april_transactions;"/>
    <m/>
    <s v="E"/>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035"/>
    <x v="0"/>
    <n v="35"/>
    <s v="Orchestration"/>
    <s v="Jobs"/>
    <s v="Easy"/>
    <s v="In the context of Databricks workflows, which pattern would you use to handle data at different stages of refinement, from raw to ready-for-use?"/>
    <s v="Fan-out"/>
    <s v="Sequence"/>
    <s v="Loop"/>
    <s v="Funnel"/>
    <m/>
    <m/>
    <s v="B"/>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036"/>
    <x v="0"/>
    <n v="36"/>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Use the repair feature to rerun only the failed transformation task after resolving the cluster issue."/>
    <s v="Manually restart the entire job from the beginning."/>
    <s v="Ignore the alert and wait for the next scheduled run."/>
    <s v="Permanently remove the transformation task from the pipeline to avoid future failures."/>
    <m/>
    <m/>
    <s v="A"/>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m/>
    <m/>
    <m/>
    <m/>
    <m/>
    <m/>
    <m/>
    <m/>
  </r>
  <r>
    <x v="0"/>
    <n v="1037"/>
    <x v="0"/>
    <n v="37"/>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cause the job to fail. "/>
    <s v="Records that violate the expectation are added to the target dataset and flagged as invalid in a field added to the target dataset."/>
    <s v="Records that violate the expectation are dropped from the target dataset and loaded into a quarantine table."/>
    <s v="Records that violate the expectation are added to the target dataset and recorded as invalid in the event log."/>
    <s v="Records that violate the expectation are dropped from the target dataset and recorded as invalid in the event log."/>
    <m/>
    <s v="E"/>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038"/>
    <x v="0"/>
    <n v="38"/>
    <s v="Orchestration"/>
    <s v="Jobs"/>
    <s v="Hard"/>
    <s v="In which scenario should a predecessor task be set up?"/>
    <s v="When all tasks need to run in parallel"/>
    <s v=" When a task must wait for the completion of another task before it starts"/>
    <s v="When tasks are scheduled at different times"/>
    <s v="When tasks are completely independent of each other"/>
    <m/>
    <m/>
    <s v="B"/>
    <s v="Imagine baking a cake (task 2) but needing to mix the ingredients first (task 1). You set up task 1 as a predecessor to task 2 because you can‘t bake the cake before mixing the ingredients. This ensures tasks are done in the right order for the best outcome."/>
    <m/>
    <m/>
    <m/>
    <m/>
    <m/>
    <m/>
    <m/>
    <m/>
  </r>
  <r>
    <x v="0"/>
    <n v="1039"/>
    <x v="0"/>
    <n v="39"/>
    <s v="Orchestration"/>
    <s v="Jobs"/>
    <s v="Easy"/>
    <s v="How does Databricks‘ workflow feature ‘Simple Workflow Authoring‘ cater to teams?"/>
    <s v="It is exclusively available for users with administrative privileges."/>
    <s v="It requires advanced programming skills for all data team members."/>
    <s v="It provides a point-and-click authoring experience accessible to all team members."/>
    <s v="It only allows workflow editing in command-line interfaces."/>
    <m/>
    <m/>
    <s v="C"/>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m/>
    <m/>
    <m/>
    <m/>
  </r>
  <r>
    <x v="0"/>
    <n v="1040"/>
    <x v="0"/>
    <n v="40"/>
    <s v="Pipelines"/>
    <s v="Delta Live Tables"/>
    <s v="Easy"/>
    <s v="What is a key difference between Delta Live Tables and Workflow Jobs in Databricks regarding the source of the tasks?"/>
    <s v="Delta Live Tables can run tasks from any source, while Workflow Jobs are limited to notebooks only."/>
    <s v="Both Delta Live Tables and Workflow Jobs support tasks from JARs, notebooks, and DLT, without support for other programming languages."/>
    <s v="Delta Live Tables can only run tasks from notebooks, while Workflow Jobs can run tasks from a variety of sources including JARs, notebooks, and applications written in multiple languages."/>
    <s v="Both Delta Live Tables and Workflow Jobs are restricted to running tasks from JAR files only."/>
    <m/>
    <m/>
    <s v="C"/>
    <s v="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
    <m/>
    <m/>
    <m/>
    <m/>
    <m/>
    <m/>
    <m/>
    <m/>
  </r>
  <r>
    <x v="0"/>
    <n v="1041"/>
    <x v="0"/>
    <n v="41"/>
    <s v="Orchestration"/>
    <s v="Jobs"/>
    <s v="Easy"/>
    <s v="A task in your Databricks job fails unexpectedly, and you need to find out why to fix the issue and prevent it from happening again. What is the first step you should take to debug this failed task?"/>
    <s v=" Immediately escalate the issue to Databricks support."/>
    <s v="Check the task‘s logs for error messages and clues about the failure."/>
    <s v="Restart the job and hope it works this time."/>
    <s v="Increase the resources allocated to the job without further investigation."/>
    <m/>
    <m/>
    <s v="B"/>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042"/>
    <x v="0"/>
    <n v="42"/>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ata Explorer "/>
    <s v="Databricks SQL "/>
    <s v="Auto Loader "/>
    <s v="Delta Lake "/>
    <s v="Unity Catalog "/>
    <m/>
    <s v="C"/>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043"/>
    <x v="0"/>
    <n v="43"/>
    <s v="Storage"/>
    <s v="Delta Lake"/>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able was cleaned using the VACUUM command."/>
    <s v="The HISTORY command was run on the table"/>
    <s v="The DELETE HISTORY command was executed on the table."/>
    <s v="The TIME TRAVEL feature was utilized on the table."/>
    <s v="The OPTIMIZE command was applied to the table."/>
    <m/>
    <s v="A"/>
    <s v="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
    <m/>
    <m/>
    <m/>
    <m/>
    <m/>
    <m/>
    <m/>
    <m/>
  </r>
  <r>
    <x v="0"/>
    <n v="1044"/>
    <x v="0"/>
    <n v="44"/>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a custom template."/>
    <s v="They can set up an Alert with a new webhook alert destination."/>
    <s v="They can set up an Alert with one-time notifications."/>
    <s v="They can set up an Alert with a new email alert destination."/>
    <s v="They can set up an Alert without notifications."/>
    <m/>
    <s v="B"/>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m/>
    <m/>
    <m/>
    <m/>
  </r>
  <r>
    <x v="0"/>
    <n v="1045"/>
    <x v="0"/>
    <n v="45"/>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my_table UNION VALUES (‘c01‘, 9, 6.2)"/>
    <s v="INSERT VALUES (‘c01‘, 9, 6.2) INTO my_table"/>
    <s v="INSERT INTO my_table VALUES (‘c01‘, 9, 6.2)"/>
    <s v="UPDATE my_table VALUES (‘c01‘, 9, 6.2)"/>
    <s v="UPDATE VALUES (‘c01‘, 9, 6.2) my_table"/>
    <m/>
    <s v="C"/>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046"/>
    <x v="0"/>
    <n v="46"/>
    <s v="Streaming"/>
    <s v="Structured Streaming"/>
    <s v="Medium"/>
    <s v="Which of the following Structured Streaming queries is performing a hop from a Silver table to a Gold table?"/>
    <s v="(spark.table(“sales“)_x000a_.groupBy(“store“)_x000a_.agg(sum(“sales“))_x000a_.writeStream_x000a_.option(“checkpointLocation“, checkpointPath)_x000a_.outputMode(“complete“)_x000a_.table(“newSales“)_x000a_)"/>
    <s v=" (spark.table(“sales“)_x000a_.withColumn(“avgPrice“, col(“sales“) / col(“units“))_x000a_.writeStream_x000a_.option(“checkpointLocation“, checkpointPath)_x000a_.outputMode(“append“)_x000a_.table(“newSales“)_x000a_)"/>
    <s v="(spark.read.load(rawSalesLocation)_x000a_.writeStream_x000a_.option(“checkpointLocation“, checkpointPath)_x000a_.outputMode(“append“)_x000a_.table(“newSales“)_x000a_)"/>
    <s v="(spark.table(“sales“)_x000a_.filter(col(“units“) &gt; 0)_x000a_.writeStream_x000a_.option(“checkpointLocation“, checkpointPath)_x000a_.outputMode(“append“)_x000a_.table(“newSales“)_x000a_)"/>
    <s v="(spark.readStream.load(rawSalesLocation)_x000a_.writeStream_x000a_.option(“checkpointLocation“, checkpointPath)_x000a_.outputMode(“append“)_x000a_.table(“newSales“)_x000a_)"/>
    <m/>
    <s v="A"/>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m/>
    <m/>
    <m/>
    <m/>
    <m/>
    <m/>
    <m/>
    <m/>
  </r>
  <r>
    <x v="0"/>
    <n v="1047"/>
    <x v="0"/>
    <n v="47"/>
    <s v="Pipelines"/>
    <s v="Delta Live Tables"/>
    <s v="Medium"/>
    <s v="Which of the following must be specified when creating a new Delta Live Tables pipeline?"/>
    <s v="A key-value pair configuration"/>
    <s v="The preferred DBU/hour cost"/>
    <s v="A path to cloud storage location for the written data"/>
    <s v="A location of a target database for the written data"/>
    <s v="At least one notebook library to be executed"/>
    <m/>
    <s v="E"/>
    <s v="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
    <m/>
    <m/>
    <m/>
    <m/>
    <m/>
    <m/>
    <m/>
    <m/>
  </r>
  <r>
    <x v="0"/>
    <n v="1048"/>
    <x v="0"/>
    <n v="48"/>
    <s v="Storage"/>
    <s v="Delta Lake"/>
    <s v="Hard"/>
    <s v="In which of the following scenarios should a data engineer use the MERGE INTO command instead of the INSERT INTO command?"/>
    <s v="When the source table can be deleted"/>
    <s v="When the location of the data needs to be changed"/>
    <s v="When the source is not a Delta table"/>
    <s v="When the target table cannot contain duplicate records"/>
    <s v="When the target table is an external table"/>
    <m/>
    <s v="D"/>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m/>
    <m/>
    <m/>
    <m/>
    <m/>
    <m/>
    <m/>
    <m/>
  </r>
  <r>
    <x v="0"/>
    <n v="1049"/>
    <x v="0"/>
    <n v="49"/>
    <s v="Streaming"/>
    <s v="Structured Streaming"/>
    <s v="Hard"/>
    <s v="A data engineer has configured a Structured Streaming job to read from a table, manipulate the data, and then perform a streaming write into a new table. The code block used by the data engineer is below:_x000a_(spark.readStream_x000a_.table(“sales“)_x000a_.withColumn(“avg_price“, col(“sales“) / col(“units“))_x000a_.writeStream_x000a_.option(“checkpointLocation“, checkpointPath)_x000a_.outputMode(“complete“)_x000a_.________x000a_.table(“new_sales“)_x000a_)_x000a_If the data engineer only wants the query to process all of the available data in as many batches as required, which of the following lines of code should the data engineer use to fill in the blank?"/>
    <s v="trigger(parallelBatch=True)"/>
    <s v="trigger(availableNow=True)"/>
    <s v="processingTime(1)"/>
    <s v="trigger(processingTime=“once“)"/>
    <s v="trigger(continuous=“once“)"/>
    <m/>
    <s v="B"/>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n v="1"/>
    <m/>
    <m/>
    <m/>
    <m/>
  </r>
  <r>
    <x v="0"/>
    <n v="1050"/>
    <x v="0"/>
    <n v="50"/>
    <s v="Orchestration"/>
    <s v="Jobs"/>
    <s v="Easy"/>
    <s v="For what reason would a data engineer specify a Task in the “Depends On“ field while configuring a new Task in a Databricks Job?"/>
    <s v="When another task has the same dependency libraries as the new task"/>
    <s v="When another task needs to fail before the new task begins"/>
    <s v="When another task needs to successfully complete before the new task begins"/>
    <s v="When another task needs to be replaced by the new task"/>
    <s v="When another task needs to use as little compute resources as possible"/>
    <m/>
    <s v="C"/>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m/>
    <m/>
    <m/>
    <m/>
    <m/>
    <m/>
    <m/>
    <m/>
  </r>
  <r>
    <x v="0"/>
    <n v="1051"/>
    <x v="0"/>
    <n v="51"/>
    <s v="Pipelines"/>
    <s v="Delta Live Tables"/>
    <s v="Easy"/>
    <s v="How can a data engineer perform audit logging and examine the lineage of datasets within Delta Live Tables pipelines?"/>
    <s v="Reviewing the Delta Lake transaction log for each table to trace back the lineage and audit changes."/>
    <s v="Utilizing the DLT pipeline‘s settings to automatically generate audit logs for review."/>
    <s v="Querying the event log for user_action events and flow_definition to audit user actions and understand dataset lineage."/>
    <s v="By enabling detailed logging at the cluster level and examining system logs."/>
    <m/>
    <m/>
    <s v="C"/>
    <s v="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
    <m/>
    <m/>
    <m/>
    <n v="1"/>
    <m/>
    <m/>
    <m/>
    <m/>
  </r>
  <r>
    <x v="0"/>
    <n v="1052"/>
    <x v="0"/>
    <n v="52"/>
    <s v="Storage"/>
    <s v="Delta Lake"/>
    <s v="Easy"/>
    <s v="Which command allows for data to be inserted into a Delta table while ensuring duplicates are not written?"/>
    <s v="INSERT"/>
    <s v="UPDATE"/>
    <s v="MERGE"/>
    <s v="APPEND"/>
    <s v="DROP"/>
    <m/>
    <s v="C"/>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053"/>
    <x v="0"/>
    <n v="53"/>
    <s v="Development and Ingestion"/>
    <s v="Ingestion"/>
    <s v="Easy"/>
    <s v="What tool does Auto Loader utilize to process data in increments?"/>
    <s v="Checkpointing"/>
    <s v="Spark Structured Streaming"/>
    <s v="Unity Catalog"/>
    <s v="Databricks SQL"/>
    <s v="Data Explorer"/>
    <m/>
    <s v="B"/>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m/>
    <m/>
    <m/>
    <m/>
    <m/>
    <m/>
    <m/>
    <m/>
  </r>
  <r>
    <x v="0"/>
    <n v="1054"/>
    <x v="0"/>
    <n v="54"/>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s v="They can navigate to the Tasks tab in the Jobs UI and click on the active run to review the processing notebook."/>
    <s v="There is no way to determine why a Job task is running slowly."/>
    <m/>
    <s v="A"/>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m/>
    <m/>
    <m/>
    <n v="1"/>
    <m/>
    <m/>
    <m/>
    <m/>
  </r>
  <r>
    <x v="0"/>
    <n v="1055"/>
    <x v="0"/>
    <n v="55"/>
    <s v="Orchestration"/>
    <s v="Jobs"/>
    <s v="Easy"/>
    <s v="A data engineer needs to apply a complex run schedule from one Job to others without manually setting each time in Databricks. Which tool allows them to define and apply this schedule through code (programmatically)?"/>
    <s v="Cron syntax"/>
    <s v="pyspark.sql.types.DateType"/>
    <s v="pyspark.sql.types.TimestampType"/>
    <s v="datetime"/>
    <s v="There is no way to represent and submit this information programmatically"/>
    <m/>
    <s v="A"/>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056"/>
    <x v="0"/>
    <n v="56"/>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INSERT OVERWRITE"/>
    <s v="UPDATE"/>
    <s v="INSERT INTO"/>
    <s v="ALTER TABLE"/>
    <s v="MERGE INTO"/>
    <m/>
    <s v="A"/>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057"/>
    <x v="0"/>
    <n v="57"/>
    <s v="Orchestration"/>
    <s v="Jobs"/>
    <s v="Easy"/>
    <s v="What is a critical step in orchestrating a task within a Databricks Workflow Job?"/>
    <s v="Assigning a unique identifier to each task manually"/>
    <s v="Choosing a color scheme for task visualization"/>
    <s v="Configuring the maximum allowable downtime for the job"/>
    <s v="Setting up task dependencies to control execution order"/>
    <m/>
    <m/>
    <s v="D"/>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058"/>
    <x v="1"/>
    <n v="1"/>
    <s v="Analytics"/>
    <s v="Databricks SQL"/>
    <s v="Easy"/>
    <s v="When querying data from a CSV file in Databricks SQL, what prefix should be included after the FROM keyword to correctly interpret the source as a CSV file?"/>
    <s v="CSV"/>
    <s v="csv"/>
    <s v="TEXT"/>
    <s v="FILE"/>
    <m/>
    <m/>
    <s v="B"/>
    <s v="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
    <m/>
    <m/>
    <m/>
    <m/>
    <m/>
    <m/>
    <m/>
    <m/>
  </r>
  <r>
    <x v="0"/>
    <n v="1059"/>
    <x v="1"/>
    <n v="2"/>
    <s v="General"/>
    <s v="Conceptual"/>
    <s v="Easy"/>
    <s v="What is the purpose of using schema_of_json in SQL?"/>
    <s v="To validate the structure of a JSON string."/>
    <s v="To generate a schema that can be used to parse a JSON string into a struct."/>
    <s v="To create a new JSON string from a struct."/>
    <s v="To compress the JSON data for storage efficiency."/>
    <m/>
    <m/>
    <s v="B"/>
    <s v="schema_of_json is used to generate a schema based on an example JSON string, which defines the structure that FROM_JSON will use to parse JSON strings into structs with the appropriate data types."/>
    <m/>
    <m/>
    <m/>
    <n v="1"/>
    <m/>
    <m/>
    <m/>
    <m/>
  </r>
  <r>
    <x v="0"/>
    <n v="1060"/>
    <x v="1"/>
    <n v="3"/>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_x000a_SELECT product_category, SUM(sales)_x000a_FROM monthly_sales_YYYYMM_x000a_GROUP BY product_category;_x000a_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m/>
    <m/>
    <m/>
    <n v="1"/>
    <m/>
    <m/>
    <m/>
    <m/>
  </r>
  <r>
    <x v="0"/>
    <n v="1061"/>
    <x v="1"/>
    <n v="4"/>
    <s v="General"/>
    <s v="Conceptual"/>
    <s v="Easy"/>
    <s v="Which statement correctly describes the difference between a Temporary View and a Global Temporary View?"/>
    <s v="There is no difference; both Temporary and Global Temporary Views have the same scope and visibility across Spark sessions."/>
    <s v="Temporary Views can be created on disk, making them persistent across Spark sessions, whereas Global Temporary Views are in-memory only and lost after the session ends."/>
    <s v="Temporary Views are stored in the Hive metastore and are accessible across all sessions, whereas Global Temporary Views are session-scoped and not stored in the Hive metastore."/>
    <s v="Temporary Views are session-scoped and cannot be accessed by other Spark sessions, whereas Global Temporary Views are accessible across multiple Spark sessions within the same Spark application."/>
    <m/>
    <m/>
    <s v="D"/>
    <s v="Temporary Views are tied to a single Spark session and are not visible to other sessions, while Global Temporary Views are visible across all sessions of a Spark application but are not stored in the Hive metastore."/>
    <m/>
    <m/>
    <m/>
    <m/>
    <m/>
    <m/>
    <m/>
    <m/>
  </r>
  <r>
    <x v="0"/>
    <n v="1062"/>
    <x v="1"/>
    <n v="5"/>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specified without a location."/>
    <s v="The table‘s data was under 10 GB."/>
    <s v="The table was a managed table."/>
    <s v="The table was set up as an external table."/>
    <m/>
    <s v="E"/>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063"/>
    <x v="1"/>
    <n v="6"/>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Create a UDF in Databricks that applies the conversion formula and use it in a Spark SQL query to transform the temperature column."/>
    <s v="Use a built-in Spark SQL function that automatically converts temperatures from Celsius to Fahrenheit."/>
    <s v="Directly modify the dataset in the data lake to convert all temperatures to Fahrenheit before importing it into Databricks."/>
    <m/>
    <m/>
    <s v="B"/>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064"/>
    <x v="1"/>
    <n v="7"/>
    <s v="Orchestration"/>
    <s v="Jobs"/>
    <s v="Hard"/>
    <s v="A data engineer is tasked with constructing a table in Databricks, sourcing data from the organization‘s pre-existing SQLite database. To accomplish this, they execute the command below:_x000a_CREATE TABLE jdbc_customer360_x000a_USING ______________x000a_OPTIONS (_x000a_url “jdbc:sqlite:/customers.db“,_x000a_datatable “customer360“_x000a_)_x000a_Which option correctly completes the command to fulfill this requirement?"/>
    <s v="autoloader"/>
    <s v="DELTA"/>
    <s v="org.apache.spark.sql.jdbc"/>
    <s v="org.apache.spark.sql.sqlite"/>
    <s v="sqlite"/>
    <m/>
    <s v="C"/>
    <s v="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
    <m/>
    <m/>
    <m/>
    <m/>
    <m/>
    <m/>
    <m/>
    <m/>
  </r>
  <r>
    <x v="0"/>
    <n v="1065"/>
    <x v="1"/>
    <n v="8"/>
    <s v="General"/>
    <s v="Conceptual"/>
    <s v="Easy"/>
    <s v="Which benefit is offered by utilizing array functions in Spark SQL?"/>
    <s v="The capability to process complex, hierarchical data structures sourced from JSON documents."/>
    <s v="The capability to manipulate data across specific partitions and window frames."/>
    <s v="The capability to interact with a collection of tables for streamlined automation."/>
    <s v="The capability to manage time-based data over defined periods."/>
    <s v="The capability to handle multiple data types simultaneously."/>
    <m/>
    <s v="A"/>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066"/>
    <x v="1"/>
    <n v="9"/>
    <s v="General"/>
    <s v="Conceptual"/>
    <s v="Easy"/>
    <s v="What distinguishes a materialized view from a standard database view?"/>
    <s v="There is no difference; both are terms used interchangeably in the context of database management."/>
    <s v="A materialized view automatically updates in real-time as the underlying data changes, whereas a standard view requires manual refresh."/>
    <s v="A materialized view stores the output of a query physically on disk, whereas a standard view does not store any data but provides a virtual view based on a query."/>
    <s v="A materialized view can only be used in relational databases, while a standard view is specific to NoSQL databases."/>
    <m/>
    <m/>
    <s v="C"/>
    <s v="The key difference lies in the physical storage of query results for materialized views, which enhances performance for read-heavy operations, unlike standard views that dynamically execute the underlying query each time they are accessed."/>
    <m/>
    <m/>
    <m/>
    <m/>
    <m/>
    <m/>
    <m/>
    <m/>
  </r>
  <r>
    <x v="0"/>
    <n v="1067"/>
    <x v="1"/>
    <n v="10"/>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 CASE_x000a_WHEN city = “San Francisco“ THEN “California“_x000a_ELSE city_x000a_END;"/>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m/>
    <s v="A"/>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n v="1"/>
    <m/>
    <m/>
    <m/>
    <m/>
  </r>
  <r>
    <x v="0"/>
    <n v="1068"/>
    <x v="1"/>
    <n v="11"/>
    <s v="General"/>
    <s v="Conceptual"/>
    <s v="Easy"/>
    <s v="Which data type is typically involved when using the explode function?"/>
    <s v="BOOLEAN"/>
    <s v="STRING"/>
    <s v="ARRAY"/>
    <s v="INTEGER"/>
    <m/>
    <m/>
    <s v="C"/>
    <s v="he explode function operates on ARRAY data types since it is designed to take each element within an array and create a new row for it in the result set."/>
    <m/>
    <m/>
    <m/>
    <m/>
    <m/>
    <m/>
    <m/>
    <m/>
  </r>
  <r>
    <x v="0"/>
    <n v="1069"/>
    <x v="1"/>
    <n v="12"/>
    <s v="General"/>
    <s v="Conceptual"/>
    <s v="Easy"/>
    <s v="Which function is typically used to convert a JSON string into a struct in SQL?"/>
    <s v="JSON_TO_STRUCT"/>
    <s v="CAST_AS_STRUCT"/>
    <s v="FROM_JSON"/>
    <s v="TO_STRUCT"/>
    <m/>
    <m/>
    <s v="C"/>
    <s v="The FROM_JSON function is commonly used in SQL to parse a JSON string and convert it into a struct data type, allowing for access to the data as if it were a regular row in a table."/>
    <m/>
    <m/>
    <m/>
    <n v="1"/>
    <m/>
    <m/>
    <m/>
    <m/>
  </r>
  <r>
    <x v="0"/>
    <n v="1070"/>
    <x v="1"/>
    <n v="13"/>
    <s v="Storage"/>
    <s v="Delta Lake"/>
    <s v="Hard"/>
    <s v="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
    <s v="Create a new Delta Lake table that pre-aggregates the sales data on a daily basis and query this table for the weekly report."/>
    <s v="Directly query the transactional data each time the report is needed, ensuring the most up-to-date information is used."/>
    <s v="Increase the compute resources of the Databricks cluster before running the weekly report to reduce execution time."/>
    <s v="Store the query results in a blob storage and update it manually every month to ensure data freshness."/>
    <m/>
    <m/>
    <s v="A"/>
    <s v="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
    <m/>
    <m/>
    <m/>
    <m/>
    <m/>
    <m/>
    <m/>
    <m/>
  </r>
  <r>
    <x v="0"/>
    <n v="1071"/>
    <x v="1"/>
    <n v="14"/>
    <s v="General"/>
    <s v="Conceptual"/>
    <s v="Easy"/>
    <s v="Given a table named ‘events‘ with a column ‘items‘ that contains an array of values, which SQL query would transform each item of the array into a separate row?"/>
    <s v="SELECT user_id, event_timestamp, event_name, ARRAY(items) AS item_x000a_FROM events;"/>
    <s v="SELECT user_id, event_timestamp, event_name, items_x000a_FROM events;"/>
    <s v="SELECT user_id, event_timestamp, event_name, explode(items) AS item_x000a_FROM events;"/>
    <s v="SELECT user_id, event_timestamp, event_name, UNNEST(items) AS item_x000a_FROM events;"/>
    <m/>
    <m/>
    <s v="C"/>
    <s v="SELECT user_id, event_timestamp, event_name, explode(items) AS item FROM events;"/>
    <m/>
    <m/>
    <m/>
    <m/>
    <m/>
    <m/>
    <m/>
    <m/>
  </r>
  <r>
    <x v="0"/>
    <n v="1072"/>
    <x v="1"/>
    <n v="15"/>
    <s v="General"/>
    <s v="Conceptual"/>
    <s v="Easy"/>
    <s v="What SQL data type should be used to store an ordered collection of multiple names in a table?"/>
    <s v="MAP"/>
    <s v="STRUCT"/>
    <s v="VARCHAR"/>
    <s v="ARRAY"/>
    <m/>
    <m/>
    <s v="D"/>
    <s v="An ARRAY data type is suitable for storing an arbitrary number of elements of the same data type, which in this case could be a collection of names as strings."/>
    <m/>
    <m/>
    <m/>
    <n v="1"/>
    <m/>
    <m/>
    <m/>
    <m/>
  </r>
  <r>
    <x v="0"/>
    <n v="1073"/>
    <x v="1"/>
    <n v="16"/>
    <s v="General"/>
    <s v="Conceptual"/>
    <s v="Easy"/>
    <s v="What is the primary use of the PIVOT clause in Spark SQL?"/>
    <s v="To split a single column into multiple columns based on column values"/>
    <s v="To perform aggregation and convert rows into columns, transforming data from a long format to a wide format"/>
    <s v="To filter rows based on a specified condition"/>
    <s v="To merge multiple rows into a single row by creating a wider table with more columns"/>
    <m/>
    <m/>
    <s v="B"/>
    <s v="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
    <m/>
    <m/>
    <m/>
    <m/>
    <m/>
    <m/>
    <m/>
    <m/>
  </r>
  <r>
    <x v="0"/>
    <n v="1074"/>
    <x v="1"/>
    <n v="17"/>
    <s v="General"/>
    <s v="Conceptual"/>
    <s v="Hard"/>
    <s v="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
    <s v="View"/>
    <s v="Delta Table"/>
    <s v="Database"/>
    <s v="Temporary View"/>
    <s v="Spark SQL Table"/>
    <m/>
    <s v="D"/>
    <s v="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
    <m/>
    <m/>
    <m/>
    <m/>
    <m/>
    <m/>
    <m/>
    <m/>
  </r>
  <r>
    <x v="0"/>
    <n v="1075"/>
    <x v="1"/>
    <n v="18"/>
    <s v="General"/>
    <s v="Conceptual"/>
    <s v="Medium"/>
    <s v="Which of the following SQL keywords can be used to convert a table from a long format to a wide format?"/>
    <s v="TRANSFORM"/>
    <s v="PIVOT"/>
    <s v="CONVERT"/>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076"/>
    <x v="1"/>
    <n v="19"/>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a_USING (_x000a_SELECT customer_id, MAX(purchase_date) AS latest_purchase_date_x000a_FROM customer_purchases_x000a_GROUP BY customer_id_x000a_) AS source_x000a_ON target.customer_id = source.customer_id_x000a_WHEN MATCHED AND target.purchase_date &lt; source.latest_purchase_date THEN DELETE_x000a_WHEN NOT MATCHED THEN INSERT *;"/>
    <s v="MERGE INTO customer_purchases AS target_x000a_USING customer_purchases AS source_x000a_ON target.customer_id = source.customer_id_x000a_WHEN MATCHED AND target.purchase_date &lt; source.purchase_date THEN DELETE;"/>
    <s v="MERGE INTO customer_purchases AS target_x000a_USING (_x000a_SELECT customer_id, purchase_date_x000a_FROM customer_purchases_x000a_WHERE purchase_date = (SELECT MAX(purchase_date) FROM customer_purchases GROUP BY customer_id)_x000a_) AS source_x000a_ON target.customer_id = source.customer_id_x000a_WHEN MATCHED THEN UPDATE SET target.* = source.*_x000a_WHEN NOT MATCHED THEN INSERT *;"/>
    <s v="MERGE INTO customer_purchases AS target_x000a_USING (_x000a_SELECT customer_id, MAX(purchase_date) AS latest_purchase_date_x000a_FROM customer_purchases_x000a_GROUP BY customer_id_x000a_) AS source_x000a_ON target.customer_id = source.customer_id AND target.purchase_date &lt; source.latest_purchase_date_x000a_WHEN MATCHED THEN DELETE;"/>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m/>
    <m/>
    <m/>
    <n v="1"/>
    <m/>
    <m/>
    <m/>
    <m/>
  </r>
  <r>
    <x v="0"/>
    <n v="1077"/>
    <x v="1"/>
    <n v="20"/>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are automatically deleted after a certain period, and the time limit was exceeded."/>
    <s v="The data engineer did not correctly create the temporary view, resulting in an error when trying to access it from another session."/>
    <s v="Temporary views require special permissions to be accessed from different sessions."/>
    <s v="Temporary views in Spark SQL are session-scoped and cannot be accessed from different sessions."/>
    <m/>
    <s v="E"/>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078"/>
    <x v="1"/>
    <n v="21"/>
    <s v="General"/>
    <s v="Conceptual"/>
    <s v="Easy"/>
    <s v="Consider the following Databricks Spark SQL code snippet. What does this code accomplish?_x000a_CREATE OR REPLACE TEMPORARY VIEW daily_sales AS_x000a_SELECT date, SUM(amount) AS total_sales_x000a_FROM sales_x000a_GROUP BY date;_x000a_CREATE OR REPLACE GLOBAL TEMP VIEW global_daily_sales AS_x000a_SELECT * FROM daily_sales;"/>
    <s v="Creates a Temporary View daily_sales and a Global Temporary View global_daily_sales with the same data, but global_daily_sales can be accessed in any session within the application."/>
    <s v="Creates a Materialized View daily_sales that is stored on disk and a Global Temporary View global_daily_sales that is stored in memory."/>
    <s v="Throws an error because a Global Temporary View cannot be created from a Temporary View."/>
    <s v="Creates two identical views, daily_sales and global_daily_sales, both of which are accessible across multiple Spark sessions and applications."/>
    <m/>
    <m/>
    <s v="A"/>
    <s v="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
    <m/>
    <m/>
    <m/>
    <m/>
    <m/>
    <m/>
    <m/>
    <m/>
  </r>
  <r>
    <x v="0"/>
    <n v="1079"/>
    <x v="1"/>
    <n v="22"/>
    <s v="General"/>
    <s v="Conceptual"/>
    <s v="Hard"/>
    <s v="A data engineer is in the process of crafting a new table to store the names of customers residing in the USA. They‘ve initiated the command as follows:_x000a_CREATE TABLE customersInUSA_x000a_________ AS_x000a_SELECT id, firstName, lastName_x000a_FROM Locations_x000a_WHERE country = ‘USA‘;_x000a_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COMMENT “Contains PII“"/>
    <s v="PII"/>
    <s v="TBLPROPERTIES (‘PII‘=‘true‘)"/>
    <s v="Marking a table as containing PII is not supported."/>
    <s v="“COMMENT ‘PII‘“"/>
    <m/>
    <s v="A"/>
    <s v="Correct:_x000a__x000a_Option A. COMMENT “Contains PII”_x000a_Databricks SQL supports adding a COMMENT clause directly in the CREATE TABLE ... AS SELECT statement. Using a clear comment such as &quot;Contains PII&quot; satisfies the company guideline by explicitly marking the table as containing personally identifiable information. This is a common and supported way to document metadata for tables._x000a__x000a_Incorrect:_x000a__x000a_Option B. PII_x000a_Using just PII is not valid SQL syntax and does not define any table metadata or property. It cannot be inserted into a CREATE TABLE statement on its own._x000a__x000a_Option C. TBLPROPERTIES (‘PII’=’true’)_x000a_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_x000a__x000a_Option D. Marking a table as containing PII is not supported._x000a_This statement is incorrect. Databricks allows tables to be annotated with metadata such as comments, which are commonly used to flag sensitive data like PII._x000a__x000a_Option E. “COMMENT ‘PII'”_x000a_This option is syntactically incorrect due to improper quoting and placement. The COMMENT clause must follow valid SQL syntax, and this snippet would not correctly complete the command."/>
    <m/>
    <m/>
    <m/>
    <m/>
    <m/>
    <m/>
    <m/>
    <m/>
  </r>
  <r>
    <x v="0"/>
    <n v="1080"/>
    <x v="1"/>
    <n v="23"/>
    <s v="General"/>
    <s v="Conceptual"/>
    <s v="Easy"/>
    <s v="What limitation does Databricks Notebooks have regarding version control integration compared to Databricks Repos?"/>
    <s v="Notebooks have built-in conflict resolution tools that Repos lack."/>
    <s v="Notebooks support direct integration with all major version control systems, while Repos do not."/>
    <s v="Repos allow for full Git integration, including branching and merging, which is not directly supported within Notebooks."/>
    <s v="Notebooks can only be linked to a single branch in a Git repository, whereas Repos can be linked to multiple branches simultaneously."/>
    <m/>
    <m/>
    <s v="C"/>
    <s v="Correct_x000a_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_x000a__x000a_Incorrect_x000a_Option A (Notebooks have built-in conflict resolution tools that Repos lack.): Repos use standard Git conflict resolution; notebooks lack Git integration entirely._x000a_Option B (Notebooks support direct integration with all major version control systems, while Repos do not.): Opposite of reality; Repos provide the direct Git provider integration._x000a_Option D (Notebooks can only be linked to a single branch in a Git repository, whereas Repos can be linked to multiple branches simultaneously.): Notebooks aren’t linked to Git branches; this is a Repos feature."/>
    <m/>
    <m/>
    <m/>
    <m/>
    <m/>
    <m/>
    <m/>
    <m/>
  </r>
  <r>
    <x v="0"/>
    <n v="1081"/>
    <x v="1"/>
    <n v="24"/>
    <s v="Storage"/>
    <s v="Delta Lake"/>
    <s v="Easy"/>
    <s v="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
    <s v="Writing as a Parquet file"/>
    <s v="Bin-packing"/>
    <s v="Data skipping"/>
    <s v="Z-Ordering"/>
    <m/>
    <m/>
    <s v="D"/>
    <s v="Correct _x000a_option D. Z-Ordering_x000a__x000a_Why Z-Ordering is Correct_x000a_“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_x000a__x000a_Command: OPTIMIZE table ZORDER BY (filter_col1, filter_col2)_x000a__x000a_Incorrect_x000a_option A. Writing as a Parquet file_x000a_Already Delta format (Parquet-based). Issue is data clustering, not file format._x000a__x000a_option B. Bin-packing_x000a_File size optimization (small file compaction via OPTIMIZE without ZORDER). Already done – “despite optimizing data file sizes”._x000a__x000a_option C. Data skipping_x000a_Automatic Delta feature using min/max stats per file. Works when rows clustered together (requires Z-Ordering first)."/>
    <m/>
    <m/>
    <m/>
    <m/>
    <m/>
    <m/>
    <m/>
    <m/>
  </r>
  <r>
    <x v="0"/>
    <n v="1082"/>
    <x v="1"/>
    <n v="25"/>
    <s v="Analytics"/>
    <s v="Databricks SQL"/>
    <s v="Easy"/>
    <s v="When querying data from a JSON file in Databricks SQL, what prefix should be included after the FROM keyword?"/>
    <s v="json"/>
    <s v="JSON"/>
    <s v="FILE"/>
    <s v="TEXT"/>
    <m/>
    <m/>
    <s v="A"/>
    <s v="Correct_x000a_Option A. json_x000a__x000a_Correct because in Databricks SQL, when querying directly from a JSON file, you must use the json. prefix after the FROM keyword._x000a_Example:_x000a_sql_x000a_SELECT * _x000a_FROM json.`/mnt/data/sample.json`;_x000a_This tells Databricks SQL to interpret the file as JSON format and query it accordingly._x000a_Incorrect_x000a_Option B. JSON_x000a__x000a_Incorrect because Databricks SQL requires the lowercase json prefix. SQL syntax in Databricks is case-sensitive for file format prefixes._x000a_Option C. FILE_x000a__x000a_Incorrect because there is no FILE prefix in Databricks SQL. File formats must be explicitly specified (e.g., json, csv, parquet)._x000a_Option D. TEXT_x000a__x000a_Incorrect because TEXT is not a valid prefix for querying JSON files. Databricks SQL does not support TEXT as a file format identifier."/>
    <m/>
    <m/>
    <m/>
    <m/>
    <m/>
    <m/>
    <m/>
    <m/>
  </r>
  <r>
    <x v="0"/>
    <n v="1083"/>
    <x v="1"/>
    <n v="26"/>
    <s v="General"/>
    <s v="Conceptual"/>
    <s v="Easy"/>
    <s v="What syntax does Spark SQL use to query subfields within STRUCT data types?"/>
    <s v=" Dot (.)"/>
    <s v="Semicolon (;)"/>
    <s v="Comma (,)"/>
    <s v="Colon (:)"/>
    <m/>
    <m/>
    <s v="A"/>
    <s v="Correct_x000a_Option A. Dot (.)_x000a__x000a_Spark SQL uses dot notation to access subfields inside a STRUCT._x000a_Example:_x000a_sql_x000a_SELECT person.name, person.address.city _x000a_FROM people;_x000a_Here, person is a STRUCT column, and the dot (.) operator is used to query its subfields._x000a_This is the standard and correct syntax supported by Spark SQL._x000a_Option B. Semicolon (;)_x000a__x000a_Semicolons are used to terminate SQL statements, not to access subfields._x000a_Using person;name would result in a syntax error._x000a_Option C. Comma (,)_x000a__x000a_Commas are used to separate columns in a SELECT clause, not to query subfields._x000a_Example: SELECT person,name would be invalid for accessing STRUCT fields._x000a_Option D. Colon (:)_x000a__x000a_Colons are not valid syntax in Spark SQL for accessing STRUCT fields._x000a_They are sometimes used in other contexts (like JSONPath or certain programming languages), but not in Spark SQL."/>
    <m/>
    <m/>
    <m/>
    <n v="1"/>
    <m/>
    <m/>
    <m/>
    <m/>
  </r>
  <r>
    <x v="0"/>
    <n v="1084"/>
    <x v="1"/>
    <n v="27"/>
    <s v="Storage"/>
    <s v="Delta Lake"/>
    <s v="Hard"/>
    <s v="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
    <s v="SELECT * FROM sales"/>
    <s v="spark.delta.table(“sales“)"/>
    <s v="spark.sql(“SELECT * FROM sales“)"/>
    <s v="Data sharing between PySpark and SQL is not possible."/>
    <s v="spark.table(“sales“)"/>
    <m/>
    <s v="E"/>
    <s v="Correct_x000a__x000a_Option E. spark.table(&quot;sales&quot;)_x000a__x000a_Why Correct:_x000a_In PySpark, the correct way is by using spark to access a Delta table registered in the metastore.table(&quot;sales&quot;)._x000a_This returns a DataFrame sales table, which representing the can then be manipulated and tested using Python._x000a_It is the most direct and efficient method for accessing a Delta table in PySpark._x000a_Incorrect_x000a__x000a_Option A. SELECT * FROM sales_x000a__x000a_Why Incorrect:_x000a_This is a SQL query, not a PySpark command in SQL, it does._x000a_While valid not align with the requirement to use Python/PySpark for testing._x000a_Option_x000a__x000a_Why Incorrect:_x000a_This is not a valid PySpark B. spark.delta.table(&quot;sales&quot;) The correct syntax for Delta tables API call._x000a_is either DeltaTable.forName(spark, &quot;sales&quot;) (for(“sales”)for Data DeltaTable operations) orspark.tableFrame access._x000a_As written, this._x000a_Option C. spark.sql(&quot;SELECT option is invalid * FROM sales&quot;)_x000a__x000a_Why Incorrect:_x000a_While this command works in PySpark, it is still executing SQL inside Python._x000a_The question emphasizes using Python for testing rather than SQL, so this is not the best fit._x000a_is not possibleOption D. Data sharing between PySpark and SQL._x000a__x000a_Why Incorrect:_x000a_This is factually wrong._x000a_PySpark and SQL share the same metastore, and tables can be accessed interchangeably."/>
    <m/>
    <m/>
    <m/>
    <n v="1"/>
    <m/>
    <m/>
    <m/>
    <m/>
  </r>
  <r>
    <x v="0"/>
    <n v="1085"/>
    <x v="1"/>
    <n v="28"/>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There is no way to share data between PySpark and SQL."/>
    <s v="spark.sql"/>
    <s v="spark.delta.table"/>
    <s v="spark.table"/>
    <s v="SELECT * FROM sales"/>
    <m/>
    <s v="B"/>
    <s v="Correct_x000a_Option B. spark.sql_x000a__x000a_Correct because spark.sql(&quot;SELECT ...&quot;) allows PySpark code to execute SQL queries directly._x000a_The result of spark.sql is a DataFrame, which can then be manipulated in Python using PySpark functions._x000a_This is the standard way to bridge SQL queries with PySpark operations._x000a_Incorrect_x000a_Option A. There is no way to share data between PySpark and SQL._x000a__x000a_Incorrect because PySpark and SQL are tightly integrated in Databricks._x000a_spark.sql is explicitly designed to allow SQL queries to be executed and results returned as DataFrames for Python operations._x000a_Option C. spark.delta.table_x000a__x000a_Incorrect because there is no such direct function in PySpark._x000a_Delta tables can be accessed using DeltaTable.forPath() or spark.read.format(&quot;delta&quot;), but not with spark.delta.table._x000a_This option is invalid syntax._x000a_Option D. spark.table_x000a__x000a_Incorrect because spark.table(&quot;tableName&quot;) loads an existing table into a DataFrame, but it does not execute arbitrary SQL queries._x000a_It is useful for accessing registered tables, but not for running custom queries like the analyst’s SQL._x000a_Option E. SELECT * FROM sales_x000a__x000a_Incorrect because this is just a raw SQL statement, not a PySpark operation._x000a_To run this in PySpark, it must be wrapped inside spark.sql(&quot;SELECT * FROM sales&quot;)."/>
    <m/>
    <m/>
    <m/>
    <m/>
    <m/>
    <m/>
    <m/>
    <m/>
  </r>
  <r>
    <x v="0"/>
    <n v="1086"/>
    <x v="1"/>
    <n v="29"/>
    <s v="Analytics"/>
    <s v="Databricks SQL"/>
    <s v="Hard"/>
    <s v="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
    <s v=" Implement a materialized view-like strategy for both the dashboard and historical data analysis to reduce the computational load on the Databricks cluster."/>
    <s v="Implement a materialized view-like strategy for the dashboard to ensure quick access to pre-aggregated data, and use a temporary view for ad-hoc, real-time analysis tasks that do not require data persistence."/>
    <s v="Use a temporary view for both the dashboard and historical data analysis to maximize data freshness and minimize storage costs."/>
    <s v="Use a temporary view for the dashboard to ensure data is always up-to-date with real-time transformations, and implement a materialized view-like strategy for historical data analysis where data latency is acceptable."/>
    <m/>
    <m/>
    <s v="B"/>
    <s v="Correct_x000a_Option B. Implement a materialized view‑like strategy for the dashboard to ensure quick access to pre‑aggregated data, and use a temporary view for ad‑hoc, real‑time analysis tasks that do not require data persistence._x000a__x000a_Explanation:_x000a__x000a_A materialized view‑like strategy (for example, persisting results into Delta tables or scheduled jobs) is ideal for the dashboard because it requires fast query performance and daily refreshes with minimal latency. Pre‑aggregating data reduces computational overhead._x000a_A temporary view is best for ad‑hoc analysis where persistence is not required. It exists only for the session and is useful for quick, real‑time transformations without storing results._x000a_Incorrect_x000a_Option A. Implement a materialized view‑like strategy for both the dashboard and historical data analysis to reduce the computational load on the Databricks cluster._x000a__x000a_Incorrect because while materialized views are good for dashboards, using them for all historical analysis is unnecessary. Historical queries often benefit from flexible exploration, not pre‑aggregation._x000a_Option C. Use a temporary view for both the dashboard and historical data analysis to maximize data freshness and minimize storage costs._x000a__x000a_Incorrect because dashboards require fast access to pre‑aggregated data. Using only temporary views would mean recomputing large aggregations daily, leading to high latency and inefficiency._x000a_Option D. Use a temporary view for the dashboard to ensure data is always up‑to‑date with real‑time transformations, and implement a materialized view‑like strategy for historical data analysis where data latency is acceptable._x000a__x000a_Incorrect because dashboards need low latency and high performance, not real‑time recomputation. Materialized views are the correct choice for dashboards, not temporary views."/>
    <m/>
    <m/>
    <m/>
    <n v="1"/>
    <m/>
    <m/>
    <m/>
    <m/>
  </r>
  <r>
    <x v="0"/>
    <n v="1087"/>
    <x v="1"/>
    <n v="30"/>
    <s v="Platform"/>
    <s v="Control Plane vs Data Plane"/>
    <s v="Medium"/>
    <s v="Which of the following is stored in the Databricks customer‘s cloud account?"/>
    <s v="Repos"/>
    <s v="Cluster management metadata"/>
    <s v="Data "/>
    <s v="Databricks web application"/>
    <s v="Notebooks "/>
    <m/>
    <s v="C"/>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m/>
    <m/>
    <m/>
    <m/>
  </r>
  <r>
    <x v="0"/>
    <n v="1088"/>
    <x v="1"/>
    <n v="31"/>
    <s v="Orchestration"/>
    <s v="Jobs"/>
    <s v="Easy"/>
    <s v="What is a key difference between all-purpose clusters and job clusters in Databrick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s v="Job clusters are permanent and cannot be terminated, unlike all-purpose clusters."/>
    <m/>
    <m/>
    <s v="C"/>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m/>
    <m/>
    <m/>
    <m/>
    <m/>
    <m/>
    <m/>
    <m/>
  </r>
  <r>
    <x v="0"/>
    <n v="1089"/>
    <x v="1"/>
    <n v="32"/>
    <s v="General"/>
    <s v="Conceptual"/>
    <s v="Easy"/>
    <s v="How do Databricks Notebooks and Repos differ in terms of file size limitations for version control?"/>
    <s v="Notebooks allow for larger file sizes in version control than Repos."/>
    <s v="Both Notebooks and Repos have the same file size limitations for version control."/>
    <s v="Notebooks have no file size limitations, while Repos have a strict limit."/>
    <s v="Repos support larger file sizes for version control compared to Notebooks."/>
    <m/>
    <m/>
    <s v="D"/>
    <s v="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
    <m/>
    <m/>
    <m/>
    <n v="1"/>
    <m/>
    <m/>
    <m/>
    <m/>
  </r>
  <r>
    <x v="0"/>
    <n v="1090"/>
    <x v="1"/>
    <n v="33"/>
    <s v="Orchestration"/>
    <s v="Jobs"/>
    <s v="Easy"/>
    <s v="If you are analyzing data in a Databricks notebook using Python, how can you switch to SQL for a specific visualization task?"/>
    <s v="Use the %sql magic command in a new cell where you want to start using SQL."/>
    <s v="Export the data to a SQL database and create a new SQL notebook."/>
    <s v="Rewrite the Python code in SQL and run it in a new Python cell."/>
    <s v="Convert the entire notebook to SQL mode from the notebook settings."/>
    <m/>
    <m/>
    <s v="A"/>
    <s v="The %sql magic command allows users to switch the execution context to SQL for specific cells within a notebook. This feature enables data scientists and engineers to leverage the strengths of SQL for data querying and visualization directly within a multi-language notebook."/>
    <m/>
    <m/>
    <m/>
    <m/>
    <m/>
    <m/>
    <m/>
    <m/>
  </r>
  <r>
    <x v="0"/>
    <n v="1091"/>
    <x v="1"/>
    <n v="34"/>
    <s v="Governance"/>
    <s v="Unity Catalog"/>
    <s v="Easy"/>
    <s v="What is the role of a storage credential in Databricks‘ Unity Catalog?"/>
    <s v="To restrict access to data based on user roles."/>
    <s v="To provide encryption for data at rest."/>
    <s v="To ensure data is backed up across multiple regions."/>
    <s v="To enable Unity Catalog to connect to an external cloud storage."/>
    <m/>
    <m/>
    <s v="D"/>
    <s v="A storage credential is used to authenticate and authorize Unity Catalog to access external cloud storage services such as AWS S3 or Azure Storage. This allows Unity Catalog to manage and interact with data stored on these services."/>
    <m/>
    <m/>
    <m/>
    <n v="1"/>
    <m/>
    <m/>
    <m/>
    <m/>
  </r>
  <r>
    <x v="0"/>
    <n v="1092"/>
    <x v="1"/>
    <n v="35"/>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guarantee the reproducibility of an automated report."/>
    <s v="To conduct error detection tests on an automated report."/>
    <s v="An automated report needs to be refreshed as quickly as possible."/>
    <s v="To manage version control for an automated report with multiple contributors."/>
    <s v="To enable all stakeholders to execute an automated report."/>
    <m/>
    <s v="C"/>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093"/>
    <x v="1"/>
    <n v="36"/>
    <s v="Governance"/>
    <s v="Unity Catalog"/>
    <s v="Easy"/>
    <s v="When integrating the Unity Catalog with existing systems, what is a key advantage?"/>
    <s v="It requires a complete overhaul of existing data catalogs."/>
    <s v="It necessitates the use of Databricks-exclusive storage systems."/>
    <s v="It operates solely on non-standard SQL variants for legacy systems."/>
    <s v="It works in concert with existing data, storage, and catalogs, without the need for hard migration."/>
    <m/>
    <m/>
    <s v="D"/>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m/>
    <m/>
    <m/>
    <m/>
    <m/>
    <m/>
    <m/>
    <m/>
  </r>
  <r>
    <x v="0"/>
    <n v="1094"/>
    <x v="1"/>
    <n v="37"/>
    <s v="General"/>
    <s v="Conceptual"/>
    <s v="Hard"/>
    <s v="What is the purpose of Data Access Control within Data Governance?"/>
    <s v="To automate the data ingestion process."/>
    <s v="To monitor the performance of data processing jobs."/>
    <s v="To ensure that data processing is as fast as possible."/>
    <s v="To control who has access to which data within the Databricks environment."/>
    <m/>
    <m/>
    <s v="D"/>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095"/>
    <x v="1"/>
    <n v="38"/>
    <s v="Governance"/>
    <s v="Unity Catalog"/>
    <s v="Easy"/>
    <s v="What is the purpose of an ‘External Location‘ in Databricks?"/>
    <s v="t is used to log the performance metrics of the Databricks runtime environment."/>
    <s v=" It refers to a cloud storage path combined with storage credentials to access specific data."/>
    <s v="It is a dedicated space for Delta Live Tables."/>
    <s v="It is a location where Databricks stores its internal metadata."/>
    <m/>
    <m/>
    <s v="B"/>
    <s v="An ‘External Location‘ is a configured cloud storage path that, when combined with the appropriate storage credentials, allows for controlled access to specific locations in cloud storage. This setup facilitates fine-grained control over external storage within Databricks environments."/>
    <m/>
    <m/>
    <m/>
    <m/>
    <m/>
    <m/>
    <m/>
    <m/>
  </r>
  <r>
    <x v="0"/>
    <n v="1096"/>
    <x v="1"/>
    <n v="39"/>
    <s v="General"/>
    <s v="Conceptual"/>
    <s v="Hard"/>
    <s v="What is the role of Data Lineage in Databricks Data Governance?"/>
    <s v="To capture upstream sources and downstream consumers of data."/>
    <s v="To replicate data across multiple cloud providers."/>
    <s v="To compress data for efficient storage."/>
    <s v="To convert data into different formats automatically."/>
    <m/>
    <m/>
    <s v="A"/>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m/>
    <m/>
    <m/>
    <m/>
    <m/>
    <m/>
    <m/>
    <m/>
  </r>
  <r>
    <x v="0"/>
    <n v="1097"/>
    <x v="1"/>
    <n v="40"/>
    <s v="Compute"/>
    <s v="Clusters"/>
    <s v="Easy"/>
    <s v="How can users filter clusters in Databricks to view only those that are accessible to them?"/>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s v="By executing a specific SQL query in Databricks SQL Analytics to retrieve a list of accessible clusters based on the user‘s role."/>
    <m/>
    <m/>
    <s v="C"/>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098"/>
    <x v="1"/>
    <n v="41"/>
    <s v="General"/>
    <s v="Conceptual"/>
    <s v="Easy"/>
    <s v="How can you enable collaborative editing of a Databricks notebook by multiple team members within your organization?"/>
    <s v="Assign the notebook to a shared folder and grant edit permissions to the team."/>
    <s v="Set the notebook to “Public“ mode, allowing anyone to edit."/>
    <s v="Email the notebook as an attachment to team members for sequential editing."/>
    <s v="Use an external version control system to manage changes and synchronize with the Databricks notebook."/>
    <m/>
    <m/>
    <s v="A"/>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n v="1"/>
    <m/>
    <m/>
    <m/>
    <m/>
  </r>
  <r>
    <x v="0"/>
    <n v="1099"/>
    <x v="1"/>
    <n v="42"/>
    <s v="Storage"/>
    <s v="Delta Lake"/>
    <s v="Easy"/>
    <s v="Which benefit is offered by Delta Lake within the Databricks Lakehouse Platform?"/>
    <s v="The capability to execute complex data operations at scale"/>
    <s v="The capability to handle both batch and streaming data processing tasks"/>
    <s v="The capability to configure notifications for when queries do not execute successfully"/>
    <s v="The capability for simultaneous collaboration within a single notebook"/>
    <s v="The capability to work with the same dataset across multiple programming languages"/>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m/>
    <m/>
    <m/>
    <n v="1"/>
    <m/>
    <m/>
    <m/>
    <m/>
  </r>
  <r>
    <x v="0"/>
    <n v="1100"/>
    <x v="1"/>
    <n v="43"/>
    <s v="Compute"/>
    <s v="Clusters"/>
    <s v="Easy"/>
    <s v="What is the primary role of a ‘Driver‘ in a cluster environment?"/>
    <s v="To control access to the data storage."/>
    <s v="To manage cloud storage."/>
    <s v="To distribute workloads across workers."/>
    <s v="To serve as the primary compute instance for executing code."/>
    <m/>
    <m/>
    <s v="C"/>
    <s v="In cluster computing, the ‘Driver‘ is responsible for distributing the tasks among the ‘Worker‘ nodes or instances and is essential for managing the workload efficiently across the cluster."/>
    <m/>
    <m/>
    <m/>
    <n v="1"/>
    <m/>
    <m/>
    <m/>
    <m/>
  </r>
  <r>
    <x v="0"/>
    <n v="1101"/>
    <x v="1"/>
    <n v="44"/>
    <s v="Compute"/>
    <s v="Clusters"/>
    <s v="Easy"/>
    <s v="Why would you consider restarting a Databricks cluster?"/>
    <s v="To apply updates or changes to Spark configurations or cluster-level libraries."/>
    <s v="When the cluster‘s Spark version needs to be downgraded for compatibility reasons."/>
    <s v="To increase the storage capacity of the cluster‘s attached storage."/>
    <s v="Restarting is required to apply software updates or patches to the cluster."/>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02"/>
    <x v="1"/>
    <n v="45"/>
    <s v="Platform"/>
    <s v="Control Plane vs Data Plane"/>
    <s v="Easy"/>
    <s v="Which component in the Databricks Control Plane is responsible for user and data access management?"/>
    <s v="Unity Catalog"/>
    <s v="Web Application"/>
    <s v="Cloud Storage"/>
    <s v="Workflow Manager"/>
    <m/>
    <m/>
    <s v="A"/>
    <s v="The Unity Catalog is responsible for user and data access management. The Control Plane components are – Unity Catelog, Web App, Cluster Maanger, Workflow Manager, Jobs, Notebooks Repos ETC. Unity Catelog handles – Metastore, Access Control and Data Lineage / Explorer."/>
    <m/>
    <m/>
    <m/>
    <m/>
    <m/>
    <m/>
    <m/>
    <m/>
  </r>
  <r>
    <x v="0"/>
    <n v="1103"/>
    <x v="1"/>
    <n v="46"/>
    <s v="Compute"/>
    <s v="Clusters"/>
    <s v="Easy"/>
    <s v="What is the impact of terminating a cluster in Databricks?"/>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s v="Terminating a cluster releases the compute resources but retains the data in attached storage, allowing for data persistence."/>
    <m/>
    <m/>
    <s v="D"/>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m/>
    <m/>
    <m/>
    <m/>
    <m/>
    <m/>
    <m/>
    <m/>
  </r>
  <r>
    <x v="0"/>
    <n v="1104"/>
    <x v="1"/>
    <n v="47"/>
    <s v="Platform"/>
    <s v="Control Plane vs Data Plane"/>
    <s v="Easy"/>
    <s v="What are the two main components of the Data Plane in Databricks Workspace and Services?"/>
    <s v="Notebooks, Repos, DBSQL"/>
    <s v="Workflow Manager and Jobs"/>
    <s v="Workspace clusters and SQL Warehouses"/>
    <s v="Metastore and Access Control"/>
    <m/>
    <m/>
    <s v="C"/>
    <s v="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
    <m/>
    <m/>
    <m/>
    <m/>
    <m/>
    <m/>
    <m/>
    <m/>
  </r>
  <r>
    <x v="0"/>
    <n v="1105"/>
    <x v="1"/>
    <n v="48"/>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enabling projects to share a common pool of instances, improving overall resource utilization."/>
    <s v="By allowing each project to have its dedicated pool, preventing resource sharing."/>
    <s v="By providing a fixed number of instances that can only be used by the highest priority project."/>
    <s v="By locking specific instances to specific projects, based on the project‘s budget."/>
    <m/>
    <m/>
    <s v="A"/>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m/>
    <m/>
    <m/>
    <m/>
    <m/>
    <m/>
    <m/>
    <m/>
  </r>
  <r>
    <x v="0"/>
    <n v="1106"/>
    <x v="1"/>
    <n v="49"/>
    <s v="General"/>
    <s v="Conceptual"/>
    <s v="Medium"/>
    <s v="Which of the following best describes the difference between Gold tables and Silver tables?"/>
    <s v="Gold tables are more likely to contain a less refined view of data than Silver tables."/>
    <s v="Gold tables are more likely to contain aggregations than Silver tables."/>
    <s v="Gold tables are more likely to contain more data than Silver tables."/>
    <s v="Gold tables are more likely to contain valuable data than Silver tables."/>
    <s v="Gold tables are more likely to contain truthful data than Silver tables."/>
    <m/>
    <s v="B"/>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07"/>
    <x v="1"/>
    <n v="50"/>
    <s v="Orchestration"/>
    <s v="Jobs"/>
    <s v="Easy"/>
    <s v="Which job uses a Gold table as its source?"/>
    <s v="A job that cleans data by removing malformatted records"/>
    <s v="A job that enriches data by parsing its timestamps into a human-readable format"/>
    <s v="A job that queries aggregated data designed to feed into a dashboard"/>
    <s v="A job that ingests raw data from a streaming source into the Lakehouse"/>
    <s v="A job that aggregates uncleaned data to create standard summary statistics"/>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m/>
    <m/>
    <m/>
    <m/>
    <m/>
    <m/>
    <m/>
    <m/>
  </r>
  <r>
    <x v="0"/>
    <n v="1108"/>
    <x v="1"/>
    <n v="51"/>
    <s v="Storage"/>
    <s v="Delta Lake"/>
    <s v="Medium"/>
    <s v="In which of the following file formats is data from Delta Lake tables primarily stored?"/>
    <s v="Delta"/>
    <s v="JSON"/>
    <s v="A proprietary, optimized format specific to Databricks"/>
    <s v=" Parquet"/>
    <s v="CSV"/>
    <m/>
    <s v="D"/>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m/>
    <m/>
    <m/>
    <m/>
    <m/>
    <m/>
    <m/>
    <m/>
  </r>
  <r>
    <x v="0"/>
    <n v="1109"/>
    <x v="1"/>
    <n v="52"/>
    <s v="Analytics"/>
    <s v="Databricks SQL"/>
    <s v="Easy"/>
    <s v="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
    <s v="They can set up the dashboards SQL endpoint to be serverless."/>
    <s v="They can ensure the dashboards SQL endpoint is not one of the included querys SQL endpoint."/>
    <s v="They can ensure the dashboards SQL endpoint matches each of the queries SQL endpoints."/>
    <s v="They can reduce the cluster size of the SQL endpoint."/>
    <s v="They can turn on the Auto Stop feature for the SQL endpoint."/>
    <m/>
    <s v="E"/>
    <s v="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
    <m/>
    <m/>
    <m/>
    <m/>
    <n v="1"/>
    <m/>
    <m/>
    <m/>
  </r>
  <r>
    <x v="0"/>
    <n v="1110"/>
    <x v="1"/>
    <n v="53"/>
    <s v="Governance"/>
    <s v="Unity Catalog"/>
    <s v="Easy"/>
    <s v="What level of access does a Metastore Admin have in the Databricks Unity Catalog?"/>
    <s v="They can manage users and groups as well as integrate with IdP."/>
    <s v="They can create or drop, grant privileges on, and change the ownership of catalogs and other data objects."/>
    <s v="They can only view metadata and user management settings."/>
    <s v="They have full access to all data objects."/>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m/>
    <m/>
    <n v="1"/>
    <m/>
    <m/>
    <m/>
    <m/>
  </r>
  <r>
    <x v="0"/>
    <n v="1111"/>
    <x v="1"/>
    <n v="54"/>
    <s v="General"/>
    <s v="Conceptual"/>
    <s v="Easy"/>
    <s v="How can you execute Python and SQL code within the same Databricks notebook?"/>
    <s v="By installing a special library that allows cross-language execution."/>
    <s v="By configuring the notebook settings to enable multi-language support before execution."/>
    <s v="By writing all code in Python and using API calls to execute SQL queries."/>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112"/>
    <x v="1"/>
    <n v="55"/>
    <s v="General"/>
    <s v="Conceptual"/>
    <s v="Easy"/>
    <s v="A data engineer is evaluating whether to utilize the native versioning feature of Databricks Notebooks or to manage their project with Databricks Repos. What is a benefit of opting for Databricks Repos instead of the built-in versioning of Databricks Notebooks?"/>
    <s v="Databricks Repos allows for commenting on specific alterations."/>
    <s v="Databricks Repos ensures continuous saving of work in progress."/>
    <s v="Databricks Repos offers the option to go back to earlier versions of a notebook."/>
    <s v="Databricks Repos enables working with multiple branches."/>
    <s v="Databricks Repos operates entirely within the Databricks Lakehouse ecosystem."/>
    <m/>
    <s v="D"/>
    <s v="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
    <m/>
    <m/>
    <m/>
    <n v="1"/>
    <m/>
    <m/>
    <m/>
    <m/>
  </r>
  <r>
    <x v="0"/>
    <n v="1113"/>
    <x v="1"/>
    <n v="56"/>
    <s v="General"/>
    <s v="Conceptual"/>
    <s v="Medium"/>
    <s v="Which of the following can be used to simplify and unify siloed data architectures that are specialized for specific use cases?"/>
    <s v="All of these"/>
    <s v="Data lake "/>
    <s v="Data warehouse "/>
    <s v="None of these"/>
    <m/>
    <m/>
    <s v="D"/>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m/>
    <m/>
    <m/>
    <m/>
    <m/>
    <m/>
    <m/>
    <m/>
  </r>
  <r>
    <x v="0"/>
    <n v="1114"/>
    <x v="1"/>
    <n v="57"/>
    <s v="Orchestration"/>
    <s v="Jobs"/>
    <s v="Hard"/>
    <s v="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
    <s v="spark.delta.sql"/>
    <s v="spark.sql"/>
    <s v="dbutils.sql"/>
    <s v="spark.delta.table"/>
    <s v="spark.table"/>
    <m/>
    <s v="B"/>
    <s v="Using spark.sql within Python code offers a flexible and powerful way to leverage SQL capabilities while working within a Python-centric data processing workflow."/>
    <m/>
    <m/>
    <m/>
    <m/>
    <m/>
    <m/>
    <m/>
    <m/>
  </r>
  <r>
    <x v="0"/>
    <n v="1115"/>
    <x v="2"/>
    <n v="1"/>
    <s v="General"/>
    <s v="Conceptual"/>
    <s v="Easy"/>
    <s v="What is the purpose of the explode function in SQL?"/>
    <s v="To create a backup of the database."/>
    <s v="To expand the elements of an array field into separate rows."/>
    <s v="To delete elements from an array field."/>
    <s v="To combine multiple rows into a single array field."/>
    <m/>
    <m/>
    <s v="B"/>
    <s v="The explode function is used in SQL to take an array (or a map) and create a new row for each element within that array. This is commonly used in data transformation processes where nested data structures are flattened for analysis."/>
    <m/>
    <m/>
    <m/>
    <m/>
    <n v="1"/>
    <m/>
    <m/>
    <m/>
  </r>
  <r>
    <x v="0"/>
    <n v="1116"/>
    <x v="2"/>
    <n v="2"/>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allowing each project to have its dedicated pool, preventing resource sharing."/>
    <s v="By enabling projects to share a common pool of instances, improving overall resource utilization."/>
    <s v="By providing a fixed number of instances that can only be used by the highest priority project."/>
    <s v="By locking specific instances to specific projects, based on the project‘s budget."/>
    <m/>
    <m/>
    <s v="B"/>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s v="Duplicate"/>
    <m/>
    <m/>
    <m/>
    <m/>
    <m/>
    <m/>
    <m/>
  </r>
  <r>
    <x v="0"/>
    <n v="1117"/>
    <x v="2"/>
    <n v="3"/>
    <s v="Governance"/>
    <s v="Unity Catalog"/>
    <s v="Medium"/>
    <s v="Which of the following statements is true about the Workspace Admin role in the Databricks Unity Catalog?"/>
    <s v="Workspace Admins cannot manage user permissions or roles."/>
    <s v="Workspace Admins are responsible for creating and deleting metastores only."/>
    <s v="Workspace Admins have the ability to manage permissions on workspace assets and change job ownership."/>
    <s v="Workspace Admins are limited to data discovery and cannot alter permissions."/>
    <m/>
    <m/>
    <s v="C"/>
    <s v="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
    <m/>
    <m/>
    <m/>
    <m/>
    <m/>
    <m/>
    <m/>
    <m/>
  </r>
  <r>
    <x v="0"/>
    <n v="1118"/>
    <x v="2"/>
    <n v="4"/>
    <s v="General"/>
    <s v="Conceptual"/>
    <s v="Easy"/>
    <s v="Which statement accurately describes the relationship between Bronze tables and raw data?"/>
    <s v="Bronze tables contain a less refined view of data than raw data."/>
    <s v="Bronze tables contain less data than raw data files."/>
    <s v="Bronze tables contain raw data with a schema applied."/>
    <s v="Bronze tables contain more accurate data than raw data."/>
    <s v="Bronze tables contain aggregates while raw data is unaggregated."/>
    <m/>
    <s v="C"/>
    <s v="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
    <m/>
    <m/>
    <m/>
    <m/>
    <m/>
    <m/>
    <m/>
    <m/>
  </r>
  <r>
    <x v="0"/>
    <n v="1119"/>
    <x v="2"/>
    <n v="5"/>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are dropped from the target dataset and recorded as invalid in the event log."/>
    <s v="Records that violate the expectation are added to the target dataset and flagged as invalid in a field added to the target dataset."/>
    <s v="Records that violate the expectation are added to the target dataset and recorded as invalid in the event log."/>
    <s v="Records that violate the expectation cause the job to fail. "/>
    <s v="Records that violate the expectation are dropped from the target dataset and loaded into a quarantine table."/>
    <m/>
    <s v="A"/>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120"/>
    <x v="2"/>
    <n v="6"/>
    <s v="General"/>
    <s v="Conceptual"/>
    <s v="Medium"/>
    <s v="Which of the following SQL keywords can be used to convert a table from a long format to a wide format?"/>
    <s v="CONVERT"/>
    <s v="PIVOT"/>
    <s v="TRANSFORM"/>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121"/>
    <x v="2"/>
    <n v="7"/>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Create separate notebooks for data transformations and model training."/>
    <s v="Use Databricks Repos to version control the entire project."/>
    <s v="Utilize Databricks Workspace to organize tasks by project folders."/>
    <m/>
    <m/>
    <s v="A"/>
    <s v="Implementing isolated clusters with different configurations for data transformations and model training tasks allows efficient resource allocation and optimization for each task."/>
    <m/>
    <m/>
    <m/>
    <m/>
    <m/>
    <m/>
    <m/>
    <m/>
  </r>
  <r>
    <x v="0"/>
    <n v="1122"/>
    <x v="2"/>
    <n v="8"/>
    <s v="General"/>
    <s v="Conceptual"/>
    <s v="Easy"/>
    <s v="How can you run one Databricks notebook from within another notebook?"/>
    <s v="By preceding each cell in the target notebook with %run to execute its code"/>
    <s v="By using the %run command followed by the path to the notebook stored in DBFS."/>
    <s v="By appending the %run command with the notebook‘s URL."/>
    <s v="By using the %run command followed by the relative or absolute path to the notebook within the Databricks workspace."/>
    <m/>
    <m/>
    <s v="D"/>
    <s v="The %run magic command in Databricks allows for the execution of another notebook by specifying its path, which can be either relative to the current notebook‘s location or an absolute path within the Databricks workspace."/>
    <m/>
    <m/>
    <m/>
    <m/>
    <m/>
    <m/>
    <m/>
    <m/>
  </r>
  <r>
    <x v="0"/>
    <n v="1123"/>
    <x v="2"/>
    <n v="9"/>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S STRING_x000a_RETURN CASE_x000a_WHEN city = “San Francisco“ THEN “California“_x000a_ELSE city_x000a_END;"/>
    <s v="CREATE FUNCTION combine_california (city STRING)_x000a_RETURN CASE_x000a_WHEN city = “San Francisco“ THEN “California“_x000a_ELSE city_x000a_END;"/>
    <m/>
    <s v="D"/>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m/>
    <m/>
    <m/>
    <m/>
    <m/>
  </r>
  <r>
    <x v="0"/>
    <n v="1124"/>
    <x v="2"/>
    <n v="10"/>
    <s v="General"/>
    <s v="Conceptual"/>
    <s v="Easy"/>
    <s v="In SQL queries that involve file data, how are text and binary files processed differently?"/>
    <s v="Binary files generate a column with a string value for each line, whereas text files have columns for path, modification time, length, and content."/>
    <s v="Text and binary files both generate columns for path, modification time, length, and content."/>
    <s v="Text files generate a column with a string value for each line, while binary files have columns for path, modification time, length, and content."/>
    <s v="Text files create a single column for each byte of data, whereas binary files create a column for each bit."/>
    <m/>
    <m/>
    <s v="C"/>
    <s v="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
    <m/>
    <m/>
    <m/>
    <m/>
    <n v="1"/>
    <m/>
    <m/>
    <m/>
  </r>
  <r>
    <x v="0"/>
    <n v="1125"/>
    <x v="2"/>
    <n v="11"/>
    <s v="General"/>
    <s v="Conceptual"/>
    <s v="Easy"/>
    <s v="How can you enable collaborative editing of a Databricks notebook by multiple team members within your organization?"/>
    <s v="Set the notebook to “Public“ mode, allowing anyone to edit."/>
    <s v="Assign the notebook to a shared folder and grant edit permissions to the team."/>
    <s v="Use an external version control system to manage changes and synchronize with the Databricks notebook."/>
    <s v="Email the notebook as an attachment to team members for sequential editing."/>
    <m/>
    <m/>
    <s v="B"/>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m/>
    <m/>
    <m/>
    <m/>
    <m/>
  </r>
  <r>
    <x v="0"/>
    <n v="1126"/>
    <x v="2"/>
    <n v="12"/>
    <s v="Storage"/>
    <s v="Delta Lake"/>
    <s v="Easy"/>
    <s v="Which command allows for data to be inserted into a Delta table while ensuring duplicates are not written?"/>
    <s v="MERGE"/>
    <s v="INSERT"/>
    <s v="APPEND"/>
    <s v="UPDATE"/>
    <s v="DROP"/>
    <m/>
    <s v="A"/>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127"/>
    <x v="2"/>
    <n v="13"/>
    <s v="General"/>
    <s v="Conceptual"/>
    <s v="Medium"/>
    <s v="When creating a table in Databricks using a JDBC connection, which of the following SQL commands correctly attempts to create a new table and throws an error if the table with that name already exists?"/>
    <s v="INSERT INTO new_table_x000a_SELECT * FROM jdbc(‘jdbc:mysql://database.example.com:3306/mydb‘, ‘existing_table‘, ‘username‘, ‘password‘)"/>
    <s v="CREATE TABLE new_table AS_x000a_SELECT * FROM jdbc(‘jdbc:mysql://database.example.com:3306/mydb‘, ‘table_name‘, ‘username‘, ‘password‘)"/>
    <s v="CREATE TABLE new_table AS_x000a_SELECT * FROM jdbc(‘jdbc:mysql://database.example.com:3306/mydb‘, ‘table_name‘, ‘username‘, ‘password‘)_x000a_ CREATE TABLE new_table_x000a_USING jdbc_x000a_OPTIONS (_x000a_url ‘jdbc:mysql://database.example.com:3306/mydb‘,_x000a_dbtable ‘new_table‘,_x000a_user ‘username‘,_x000a_password ‘password‘_x000a_)"/>
    <s v="CREATE TABLE IF NOT EXISTS new_table_x000a_USING jdbc_x000a_OPTIONS (_x000a_url ‘jdbc:mysql://database.example.com:3306/mydb‘,_x000a_dbtable ‘existing_table‘,_x000a_user ‘username‘,_x000a_password ‘password‘_x000a_)"/>
    <m/>
    <m/>
    <s v="C"/>
    <s v="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
    <m/>
    <m/>
    <m/>
    <n v="1"/>
    <m/>
    <m/>
    <m/>
    <m/>
  </r>
  <r>
    <x v="0"/>
    <n v="1128"/>
    <x v="2"/>
    <n v="14"/>
    <s v="Orchestration"/>
    <s v="Jobs"/>
    <s v="Easy"/>
    <s v="A data engineer needs to apply a complex run schedule from one Job to others without manually setting each time in Databricks. Which tool allows them to define and apply this schedule through code (programmatically)?"/>
    <s v="datetime"/>
    <s v="There is no way to represent and submit this information programmatically"/>
    <s v="pyspark.sql.types.TimestampType"/>
    <s v="Cron syntax"/>
    <s v="pyspark.sql.types.DateType"/>
    <m/>
    <s v="D"/>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129"/>
    <x v="2"/>
    <n v="15"/>
    <s v="Compute"/>
    <s v="Clusters"/>
    <s v="Easy"/>
    <s v="Why would you consider restarting a Databricks cluster?"/>
    <s v="To apply updates or changes to Spark configurations or cluster-level libraries."/>
    <s v="Restarting is required to apply software updates or patches to the cluster."/>
    <s v="To increase the storage capacity of the cluster‘s attached storage."/>
    <s v="When the cluster‘s Spark version needs to be downgraded for compatibility reasons."/>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30"/>
    <x v="2"/>
    <n v="16"/>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a managed table."/>
    <s v="The table was set up as an external table."/>
    <s v="The table‘s data was under 10 GB."/>
    <s v="The table was specified without a location."/>
    <m/>
    <s v="C"/>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131"/>
    <x v="2"/>
    <n v="17"/>
    <s v="Storage"/>
    <s v="Delta Lake"/>
    <s v="Easy"/>
    <s v="How does the VACUUM command manage deletes in Delta Lake tables?"/>
    <s v="By marking deleted records as inactive for immediate purging."/>
    <s v="By encrypting deleted records for security purposes."/>
    <s v="By immediately removing all deleted records from the table."/>
    <s v="By cleaning up older, unnecessary files after a retention period."/>
    <m/>
    <m/>
    <s v="D"/>
    <s v="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
    <m/>
    <m/>
    <m/>
    <m/>
    <m/>
    <m/>
    <m/>
    <m/>
  </r>
  <r>
    <x v="0"/>
    <n v="1132"/>
    <x v="2"/>
    <n v="18"/>
    <s v="Orchestration"/>
    <s v="Jobs"/>
    <s v="Easy"/>
    <s v="How does Databricks‘ workflow feature ‘Simple Workflow Authoring‘ cater to teams?"/>
    <s v="It only allows workflow editing in command-line interfaces."/>
    <s v="It requires advanced programming skills for all data team members."/>
    <s v="It is exclusively available for users with administrative privileges."/>
    <s v="It provides a point-and-click authoring experience accessible to all team members."/>
    <m/>
    <m/>
    <s v="D"/>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n v="1"/>
    <m/>
    <m/>
    <m/>
  </r>
  <r>
    <x v="0"/>
    <n v="1133"/>
    <x v="2"/>
    <n v="19"/>
    <s v="Orchestration"/>
    <s v="Jobs"/>
    <s v="Easy"/>
    <s v="What is a benefit of using multiple tasks in Databricks Jobs?"/>
    <s v="Limits the scope of data processing"/>
    <s v="Increases the complexity of jobs"/>
    <s v="Allows for sequential task execution"/>
    <s v="Reduces the overall execution time"/>
    <m/>
    <m/>
    <s v="C"/>
    <s v="Multiple tasks in Jobs allow for the organization of complex workflows where tasks can be executed in a specific sequence, often depending on the completion of predecessor tasks. This enables more efficient data processing pipelines."/>
    <m/>
    <m/>
    <m/>
    <m/>
    <m/>
    <m/>
    <m/>
    <m/>
  </r>
  <r>
    <x v="0"/>
    <n v="1134"/>
    <x v="2"/>
    <n v="20"/>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INSERT VALUES (‘c01‘, 9, 6.2) INTO my_table"/>
    <s v="UPDATE VALUES (‘c01‘, 9, 6.2) my_table"/>
    <s v="my_table UNION VALUES (‘c01‘, 9, 6.2)"/>
    <s v="UPDATE my_table VALUES (‘c01‘, 9, 6.2)"/>
    <s v="INSERT INTO my_table VALUES (‘c01‘, 9, 6.2)"/>
    <m/>
    <s v="E"/>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135"/>
    <x v="2"/>
    <n v="21"/>
    <s v="General"/>
    <s v="Conceptual"/>
    <s v="Medium"/>
    <s v="Your organization is transitioning from a traditional data lake to a data lakehouse architecture to improve data analytics capabilities. Which of the following benefits is a primary reason for this transition?"/>
    <s v="To reduce the amount of data stored"/>
    <s v="To eliminate the need for data processing"/>
    <s v="To increase the complexity of data queries"/>
    <s v="To enhance data quality and governance with schema enforcement"/>
    <m/>
    <m/>
    <s v="D"/>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136"/>
    <x v="2"/>
    <n v="22"/>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CREATE MODIFY USAGE PRIVILEGES ON DATABASE customers TO team;"/>
    <s v="GRANT SELECT PRIVILEGES ON DATABASE customers TO teams;"/>
    <s v="GRANT ALL PRIVILEGES ON DATABASE customers TO team;"/>
    <s v="GRANT USAGE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m/>
    <m/>
    <m/>
    <m/>
    <m/>
    <m/>
    <m/>
    <m/>
  </r>
  <r>
    <x v="0"/>
    <n v="1137"/>
    <x v="2"/>
    <n v="23"/>
    <s v="Platform"/>
    <s v="Control Plane vs Data Plane"/>
    <s v="Easy"/>
    <s v="What is primarily managed within the control plane of Databricks‘ architecture?"/>
    <s v="Physical hardware and network configuration."/>
    <s v="Development of machine learning models."/>
    <s v="User authentication and access control."/>
    <s v="Data storage and computation tasks."/>
    <m/>
    <m/>
    <s v="C"/>
    <s v="The control plane manages backend services like user authentication and access control."/>
    <m/>
    <m/>
    <m/>
    <m/>
    <m/>
    <m/>
    <m/>
    <m/>
  </r>
  <r>
    <x v="0"/>
    <n v="1138"/>
    <x v="2"/>
    <n v="24"/>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Utilize Databricks Workspace to organize tasks by project folders."/>
    <s v="Use Databricks Repos to version control the entire project."/>
    <s v="Create separate notebooks for data transformations and model training."/>
    <m/>
    <m/>
    <s v="A"/>
    <s v="Correct_x000a__x000a_Option A. “Implement isolated clusters with different configurations for each task.”_x000a__x000a_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_x000a__x000a_Incorrect_x000a__x000a_Option B. “Utilize Databricks Workspace to organize tasks by project folders.”_x000a__x000a_Incorrect because while workspaces and folders help organize notebooks and projects, they do not provide resource isolation. This option only improves organization, not efficiency or resource allocation._x000a__x000a_Option C. “Use Databricks Repos to version control the entire project.”_x000a__x000a_Incorrect because Repos are for Git-based version control of notebooks and code. They help with collaboration and code management but do not isolate workloads or optimize compute resources._x000a__x000a_Option D. “Create separate notebooks for data transformations and model training.”_x000a__x000a_Incorrect because separating notebooks improves logical organization but does not isolate compute environments. Both notebooks would still run on the same cluster unless explicitly assigned to different clusters."/>
    <m/>
    <m/>
    <m/>
    <m/>
    <m/>
    <m/>
    <m/>
    <m/>
  </r>
  <r>
    <x v="0"/>
    <n v="1139"/>
    <x v="2"/>
    <n v="25"/>
    <s v="Governance"/>
    <s v="Unity Catalog"/>
    <s v="Medium"/>
    <s v="Which of the following statements is true about the Workspace Admin role in the Databricks Unity Catalog?"/>
    <s v="Workspace Admins are responsible for creating and deleting metastores only."/>
    <s v="Workspace Admins have the ability to manage permissions on workspace assets and change job ownership."/>
    <s v="Workspace Admins cannot manage user permissions or roles."/>
    <s v="Workspace Admins are limited to data discovery and cannot alter permissions."/>
    <m/>
    <m/>
    <s v="B"/>
    <s v="Correct_x000a__x000a_Option B. “Workspace Admins have the ability to manage permissions on workspace assets and change job ownership.”_x000a__x000a_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_x000a__x000a_Incorrect_x000a__x000a_Option A. “Workspace Admins are responsible for creating and deleting metastores only.”_x000a__x000a_Incorrect because Workspace Admins do not manage metastores. Metastore creation and deletion is handled at the account admin level, not by workspace admins._x000a__x000a_Option C. “Workspace Admins cannot manage user permissions or roles.”_x000a__x000a_Incorrect because Workspace Admins explicitly can manage permissions on workspace assets. This statement contradicts their actual responsibilities._x000a__x000a_Option D. “Workspace Admins are limited to data discovery and cannot alter permissions.”_x000a__x000a_Incorrect because Workspace Admins are not limited to data discovery. They have permissions management capabilities, making this statement false."/>
    <m/>
    <m/>
    <m/>
    <m/>
    <n v="1"/>
    <m/>
    <m/>
    <m/>
  </r>
  <r>
    <x v="0"/>
    <n v="1140"/>
    <x v="2"/>
    <n v="26"/>
    <s v="General"/>
    <s v="Conceptual"/>
    <s v="Easy"/>
    <s v="A data engineer needs to run the last part of a Python script only if the variable day_of_week is 1 and review_period is True. Which line of code should they use to start this part of the script?"/>
    <s v="if day_of_week == 1 and review_period == “True“"/>
    <s v="if day_of_week = 1 and review_period"/>
    <s v="if day_of_week = 1 &amp; review_period: = “True“"/>
    <s v="if day_of_week == 1 and review_period"/>
    <s v="if day_of_week = 1 and review_period = “True“"/>
    <m/>
    <s v="D"/>
    <s v="Correct_x000a_Option D. if day_of_week == 1 and review_period Correct because this is the proper Python syntax:_x000a_== is used for comparison (checking equality)._x000a_and is the correct logical operator to combine conditions._x000a_review_period is a Boolean variable, so it should be checked directly without comparing to &quot;True&quot; (a string)._x000a_This ensures the script runs only when day_of_week equals 1 and review_period is True._x000a__x000a_Incorrect_x000a_Option A. if day_of_week == 1 and review_period == “True” Incorrect because &quot;True&quot; is a string, not a Boolean. Comparing review_period to a string will fail unless the variable is explicitly stored as &quot;True&quot;._x000a_Option B. if day_of_week = 1 and review_period Incorrect because = is the assignment operator, not comparison. This will cause a syntax error in Python._x000a_Option C. if day_of_week = 1 &amp; review_period: = “True” Incorrect because this mixes assignment (=), bitwise operator (&amp;), and invalid syntax (:= “True”). This is not valid Python code._x000a_Option E. if day_of_week = 1 and review_period = “True” Incorrect because it uses assignment (=) instead of comparison (==) and compares review_period to a string &quot;True&quot;. Both issues make this invalid."/>
    <m/>
    <m/>
    <m/>
    <m/>
    <m/>
    <m/>
    <m/>
    <m/>
  </r>
  <r>
    <x v="0"/>
    <n v="1141"/>
    <x v="2"/>
    <n v="27"/>
    <s v="Governance"/>
    <s v="Unity Catalog"/>
    <s v="Easy"/>
    <s v="In the Databricks Unity Catalog, which role is primarily responsible for managing underlying cloud resources such as storage accounts/buckets and IAM roles/service principals/managed identities?"/>
    <s v="Account Admin"/>
    <s v="Cloud Admin"/>
    <s v="Metastore Admin"/>
    <s v="Data Owner"/>
    <m/>
    <m/>
    <s v="B"/>
    <s v="Correct_x000a_Option B. Cloud Admin_x000a__x000a_The Cloud Admin role is responsible for managing underlying cloud infrastructure._x000a_This includes tasks such as configuring storage accounts/buckets, setting up IAM roles, service principals, and managed identities._x000a_These resources are external to Databricks but required for Unity Catalog to function securely and correctly._x000a_This is the correct answer because Unity Catalog relies on cloud-level permissions and resource management handled by the Cloud Admin._x000a_Incorrect_x000a_Option A. Account Admin_x000a__x000a_Account Admins manage Databricks account-level settings such as workspaces, users, groups, and Unity Catalog metastore assignments._x000a_They do not directly manage cloud infrastructure resources like IAM roles or storage accounts._x000a_Option C. Metastore Admin_x000a__x000a_Metastore Admins manage Unity Catalog metadata (catalogs, schemas, tables) and permissions within the metastore._x000a_They focus on data governance, not cloud resource configuration._x000a_Option D. Data Owner_x000a__x000a_Data Owners manage permissions and ownership of specific datasets within Unity Catalog._x000a_They are responsible for granting/restricting access to data objects but not for configuring cloud resources."/>
    <m/>
    <m/>
    <m/>
    <m/>
    <m/>
    <m/>
    <m/>
    <m/>
  </r>
  <r>
    <x v="0"/>
    <n v="1142"/>
    <x v="2"/>
    <n v="28"/>
    <s v="General"/>
    <s v="Conceptual"/>
    <s v="Easy"/>
    <s v="How can a data engineer find out who owns “new_table” if they lack the necessary permissions and don’t know the table’s owner?"/>
    <s v="Review the Owner field in the table‘s page in Data Explorer"/>
    <s v="Review the Permissions tab in the table‘s page in Data Explorer"/>
    <s v="All of these options can be used to identify the owner of the table"/>
    <s v="There is no way to identify the owner of the table"/>
    <s v="Review the Owner field in the table‘s page in the cloud storage solution"/>
    <m/>
    <s v="A"/>
    <s v="Correct_x000a_Option A. Review the Owner field in the table’s page in Data Explorer_x000a__x000a_Correct._x000a_In Databricks, the Owner field is always displayed in the table’s page within Data Explorer._x000a_Even if the engineer lacks permissions to query or modify the table, they can still see the owner metadata in Data Explorer._x000a_This is the proper method expected in the Databricks Certified Data Engineer Associate exam (2026)._x000a_Incorrect_x000a_Option B. Review the Permissions tab in the table’s page in Data Explorer_x000a__x000a_Incorrect._x000a_The Permissions tab shows access controls (who has what permissions), but it does not reliably display the owner if the engineer lacks permissions._x000a_Option C. All of these options can be used to identify the owner of the table_x000a__x000a_Incorrect._x000a_Not all listed options are valid. Only the Owner field in Data Explorer is guaranteed to show ownership._x000a_Option D. There is no way to identify the owner of the table_x000a__x000a_Incorrect._x000a_There is a way: the Owner field in Data Explorer. Saying there is no way ignores the available metadata._x000a_Option E. Review the Owner field in the table’s page in the cloud storage solution_x000a__x000a_Incorrect._x000a_Ownership in cloud storage (e.g., AWS S3, Azure Blob, GCS) refers to storage-level permissions, not Databricks table ownership. The Databricks table owner is tracked in the metastore, not in cloud storage."/>
    <m/>
    <m/>
    <m/>
    <m/>
    <m/>
    <m/>
    <m/>
    <m/>
  </r>
  <r>
    <x v="0"/>
    <n v="1143"/>
    <x v="2"/>
    <n v="29"/>
    <s v="Streaming"/>
    <s v="Structured Streaming"/>
    <s v="Medium"/>
    <s v="Which of the following queries is performing a streaming hop from raw data to a Bronze table?"/>
    <s v="(spark.readStream.load(rawSalesLocation) .writeStream .option(“checkpointLocation“, checkpointPath) .outputMode(“append“) .table(“newSales“) )"/>
    <s v="(spark.table(“sales“) .groupBy(“store“) .agg(sum(“sales“)) .writeStream .option(“checkpointLocation“, checkpointPath) .outputMode(“complete“) .table(“newSales“) )"/>
    <s v="(spark.table(“sales“) .withColumn(“avgPrice“, col(“sales“) / col(“units“)) .writeStream .option(“checkpointLocation“, checkpointPath) .outputMode(“append“) .table(“newSales“) )"/>
    <s v="(spark.table(“sales“) .filter(col(“units“) &gt; 0) .writeStream .option(“checkpointLocation“, checkpointPath) .outputMode(“append“) .table(“newSales“) )"/>
    <s v="(spark.read.load(rawSalesLocation) .write .mode(“append“) .table(“newSales“) )"/>
    <m/>
    <s v="A"/>
    <s v="The code performs a streaming read from a raw data source and writes to a new table using append mode, consistent with the Bronze table‘s role in continuously capturing and storing raw data in a structured format without extensive transformation."/>
    <m/>
    <m/>
    <m/>
    <n v="1"/>
    <m/>
    <m/>
    <m/>
    <m/>
  </r>
  <r>
    <x v="0"/>
    <n v="1144"/>
    <x v="2"/>
    <n v="30"/>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Tasks tab in the Jobs UI and click on the active run to review the processing notebook."/>
    <s v="There is no way to determine why a Job task is running slowly."/>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m/>
    <s v="C"/>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_x0009__x0009__x0009__x0009__x0009_"/>
    <m/>
    <m/>
    <m/>
    <n v="1"/>
    <m/>
    <m/>
    <m/>
    <m/>
  </r>
  <r>
    <x v="0"/>
    <n v="1145"/>
    <x v="2"/>
    <n v="31"/>
    <s v="Analytics"/>
    <s v="Databricks SQL"/>
    <s v="Easy"/>
    <s v="When querying data from a JSON file in Databricks SQL, what prefix should be included after the FROM keyword?"/>
    <s v="json"/>
    <s v="FILE"/>
    <s v="TEXT"/>
    <s v="JSON"/>
    <m/>
    <m/>
    <s v="A"/>
    <s v="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_x0009__x0009__x0009__x0009__x0009_"/>
    <m/>
    <m/>
    <m/>
    <m/>
    <m/>
    <m/>
    <m/>
    <m/>
  </r>
  <r>
    <x v="0"/>
    <n v="1146"/>
    <x v="2"/>
    <n v="32"/>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in Spark SQL are session-scoped and cannot be accessed from different sessions."/>
    <s v="The data engineer did not correctly create the temporary view, resulting in an error when trying to access it from another session."/>
    <s v="Temporary views require special permissions to be accessed from different sessions."/>
    <s v="Temporary views are automatically deleted after a certain period, and the time limit was exceeded."/>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_x0009__x0009__x0009__x0009__x0009_"/>
    <m/>
    <m/>
    <m/>
    <m/>
    <m/>
    <m/>
    <m/>
    <m/>
  </r>
  <r>
    <x v="0"/>
    <n v="1147"/>
    <x v="2"/>
    <n v="33"/>
    <s v="General"/>
    <s v="Conceptual"/>
    <s v="Hard"/>
    <s v="What functionality does Data Access Audit provide in a data governance framework?"/>
    <s v="It restricts any access to the data."/>
    <s v="It allows users to modify data without tracking."/>
    <s v="It provides a mechanism to capture and record all access to data."/>
    <s v="It hides data access details from administrators."/>
    <m/>
    <m/>
    <s v="C"/>
    <s v="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_x0009__x0009__x0009__x0009__x0009_"/>
    <m/>
    <m/>
    <m/>
    <m/>
    <m/>
    <m/>
    <m/>
    <m/>
  </r>
  <r>
    <x v="0"/>
    <n v="1148"/>
    <x v="2"/>
    <n v="34"/>
    <s v="Analytics"/>
    <s v="Databricks SQL"/>
    <s v="Easy"/>
    <s v="How does setting up an alert for a failed task in Databricks benefit you?"/>
    <s v="It keeps you informed so you can take immediate action."/>
    <s v="It increases the execution speed of future tasks."/>
    <s v="It automatically fixes any issues with the task."/>
    <s v="It prevents tasks from failing in the future."/>
    <m/>
    <m/>
    <s v="A"/>
    <s v="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_x0009__x0009__x0009__x0009__x0009_"/>
    <m/>
    <m/>
    <m/>
    <m/>
    <m/>
    <m/>
    <m/>
    <m/>
  </r>
  <r>
    <x v="0"/>
    <n v="1149"/>
    <x v="2"/>
    <n v="35"/>
    <s v="Streaming"/>
    <s v="Structured Streaming"/>
    <s v="Easy"/>
    <s v="When a data engineer and data analyst decide to transition their data pipeline to Delta Live Tables, considering their use of Python for the raw, bronze, and silver layers, and SQL for the gold layer, with a streaming input as the raw source, which adjustment is necessary?"/>
    <s v="The pipeline will need to stop using the medallion-based multi-hop architecture"/>
    <s v="None of these changes will need to be made"/>
    <s v="The pipeline will need to be written entirely in Python"/>
    <s v="The pipeline will need to be written entirely in SQL"/>
    <s v="The pipeline will need to use a batch source in place of a streaming source"/>
    <m/>
    <s v="B"/>
    <s v="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_x0009__x0009__x0009__x0009__x0009_"/>
    <m/>
    <m/>
    <m/>
    <n v="1"/>
    <m/>
    <m/>
    <m/>
    <m/>
  </r>
  <r>
    <x v="0"/>
    <n v="1150"/>
    <x v="2"/>
    <n v="36"/>
    <s v="Governance"/>
    <s v="Unity Catalog"/>
    <s v="Easy"/>
    <s v="What level of access does a Metastore Admin have in the Databricks Unity Catalog?"/>
    <s v="They can only view metadata and user management settings."/>
    <s v="They can create or drop, grant privileges on, and change the ownership of catalogs and other data objects."/>
    <s v="They can manage users and groups as well as integrate with IdP."/>
    <s v="They have full access to all data objects."/>
    <m/>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_x0009__x0009__x0009__x0009__x0009_"/>
    <m/>
    <m/>
    <m/>
    <m/>
    <n v="1"/>
    <m/>
    <m/>
    <m/>
  </r>
  <r>
    <x v="0"/>
    <n v="1151"/>
    <x v="2"/>
    <n v="37"/>
    <s v="General"/>
    <s v="Conceptual"/>
    <s v="Easy"/>
    <s v="Which benefit is offered by utilizing array functions in Spark SQL?"/>
    <s v="The capability to handle multiple data types simultaneously."/>
    <s v="The capability to interact with a collection of tables for streamlined automation."/>
    <s v="The capability to process complex, hierarchical data structures sourced from JSON documents."/>
    <s v="The capability to manage time-based data over defined periods."/>
    <s v="The capability to manipulate data across specific partitions and window frame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_x0009__x0009__x0009__x0009__x0009_"/>
    <m/>
    <m/>
    <m/>
    <m/>
    <m/>
    <m/>
    <m/>
    <m/>
  </r>
  <r>
    <x v="0"/>
    <n v="1152"/>
    <x v="2"/>
    <n v="38"/>
    <s v="Orchestration"/>
    <s v="Jobs"/>
    <s v="Easy"/>
    <s v="If you are analyzing data in a Databricks notebook using Python, how can you switch to SQL for a specific visualization task?"/>
    <s v="Convert the entire notebook to SQL mode from the notebook settings."/>
    <s v="Rewrite the Python code in SQL and run it in a new Python cell."/>
    <s v="Use the %sql magic command in a new cell where you want to start using SQL."/>
    <s v="Export the data to a SQL database and create a new SQL notebook."/>
    <m/>
    <m/>
    <s v="C"/>
    <s v="The %sql magic command allows users to switch the execution context to SQL for specific cells within a notebook. This feature enables data scientists and engineers to leverage the strengths of SQL for data querying and visualization directly within a multi-language notebook._x0009__x0009__x0009__x0009__x0009_"/>
    <m/>
    <m/>
    <m/>
    <m/>
    <m/>
    <m/>
    <m/>
    <m/>
  </r>
  <r>
    <x v="0"/>
    <n v="1153"/>
    <x v="2"/>
    <n v="39"/>
    <s v="Orchestration"/>
    <s v="Jobs"/>
    <s v="Easy"/>
    <s v="Given the task of dynamically generating a table name in Python using variables for region, store, and year, where the desired format for the table name is akin to “la200_sales_2022“ for region=“la“, store=“200“, and year=“2022“, which Python command would correctly construct this table name?"/>
    <s v="f“{region}+{store}+_sales_+{year}“"/>
    <s v="f“{region}{store}_sales_{year}“"/>
    <s v="“{region}+{store}+_sales_+{year}“"/>
    <s v="“{region}{store}_sales_{year}“"/>
    <m/>
    <m/>
    <s v="B"/>
    <s v="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_x0009__x0009__x0009__x0009__x0009_"/>
    <m/>
    <m/>
    <m/>
    <m/>
    <m/>
    <m/>
    <m/>
    <m/>
  </r>
  <r>
    <x v="0"/>
    <n v="1154"/>
    <x v="2"/>
    <n v="40"/>
    <s v="Orchestration"/>
    <s v="Jobs"/>
    <s v="Easy"/>
    <s v="In the context of Databricks workflows, which pattern would you use to handle data at different stages of refinement, from raw to ready-for-use?"/>
    <s v="Funnel"/>
    <s v="Loop"/>
    <s v="Sequence"/>
    <s v="Fan-out"/>
    <m/>
    <m/>
    <s v="C"/>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155"/>
    <x v="2"/>
    <n v="41"/>
    <s v="Storage"/>
    <s v="Delta Lake"/>
    <s v="Medium"/>
    <s v="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
    <s v="CREATE OR REPLACE TABLE table_name ( employeeId STRING, startDate DATE, avgRating FLOAT )"/>
    <s v="CREATE TABLE IF NOT EXISTS table_name ( employeeId STRING, startDate DATE, avgRating FLOAT )"/>
    <s v="CREATE TABLE table_name AS"/>
    <s v="SELECT employeeId STRING, startDate DATE, avgRating FLOAT"/>
    <s v="CREATE OR REPLACE TABLE table_name AS"/>
    <m/>
    <s v="A"/>
    <s v="This SQL command will create a new Delta table with the columns employeeId, startDate, and avgRating, or replace an existing one with the same name, without the need to state USING DELTA explicitly, since it is the assumed default._x0009__x0009__x0009__x0009__x0009_"/>
    <m/>
    <m/>
    <m/>
    <m/>
    <m/>
    <m/>
    <m/>
    <m/>
  </r>
  <r>
    <x v="0"/>
    <n v="1156"/>
    <x v="2"/>
    <n v="42"/>
    <s v="Orchestration"/>
    <s v="Jobs"/>
    <s v="Easy"/>
    <s v="What is a benefit of reusing clusters for multiple tasks in a workflow?"/>
    <s v="It increases the complexity of the task."/>
    <s v="It eliminates the need for monitoring tasks."/>
    <s v="It allows for unlimited task execution."/>
    <s v="It reduces cost and startup time."/>
    <m/>
    <m/>
    <s v="D"/>
    <s v="Reusing clusters for multiple tasks can significantly reduce costs associated with provisioning new clusters and can also reduce the startup time for tasks, as the cluster is already running and does not need to be initiated from scratch."/>
    <m/>
    <m/>
    <m/>
    <m/>
    <m/>
    <m/>
    <m/>
    <m/>
  </r>
  <r>
    <x v="0"/>
    <n v="1157"/>
    <x v="2"/>
    <n v="43"/>
    <s v="Orchestration"/>
    <s v="Jobs"/>
    <s v="Easy"/>
    <s v="For what reason would a data engineer specify a Task in the “Depends On“ field while configuring a new Task in a Databricks Job?"/>
    <s v="When another task needs to successfully complete before the new task begins"/>
    <s v="When another task needs to fail before the new task begins"/>
    <s v="When another task needs to be replaced by the new task"/>
    <s v="When another task has the same dependency libraries as the new task"/>
    <s v="When another task needs to use as little compute resources as possible"/>
    <m/>
    <s v="A"/>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_x0009__x0009__x0009__x0009__x0009_"/>
    <m/>
    <m/>
    <m/>
    <m/>
    <m/>
    <m/>
    <m/>
    <m/>
  </r>
  <r>
    <x v="0"/>
    <n v="1158"/>
    <x v="2"/>
    <n v="44"/>
    <s v="General"/>
    <s v="Conceptual"/>
    <s v="Easy"/>
    <s v="What is the correct way to use Scala and Python code blocks for data processing in the same Databricks notebook?"/>
    <s v="Define all variables in Scala and use Python for data processing exclusively."/>
    <s v="Only Scala can be used in notebooks that require interaction with the Spark engine."/>
    <s v="Use the %scala magic command for Scala cells and %python for Python cells within the notebook."/>
    <s v="Convert Scala code to Python using a conversion tool before integrating with Python cells."/>
    <m/>
    <m/>
    <s v="C"/>
    <s v="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_x0009__x0009__x0009__x0009__x0009_"/>
    <m/>
    <m/>
    <m/>
    <m/>
    <m/>
    <m/>
    <m/>
    <m/>
  </r>
  <r>
    <x v="0"/>
    <n v="1159"/>
    <x v="2"/>
    <n v="45"/>
    <s v="General"/>
    <s v="Conceptual"/>
    <s v="Medium"/>
    <s v="What function in SQL is used to ensure that the array of values returned is composed of unique elements for each group of rows?"/>
    <s v="array_distinct"/>
    <s v="collect_set"/>
    <s v="array_combine"/>
    <s v="collect_all"/>
    <m/>
    <m/>
    <s v="C"/>
    <s v="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_x0009__x0009__x0009__x0009__x0009_"/>
    <m/>
    <m/>
    <m/>
    <m/>
    <n v="1"/>
    <m/>
    <m/>
    <m/>
  </r>
  <r>
    <x v="0"/>
    <n v="1160"/>
    <x v="2"/>
    <n v="46"/>
    <s v="Orchestration"/>
    <s v="Jobs"/>
    <s v="Easy"/>
    <s v="Why might you set up a retry policy for Databricks jobs?"/>
    <s v="To automatically attempt to rerun tasks that fail, improving reliability."/>
    <s v="To ensure that a job runs continuously without stopping."/>
    <s v="To comply with data processing regulations."/>
    <s v="To increase the job‘s execution time for detailed analysis."/>
    <m/>
    <m/>
    <s v="A"/>
    <s v="A retry policy is like having a backup plan when something doesn‘t go as expected. If a task fails, Databricks will try again based on the policy you set. This means less manual work for you and a better chance that your data processing will succeed eventually._x0009__x0009__x0009__x0009__x0009_"/>
    <m/>
    <m/>
    <m/>
    <m/>
    <m/>
    <m/>
    <m/>
    <m/>
  </r>
  <r>
    <x v="0"/>
    <n v="1161"/>
    <x v="2"/>
    <n v="47"/>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Configure the job to send completion alerts to the stakeholders‘ email addresses."/>
    <s v="Manually check the job status every Monday and send emails to stakeholders."/>
    <s v="Disable all alerts to avoid flooding stakeholders with notifications."/>
    <s v="Schedule the job run for Monday morning and hope it completes on time."/>
    <m/>
    <m/>
    <s v="A"/>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_x0009__x0009__x0009__x0009__x0009_"/>
    <m/>
    <m/>
    <m/>
    <m/>
    <m/>
    <m/>
    <m/>
    <m/>
  </r>
  <r>
    <x v="0"/>
    <n v="1162"/>
    <x v="2"/>
    <n v="48"/>
    <s v="Orchestration"/>
    <s v="Jobs"/>
    <s v="Easy"/>
    <s v="Which job uses a Gold table as its source?"/>
    <s v="A job that aggregates uncleaned data to create standard summary statistics"/>
    <s v="A job that cleans data by removing malformatted records"/>
    <s v="A job that queries aggregated data designed to feed into a dashboard"/>
    <s v="A job that ingests raw data from a streaming source into the Lakehouse"/>
    <s v="A job that enriches data by parsing its timestamps into a human-readable format"/>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_x0009__x0009__x0009__x0009__x0009_"/>
    <m/>
    <m/>
    <m/>
    <m/>
    <m/>
    <m/>
    <m/>
    <m/>
  </r>
  <r>
    <x v="0"/>
    <n v="1163"/>
    <x v="2"/>
    <n v="49"/>
    <s v="Storage"/>
    <s v="Delta Lake"/>
    <s v="Medium"/>
    <s v="In which of the following file formats is data from Delta Lake tables primarily stored?"/>
    <s v="Delta"/>
    <s v="A proprietary, optimized format specific to Databricks"/>
    <s v="CSV"/>
    <s v="JSON"/>
    <s v="Parquet"/>
    <m/>
    <s v="E"/>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_x0009__x0009__x0009__x0009__x0009_"/>
    <m/>
    <m/>
    <m/>
    <m/>
    <m/>
    <m/>
    <m/>
    <m/>
  </r>
  <r>
    <x v="0"/>
    <n v="1164"/>
    <x v="2"/>
    <n v="5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CREATE TABLE AS SELECT (CTAS)"/>
    <s v="MERGE INTO"/>
    <s v="UPDATE"/>
    <s v="INSERT INTO"/>
    <s v="ALTER TABLE"/>
    <m/>
    <s v="A"/>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9_CREATE TABLE new_table AS_x0009_SELECT id, SUM(amount) as total_amount, AVG(score) as average_score FROM old_table GROUP BY id; This example shows how to use CTAS to create a new table called new_table by adding up and averaging data from old_table. It‘s a handy way to make tables for analysis._x0009__x0009__x0009__x0009__x0009_"/>
    <m/>
    <m/>
    <m/>
    <m/>
    <m/>
    <m/>
    <m/>
    <m/>
  </r>
  <r>
    <x v="0"/>
    <n v="1165"/>
    <x v="2"/>
    <n v="51"/>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_x0009__x0009__x0009__x0009__x0009_"/>
    <m/>
    <m/>
    <m/>
    <m/>
    <m/>
    <m/>
    <m/>
    <m/>
  </r>
  <r>
    <x v="0"/>
    <n v="1166"/>
    <x v="2"/>
    <n v="52"/>
    <s v="Storage"/>
    <s v="Delta Lake"/>
    <s v="Hard"/>
    <s v="In which of the following scenarios should a data engineer use the MERGE INTO command instead of the INSERT INTO command?"/>
    <s v="When the target table is an external table"/>
    <s v="When the location of the data needs to be changed"/>
    <s v="When the target table cannot contain duplicate records"/>
    <s v="When the source table can be deleted"/>
    <s v="When the source is not a Delta table"/>
    <m/>
    <s v="C"/>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_x0009__x0009__x0009__x0009__x0009_"/>
    <m/>
    <m/>
    <m/>
    <m/>
    <m/>
    <m/>
    <m/>
    <m/>
  </r>
  <r>
    <x v="0"/>
    <n v="1167"/>
    <x v="2"/>
    <n v="53"/>
    <s v="General"/>
    <s v="Conceptual"/>
    <s v="Medium"/>
    <s v="Which of the following commands will return the number of null values in the member_id column?"/>
    <s v="SELECT null(member_id) FROM my_table;"/>
    <s v="SELECT count(member_id) - count_null(member_id) FROM my_table;"/>
    <s v="SELECT count_if(member_id IS NULL) FROM my_table;"/>
    <s v="SELECT count(member_id) FROM my_table;"/>
    <s v="SELECT count_null(member_id) FROM my_table;"/>
    <m/>
    <s v="C"/>
    <s v="The count_if function along with the condition member_id IS NULL to count the number of null values in the member_id column of the my_table. This is the standard way to count null values in SQL queries._x0009__x0009__x0009__x0009__x0009_"/>
    <m/>
    <m/>
    <m/>
    <m/>
    <m/>
    <m/>
    <m/>
    <m/>
  </r>
  <r>
    <x v="0"/>
    <n v="1168"/>
    <x v="2"/>
    <n v="54"/>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Use a built-in Spark SQL function that automatically converts temperatures from Celsius to Fahrenheit."/>
    <s v="Directly modify the dataset in the data lake to convert all temperatures to Fahrenheit before importing it into Databricks."/>
    <s v="Create a UDF in Databricks that applies the conversion formula and use it in a Spark SQL query to transform the temperature column."/>
    <m/>
    <m/>
    <s v="D"/>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169"/>
    <x v="2"/>
    <n v="55"/>
    <s v="Orchestration"/>
    <s v="Jobs"/>
    <s v="Easy"/>
    <s v="What is a key difference between all-purpose clusters and job clusters in Databricks?"/>
    <s v="Job clusters are permanent and cannot be terminated, unlike all-purpose cluster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m/>
    <m/>
    <s v="D"/>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_x0009__x0009__x0009__x0009__x0009_"/>
    <m/>
    <m/>
    <m/>
    <m/>
    <m/>
    <m/>
    <m/>
    <m/>
  </r>
  <r>
    <x v="0"/>
    <n v="1170"/>
    <x v="2"/>
    <n v="56"/>
    <s v="General"/>
    <s v="Conceptual"/>
    <s v="Hard"/>
    <s v="What is the role of Data Lineage in Databricks Data Governance?"/>
    <s v="To convert data into different formats automatically."/>
    <s v="To replicate data across multiple cloud providers."/>
    <s v="To compress data for efficient storage."/>
    <s v="To capture upstream sources and downstream consumers of data."/>
    <m/>
    <m/>
    <s v="D"/>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_x0009__x0009__x0009__x0009__x0009_"/>
    <m/>
    <m/>
    <m/>
    <m/>
    <m/>
    <m/>
    <m/>
    <m/>
  </r>
  <r>
    <x v="0"/>
    <n v="1171"/>
    <x v="3"/>
    <n v="1"/>
    <s v="Streaming"/>
    <s v="Structured Streaming"/>
    <s v="Medium"/>
    <s v="Which of the following Structured Streaming queries is performing a hop from a Silver table to a Gold table?"/>
    <s v="(spark.readStream.load(rawSalesLocation) .writeStream .option(“checkpointLocation“, checkpointPath) .outputMode(“append“) .table(“newSales“) )"/>
    <s v="(spark.table(“sales“) .filter(col(“units“) &gt; 0) .writeStream .option(“checkpointLocation“, checkpointPath) .outputMode(“append“) .table(“newSales“) )"/>
    <s v="(spark.read.load(rawSalesLocation) .writeStream .option(“checkpointLocation“, checkpointPath) .outputMode(“append“) .table(“newSales“) )"/>
    <s v="(spark.table(“sales“) .withColumn(“avgPrice“, col(“sales“) / col(“units“)) .writeStream .option(“checkpointLocation“, checkpointPath) .outputMode(“append“) .table(“newSales“) )"/>
    <s v="(spark.table(“sales“) .groupBy(“store“) .agg(sum(“sales“)) .writeStream .option(“checkpointLocation“, checkpointPath) .outputMode(“complete“) .table(“newSales“) )"/>
    <m/>
    <s v="E"/>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_x0009__x0009__x0009__x0009__x0009_"/>
    <m/>
    <m/>
    <m/>
    <m/>
    <m/>
    <m/>
    <m/>
    <m/>
  </r>
  <r>
    <x v="0"/>
    <n v="1172"/>
    <x v="3"/>
    <n v="2"/>
    <s v="Orchestration"/>
    <s v="Jobs"/>
    <s v="Hard"/>
    <s v="In which scenario should a predecessor task be set up?"/>
    <s v="When tasks are completely independent of each other"/>
    <s v="When all tasks need to run in parallel"/>
    <s v="When a task must wait for the completion of another task before it starts"/>
    <s v="When tasks are scheduled at different times"/>
    <m/>
    <m/>
    <s v="C"/>
    <s v="Imagine baking a cake (task 2) but needing to mix the ingredients first (task 1). You set up task 1 as a predecessor to task 2 because you can‘t bake the cake before mixing the ingredients. This ensures tasks are done in the right order for the best outcome._x0009__x0009__x0009__x0009__x0009_"/>
    <m/>
    <m/>
    <m/>
    <m/>
    <m/>
    <m/>
    <m/>
    <m/>
  </r>
  <r>
    <x v="0"/>
    <n v="1173"/>
    <x v="3"/>
    <n v="3"/>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Ignore the alert and wait for the next scheduled run."/>
    <s v="Use the repair feature to rerun only the failed transformation task after resolving the cluster issue."/>
    <s v="Permanently remove the transformation task from the pipeline to avoid future failures."/>
    <s v="Manually restart the entire job from the beginning."/>
    <m/>
    <m/>
    <s v="B"/>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_x0009__x0009__x0009__x0009__x0009_"/>
    <m/>
    <m/>
    <m/>
    <m/>
    <m/>
    <m/>
    <m/>
    <m/>
  </r>
  <r>
    <x v="0"/>
    <n v="1174"/>
    <x v="3"/>
    <n v="4"/>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PRIVILEGES ON DATABASE customers TO teams;"/>
    <s v="GRANT USAGE ON DATABASE customers TO team;"/>
    <s v="GRANT ALL PRIVILEGES ON DATABASE customers TO team;"/>
    <s v="GRANT SELECT CREATE MODIFY USAGE PRIVILEGES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_x0009__x0009__x0009__x0009__x0009_"/>
    <m/>
    <m/>
    <m/>
    <m/>
    <m/>
    <m/>
    <m/>
    <m/>
  </r>
  <r>
    <x v="0"/>
    <n v="1175"/>
    <x v="3"/>
    <n v="5"/>
    <s v="General"/>
    <s v="Conceptual"/>
    <s v="Medium"/>
    <s v="A data analyst needs to enhance their Databricks notebook by adding complex data visualizations created with R, alongside existing Python analytics code. What is the best approach?"/>
    <s v="Rewrite the Python analytics code in R for consistency."/>
    <s v="Export the data from Python to an R script outside Databricks."/>
    <s v="Use the %r magic command in new cells specifically for R-based visualizations."/>
    <s v="Convert R visualization code to Python before integrating."/>
    <m/>
    <m/>
    <s v="C"/>
    <s v="By using the %r magic command, the analyst can seamlessly integrate R for data visualization without altering the existing Python analytics code. This approach utilizes Databricks‘ support for multiple languages to enhance data analysis and visualization within a single notebook._x0009__x0009__x0009__x0009__x0009_"/>
    <m/>
    <m/>
    <m/>
    <m/>
    <m/>
    <m/>
    <m/>
    <m/>
  </r>
  <r>
    <x v="0"/>
    <n v="1176"/>
    <x v="3"/>
    <n v="6"/>
    <s v="Governance"/>
    <s v="Unity Catalog"/>
    <s v="Easy"/>
    <s v="When integrating the Unity Catalog with existing systems, what is a key advantage?"/>
    <s v="It necessitates the use of Databricks-exclusive storage systems."/>
    <s v="It works in concert with existing data, storage, and catalogs, without the need for hard migration."/>
    <s v="It requires a complete overhaul of existing data catalogs."/>
    <s v="It operates solely on non-standard SQL variants for legacy systems."/>
    <m/>
    <m/>
    <s v="B"/>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_x0009__x0009__x0009__x0009__x0009_"/>
    <m/>
    <m/>
    <m/>
    <m/>
    <m/>
    <m/>
    <m/>
    <m/>
  </r>
  <r>
    <x v="0"/>
    <n v="1177"/>
    <x v="3"/>
    <n v="7"/>
    <s v="Storage"/>
    <s v="Delta Lake"/>
    <s v="Easy"/>
    <s v="Which benefit is offered by Delta Lake within the Databricks Lakehouse Platform?"/>
    <s v="The capability to work with the same dataset across multiple programming languages"/>
    <s v="The capability to handle both batch and streaming data processing tasks"/>
    <s v="The capability to configure notifications for when queries do not execute successfully"/>
    <s v="The capability for simultaneous collaboration within a single notebook"/>
    <s v="The capability to execute complex data operations at scale"/>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_x0009__x0009__x0009__x0009__x0009_"/>
    <m/>
    <m/>
    <m/>
    <m/>
    <m/>
    <m/>
    <m/>
    <m/>
  </r>
  <r>
    <x v="0"/>
    <n v="1178"/>
    <x v="3"/>
    <n v="8"/>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9_USING customer_purchases AS source ON target.customer_id = source.customer_id_x0009_WHEN MATCHED AND target.purchase_date &lt; source.purchase_date THEN DELETE;_x0009__x0009__x0009__x0009__x0009_"/>
    <s v="MERGE INTO customer_purchases AS target_x0009_USING (_x0009_SELECT customer_id, purchase_date FROM customer_purchases WHERE purchase_date = (SELECT MAX(purchase_date) FROM customer_purchases GROUP BY customer_id) ) AS source ON target.customer_id = source.customer_id_x0009_WHEN MATCHED THEN UPDATE SET target.* = sourc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_x0009_WHEN MATCHED AND target.purchase_date &lt; source.latest_purchase_date THEN DELET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 AND target.purchase_date &lt; source.latest_purchase_date_x0009_WHEN MATCHED THEN DELETE;_x0009__x0009__x0009__x0009__x0009_"/>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_x0009__x0009__x0009__x0009__x0009_"/>
    <m/>
    <m/>
    <m/>
    <n v="1"/>
    <n v="1"/>
    <m/>
    <m/>
    <m/>
  </r>
  <r>
    <x v="0"/>
    <n v="1179"/>
    <x v="3"/>
    <n v="9"/>
    <s v="Storage"/>
    <s v="Delta Lake"/>
    <s v="Easy"/>
    <s v="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
    <s v="VACUUM"/>
    <s v="REPARTITION"/>
    <s v="CLEAN"/>
    <s v="PURGE"/>
    <s v="OPTIMIZE"/>
    <m/>
    <s v="A"/>
    <s v="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_x0009__x0009__x0009__x0009__x0009_"/>
    <m/>
    <m/>
    <m/>
    <m/>
    <m/>
    <m/>
    <m/>
    <m/>
  </r>
  <r>
    <x v="0"/>
    <n v="1180"/>
    <x v="3"/>
    <n v="10"/>
    <s v="Development and Ingestion"/>
    <s v="Ingestion"/>
    <s v="Easy"/>
    <s v="What tool does Auto Loader utilize to process data in increments?"/>
    <s v="Checkpointing"/>
    <s v="Unity Catalog"/>
    <s v="Spark Structured Streaming"/>
    <s v="Data Explorer"/>
    <s v="Databricks SQL"/>
    <m/>
    <s v="C"/>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_x0009__x0009__x0009__x0009__x0009_"/>
    <m/>
    <m/>
    <m/>
    <m/>
    <n v="1"/>
    <m/>
    <m/>
    <m/>
  </r>
  <r>
    <x v="0"/>
    <n v="1181"/>
    <x v="3"/>
    <n v="11"/>
    <s v="Compute"/>
    <s v="Clusters"/>
    <s v="Easy"/>
    <s v="What is the impact of terminating a cluster in Databricks?"/>
    <s v="Terminating a cluster releases the compute resources but retains the data in attached storage, allowing for data persistence."/>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m/>
    <m/>
    <s v="A"/>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_x0009__x0009__x0009__x0009__x0009_"/>
    <m/>
    <m/>
    <m/>
    <m/>
    <m/>
    <m/>
    <m/>
    <m/>
  </r>
  <r>
    <x v="0"/>
    <n v="1182"/>
    <x v="3"/>
    <n v="12"/>
    <s v="General"/>
    <s v="Conceptual"/>
    <s v="Medium"/>
    <s v="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
    <s v="The table was external"/>
    <s v="The table‘s data was larger than 10 GB"/>
    <s v="The table was managed"/>
    <s v="The table‘s data was smaller than 10 GB"/>
    <s v="The table did not have a location"/>
    <m/>
    <s v="C"/>
    <s v="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_x0009__x0009__x0009__x0009__x0009_"/>
    <m/>
    <m/>
    <m/>
    <m/>
    <n v="1"/>
    <m/>
    <m/>
    <m/>
  </r>
  <r>
    <x v="0"/>
    <n v="1183"/>
    <x v="3"/>
    <n v="13"/>
    <s v="Orchestration"/>
    <s v="Jobs"/>
    <s v="Easy"/>
    <s v="What is a critical step in orchestrating a task within a Databricks Workflow Job?"/>
    <s v="Setting up task dependencies to control execution order"/>
    <s v="Assigning a unique identifier to each task manually"/>
    <s v="Configuring the maximum allowable downtime for the job"/>
    <s v="Choosing a color scheme for task visualization"/>
    <m/>
    <m/>
    <s v="A"/>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184"/>
    <x v="3"/>
    <n v="14"/>
    <s v="General"/>
    <s v="Conceptual"/>
    <s v="Easy"/>
    <s v="What is the purpose of using schema_of_json in SQL?"/>
    <s v="To compress the JSON data for storage efficiency."/>
    <s v="To validate the structure of a JSON string."/>
    <s v="To generate a schema that can be used to parse a JSON string into a struct."/>
    <s v="To create a new JSON string from a struct."/>
    <m/>
    <m/>
    <s v="C"/>
    <s v="schema_of_json is used to generate a schema based on an example JSON string, which defines the structure that FROM_JSON will use to parse JSON strings into structs with the appropriate data types._x0009__x0009__x0009__x0009__x0009_"/>
    <m/>
    <m/>
    <m/>
    <n v="1"/>
    <m/>
    <m/>
    <m/>
    <m/>
  </r>
  <r>
    <x v="0"/>
    <n v="1185"/>
    <x v="3"/>
    <n v="15"/>
    <s v="Streaming"/>
    <s v="Structured Streaming"/>
    <s v="Hard"/>
    <s v="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
    <s v="All datasets will be updated at set intervals until the pipeline is shut down. The compute resources will persist after the pipeline is stopped to allow for additional testing."/>
    <s v="All datasets will be updated continuously and the pipeline will not shut down. The compute resources will persist with the pipeline."/>
    <s v="All datasets will be updated once and the pipeline will shut down. The compute resources will persist to allow for additional testing."/>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m/>
    <s v="C"/>
    <s v="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_x0009__x0009__x0009__x0009__x0009_"/>
    <m/>
    <m/>
    <m/>
    <m/>
    <m/>
    <m/>
    <m/>
    <m/>
  </r>
  <r>
    <x v="0"/>
    <n v="1186"/>
    <x v="3"/>
    <n v="16"/>
    <s v="General"/>
    <s v="Conceptual"/>
    <s v="Easy"/>
    <s v="What syntax does Spark SQL use to query subfields within STRUCT data types?"/>
    <s v="Dot (.)"/>
    <s v="Colon (:)"/>
    <s v="Comma (,)"/>
    <s v="Semicolon (;)"/>
    <m/>
    <m/>
    <s v="A"/>
    <s v="The dot (.) syntax is utilized in Spark SQL to access subfields of STRUCT types. STRUCT types are complex data types in Spark SQL that define a tree of nested fields, and the dot syntax allows for navigating this structure._x0009__x0009__x0009__x0009__x0009_"/>
    <m/>
    <m/>
    <m/>
    <m/>
    <m/>
    <m/>
    <m/>
    <m/>
  </r>
  <r>
    <x v="0"/>
    <n v="1187"/>
    <x v="3"/>
    <n v="17"/>
    <s v="Storage"/>
    <s v="Delta Lake"/>
    <s v="Easy"/>
    <s v="Why is Z-ordering beneficial for Delta Lake tables?"/>
    <s v="It arranges data to reduce the number of files scanned during queries."/>
    <s v="It encrypts data for enhanced security."/>
    <s v="It increases the size of the table for better performance."/>
    <s v="It organizes files into a random order to enhance query speed."/>
    <m/>
    <m/>
    <s v="A"/>
    <s v="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
    <m/>
    <m/>
    <m/>
    <m/>
    <m/>
    <m/>
    <m/>
    <m/>
  </r>
  <r>
    <x v="0"/>
    <n v="1188"/>
    <x v="3"/>
    <n v="18"/>
    <s v="General"/>
    <s v="Conceptual"/>
    <s v="Medium"/>
    <s v="Which of the following can be used to simplify and unify siloed data architectures that are specialized for specific use cases?"/>
    <s v="None of these"/>
    <s v="Data warehouse"/>
    <s v="All of these"/>
    <s v="Data lake"/>
    <s v="Data lakehouse"/>
    <m/>
    <s v="E"/>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_x0009__x0009__x0009__x0009__x0009_"/>
    <m/>
    <m/>
    <m/>
    <m/>
    <m/>
    <m/>
    <m/>
    <m/>
  </r>
  <r>
    <x v="0"/>
    <n v="1189"/>
    <x v="3"/>
    <n v="19"/>
    <s v="Analytics"/>
    <s v="Databricks SQL"/>
    <s v="Easy"/>
    <s v="How do you create a permanent view in Databricks SQL that references data from a CSV file stored in DBFS?"/>
    <s v="Use the CREATE PERMANENT VIEW statement and specify the CSV file path directly after the FROM keyword."/>
    <s v="Permanent views cannot reference CSV files directly; they must be loaded into a table first."/>
    <s v="Use the CREATE VIEW statement with the USING csv option followed by the path to the CSV file."/>
    <s v="Use the CREATE VIEW statement followed by a SELECT query that uses the csv prefix to reference the CSV file."/>
    <m/>
    <m/>
    <s v="D"/>
    <s v="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_x0009__x0009__x0009__x0009__x0009_"/>
    <m/>
    <m/>
    <m/>
    <n v="1"/>
    <n v="1"/>
    <m/>
    <m/>
    <m/>
  </r>
  <r>
    <x v="0"/>
    <n v="1190"/>
    <x v="3"/>
    <n v="20"/>
    <s v="Development and Ingestion"/>
    <s v="Ingestion"/>
    <s v="Easy"/>
    <s v="You are designing a data processing workflow in Databricks and have ingested raw IoT device data into bronze tables. Your next step is to clean and normalize this data. Which table should you store the cleaned and normalized data in?"/>
    <s v="Directly into an external data warehouse"/>
    <s v="Another bronze table"/>
    <s v="A silver table"/>
    <s v="A gold table"/>
    <m/>
    <m/>
    <s v="C"/>
    <s v="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_x0009__x0009__x0009__x0009__x0009_"/>
    <m/>
    <m/>
    <m/>
    <m/>
    <m/>
    <m/>
    <m/>
    <m/>
  </r>
  <r>
    <x v="0"/>
    <n v="1191"/>
    <x v="3"/>
    <n v="21"/>
    <s v="Orchestration"/>
    <s v="Jobs"/>
    <s v="Hard"/>
    <s v="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
    <s v="By allowing the specification of a minimum and maximum number of idle instances to prevent over-provisioning."/>
    <s v="By encrypting data at rest and in transit, reducing compliance costs."/>
    <s v="By automatically deleting idle clusters after a specified period."/>
    <s v="By providing unlimited compute resources at a fixed cost."/>
    <m/>
    <m/>
    <s v="A"/>
    <s v="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_x0009__x0009__x0009__x0009__x0009_"/>
    <m/>
    <m/>
    <m/>
    <m/>
    <n v="1"/>
    <m/>
    <m/>
    <m/>
  </r>
  <r>
    <x v="0"/>
    <n v="1192"/>
    <x v="3"/>
    <n v="2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File compaction"/>
    <s v="Data partitioning"/>
    <s v="Delta Lake"/>
    <s v="Spark Streaming"/>
    <s v="Dataframe caching"/>
    <m/>
    <s v="C"/>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193"/>
    <x v="3"/>
    <n v="23"/>
    <s v="Platform"/>
    <s v="Control Plane vs Data Plane"/>
    <s v="Easy"/>
    <s v="Which component resides in the customer‘s cloud account in the Databricks architecture?"/>
    <s v="Data storage and computation resources."/>
    <s v="The Databricks workspace interface."/>
    <s v="Cluster management services."/>
    <s v="Databricks‘ internal metadata store."/>
    <m/>
    <m/>
    <s v="A"/>
    <s v="The data plane, which includes data storage and computation resources, resides within the customer‘s cloud account."/>
    <m/>
    <m/>
    <m/>
    <m/>
    <m/>
    <m/>
    <m/>
    <m/>
  </r>
  <r>
    <x v="0"/>
    <n v="1194"/>
    <x v="3"/>
    <n v="24"/>
    <s v="General"/>
    <s v="Conceptual"/>
    <s v="Medium"/>
    <s v="Which of the following best describes the difference between Gold tables and Silver tables?"/>
    <s v="Gold tables are more likely to contain a less refined view of data than Silver tables."/>
    <s v="Gold tables are more likely to contain truthful data than Silver tables."/>
    <s v="Gold tables are more likely to contain more data than Silver tables."/>
    <s v="Gold tables are more likely to contain aggregations than Silver tables."/>
    <s v="Gold tables are more likely to contain valuable data than Silver tables."/>
    <m/>
    <s v="D"/>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95"/>
    <x v="3"/>
    <n v="25"/>
    <s v="Orchestration"/>
    <s v="Jobs"/>
    <s v="Easy"/>
    <s v="What kind of tasks can be monitored in the Databricks job run interface?"/>
    <s v="Only tasks related to database management"/>
    <s v="Any tasks that are part of a job workflow"/>
    <s v="Only data ingestion tasks"/>
    <s v="Only machine learning training tasks"/>
    <m/>
    <m/>
    <s v="B"/>
    <s v="The job run interface in Databricks is designed to monitor all types of tasks that are part of a job workflow, including but not limited to data ingestion, processing, analysis, and machine learning training. This ensures that users have visibility into the entire workflow execution."/>
    <m/>
    <m/>
    <m/>
    <m/>
    <m/>
    <m/>
    <m/>
    <m/>
  </r>
  <r>
    <x v="0"/>
    <n v="1196"/>
    <x v="3"/>
    <n v="26"/>
    <s v="Analytics"/>
    <s v="Databricks SQL"/>
    <s v="Medium"/>
    <s v="Your Databricks job occasionally fails due to transient network issues. You want to ensure that the job automatically retries before sending an alert about the failure. How should you configure the job to address this requirement?"/>
    <s v="Disable all alerts for the job to avoid unnecessary notifications."/>
    <s v="Increase the job‘s resource allocation to prevent failures."/>
    <s v="Set up a retry policy with a specific number of retries before an alert is sent."/>
    <s v="Manually restart the job whenever it fails."/>
    <m/>
    <m/>
    <s v="C"/>
    <s v="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
    <m/>
    <m/>
    <m/>
    <m/>
    <m/>
    <m/>
    <m/>
    <m/>
  </r>
  <r>
    <x v="0"/>
    <n v="1197"/>
    <x v="3"/>
    <n v="27"/>
    <s v="Pipelines"/>
    <s v="Delta Live Tables"/>
    <s v="Medium"/>
    <s v="Which of the following must be specified when creating a new Delta Live Tables pipeline?"/>
    <s v="A location of a target database for the written data"/>
    <s v="At least one notebook library to be executed"/>
    <s v="A key-value pair configuration"/>
    <s v="The preferred DBU/hour cost"/>
    <s v="A path to cloud storage location for the written data"/>
    <m/>
    <s v="B"/>
    <s v="Correct Answer_x000a_Option B: At least one notebook library to be executed_x000a_DLT pipelines require source code (notebook(s), Python/SQL files) containing table definitions using @dlt.table decorators or CREATE LIVE TABLE statements. No code = no pipeline execution._x000a__x000a_Incorrect_x000a_Option A: A location of a target database_x000a_DLT auto-manages target schemas. Tables created in pipeline-specified catalog/schema – no manual database location required._x000a__x000a_Option C: A key-value pair configuration_x000a_Optional settings only. Configuration blocks enhance functionality but aren’t mandatory for pipeline creation._x000a__x000a_Option D: The preferred DBU/hour cost_x000a_Cost managed automatically via cluster policies. Pipeline creation doesn’t require explicit cost specification._x000a__x000a_Option E: A path to cloud storage location_x000a_DLT handles storage automatically. Target Delta tables written to managed locations – explicit paths optional."/>
    <m/>
    <m/>
    <m/>
    <m/>
    <n v="1"/>
    <m/>
    <m/>
    <m/>
  </r>
  <r>
    <x v="0"/>
    <n v="1198"/>
    <x v="3"/>
    <n v="28"/>
    <s v="General"/>
    <s v="Conceptual"/>
    <s v="Easy"/>
    <s v="What is the purpose of using schema_of_json in SQL?"/>
    <s v="To generate a schema that can be used to parse a JSON string into a struct."/>
    <s v="To validate the structure of a JSON string."/>
    <s v="To create a new JSON string from a struct."/>
    <s v="To compress the JSON data for storage efficiency."/>
    <m/>
    <m/>
    <s v="A"/>
    <s v="Correct_x000a_Option A. To generate a schema that can be used to parse a JSON string into a struct._x000a__x000a_Explanation:_x000a__x000a_schema_of_json takes a JSON string and infers its schema._x000a_This schema can then be used with functions like from_json to parse JSON data into structured columns (structs, arrays, etc.)._x000a_It is especially useful when working with semi‑structured data in Spark SQL or Databricks._x000a_Incorrect_x000a_Option B. To validate the structure of a JSON string._x000a__x000a_Incorrect because schema_of_json does not validate JSON._x000a_It only infers the schema; validation would require parsing with from_json or other checks._x000a_Option C. To create a new JSON string from a struct._x000a__x000a_Incorrect because the function for this is to_json, not schema_of_json._x000a_schema_of_json is about schema inference, not JSON generation._x000a_Option D. To compress the JSON data for storage efficiency._x000a__x000a_Incorrect because compression is handled at the storage layer (e.g., Parquet, Delta, or file compression codecs)._x000a_schema_of_json has no role in compression."/>
    <m/>
    <m/>
    <m/>
    <m/>
    <m/>
    <m/>
    <m/>
    <m/>
  </r>
  <r>
    <x v="0"/>
    <n v="1199"/>
    <x v="3"/>
    <n v="29"/>
    <s v="Analytics"/>
    <s v="Databricks SQL"/>
    <s v="Easy"/>
    <s v="How do you create a permanent view in Databricks SQL that references data from a CSV file stored in DBFS?"/>
    <s v="Use the CREATE VIEW statement with the USING csv option followed by the path to the CSV file."/>
    <s v="Use the CREATE PERMANENT VIEW statement and specify the CSV file path directly after the FROM keyword."/>
    <s v="Use the CREATE VIEW statement followed by a SELECT query that uses the csv prefix to reference the CSV file."/>
    <s v="Permanent views cannot reference CSV files directly; they must be loaded into a table first."/>
    <m/>
    <m/>
    <s v="C"/>
    <s v="Correct_x000a_Option C. Use the CREATE VIEW statement followed by a SELECT query that uses the csv prefix to reference the CSV file._x000a__x000a_Explanation:_x000a__x000a_In Databricks SQL, you can create a permanent view by writing a CREATE VIEW statement that selects data from a CSV file stored in DBFS._x000a_The correct way is to use the csv. prefix (or read_csv equivalent in Spark SQL) in the FROM clause to reference the file path._x000a_Example:_x000a_sql_x000a_CREATE VIEW my_view AS_x000a_SELECT *_x000a_FROM csv.`dbfs:/path/to/file.csv`;_x000a_This ensures the view persists in the metastore and can be queried like a table._x000a_Incorrect_x000a_Option A. Use the CREATE VIEW statement with the USING csv option followed by the path to the CSV file._x000a__x000a_Incorrect because USING csv is valid for creating tables with CREATE TABLE, not for views._x000a_Views must reference a query, not a file format directly._x000a_Option B. Use the CREATE PERMANENT VIEW statement and specify the CSV file path directly after the FROM keyword._x000a__x000a_Incorrect because there is no CREATE PERMANENT VIEW syntax in Databricks SQL._x000a_Views are created with CREATE VIEW or CREATE OR REPLACE VIEW._x000a_Option D. Permanent views cannot reference CSV files directly; they must be loaded into a table first._x000a__x000a_Incorrect because Databricks allows views to directly reference files in DBFS using the csv. prefix._x000a_Loading into a table is optional, not mandatory."/>
    <m/>
    <m/>
    <m/>
    <m/>
    <m/>
    <m/>
    <m/>
    <m/>
  </r>
  <r>
    <x v="0"/>
    <n v="1200"/>
    <x v="3"/>
    <n v="30"/>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elta Lake"/>
    <s v="Unity Catalog"/>
    <s v="Databricks SQL"/>
    <s v="Data Explorer"/>
    <s v="Auto Loader"/>
    <m/>
    <s v="E"/>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201"/>
    <x v="3"/>
    <n v="31"/>
    <s v="General"/>
    <s v="Conceptual"/>
    <s v="Easy"/>
    <s v="Which statement accurately describes the relationship between Silver and Bronze tables, without altering the given options?"/>
    <s v="Silver tables contain a more refined and cleaner view of data than Bronze tables."/>
    <s v="Silver tables contain a less refined, less clean view of data than Bronze data."/>
    <s v="Silver tables contain aggregates while Bronze data is unaggregated."/>
    <s v="Silver tables contain more data than Bronze tables."/>
    <s v="Silver tables contain less data than Bronze tables."/>
    <m/>
    <s v="A"/>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2"/>
    <x v="3"/>
    <n v="32"/>
    <s v="Governance"/>
    <s v="Unity Catalog"/>
    <s v="Easy"/>
    <s v="How does the Unity Catalog facilitate the management of data and AI assets?"/>
    <s v="By using different interfaces for each type of data asset."/>
    <s v="By centrally sharing, auditing, securing, and managing all data types with one simple interface."/>
    <s v="By allowing data to be stored in isolated silos for each asset type."/>
    <s v="By preventing auditing of data assets to ensure privacy."/>
    <m/>
    <m/>
    <s v="B"/>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3"/>
    <x v="3"/>
    <n v="33"/>
    <s v="General"/>
    <s v="Conceptual"/>
    <s v="Easy"/>
    <s v="How can you execute Python and SQL code within the same Databricks notebook?"/>
    <s v="By installing a special library that allows cross-language execution."/>
    <s v="By writing all code in Python and using API calls to execute SQL queries."/>
    <s v="By configuring the notebook settings to enable multi-language support before execution."/>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204"/>
    <x v="3"/>
    <n v="34"/>
    <s v="Machine Learning"/>
    <s v="MLflow"/>
    <s v="Easy"/>
    <s v="A data science team is collaborating on a Databricks notebook. The data engineer prefers to use SQL for data extraction, while the data scientist wants to use Python for machine learning. How should they proceed within the same notebook?"/>
    <s v="Convert SQL queries to Python pandas queries for uniformity."/>
    <s v="Use %sql for data extraction cells and %python for machine learning cells."/>
    <s v="Create separate notebooks for SQL and Python code and link them together."/>
    <s v="Merge all code into Python for consistency across the notebook."/>
    <m/>
    <m/>
    <s v="B"/>
    <s v="Use %sql for data extraction cells and %python for machine learning cells."/>
    <m/>
    <m/>
    <m/>
    <m/>
    <m/>
    <m/>
    <m/>
    <m/>
  </r>
  <r>
    <x v="0"/>
    <n v="1205"/>
    <x v="3"/>
    <n v="35"/>
    <s v="General"/>
    <s v="Conceptual"/>
    <s v="Medium"/>
    <s v="A data engineer has created a new database using the following command: CREATE DATABASE IF NOT EXISTS customer360; In which of the following locations will the customer360 database be located?"/>
    <s v="dbfs:/user/hive/database/customer360"/>
    <s v="dbfs:/user/hive/database"/>
    <s v="dbfs:/user/hive/customer360"/>
    <s v="dbfs:/user/hive/warehouse"/>
    <s v="More information is needed to determine the correct response"/>
    <m/>
    <s v="D"/>
    <s v="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
    <m/>
    <m/>
    <m/>
    <n v="1"/>
    <m/>
    <m/>
    <m/>
    <m/>
  </r>
  <r>
    <x v="0"/>
    <n v="1206"/>
    <x v="3"/>
    <n v="36"/>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SELECT * FROM sales"/>
    <s v="spark.table"/>
    <s v="There is no way to share data between PySpark and SQL."/>
    <s v="spark.delta.table"/>
    <m/>
    <m/>
    <s v="C"/>
    <s v="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
    <m/>
    <m/>
    <m/>
    <m/>
    <m/>
    <m/>
    <m/>
    <m/>
  </r>
  <r>
    <x v="0"/>
    <n v="1207"/>
    <x v="3"/>
    <n v="37"/>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
    <s v="SELECT * FROM march_transactions OUTER JOIN SELECT * FROM april_transactions;"/>
    <s v="CREATE TABLE all_transactions AS"/>
    <s v="SELECT * FROM march_transactions UNION SELECT * FROM april_transactions;"/>
    <s v="CREATE TABLE all_transactions AS"/>
    <m/>
    <s v="B"/>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208"/>
    <x v="3"/>
    <n v="38"/>
    <s v="Development and Ingestion"/>
    <s v="Ingestion"/>
    <s v="Medium"/>
    <s v="Which option best describes the kind of tasks that Auto Loader is always suited for?"/>
    <s v="Streaming workloads"/>
    <s v="Dashboard workloads"/>
    <s v="Machine learning workloads"/>
    <s v="Serverless workloads"/>
    <s v="Batch workloads"/>
    <m/>
    <s v="A"/>
    <s v="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
    <m/>
    <m/>
    <m/>
    <n v="1"/>
    <m/>
    <m/>
    <m/>
    <m/>
  </r>
  <r>
    <x v="0"/>
    <n v="1209"/>
    <x v="3"/>
    <n v="39"/>
    <s v="Streaming"/>
    <s v="Structured Streaming"/>
    <s v="Easy"/>
    <s v="What workflow pattern in Databricks is suitable for consolidating data from multiple streaming sources into a single Delta table for analysis?"/>
    <s v="Fan-out"/>
    <s v="Sequence"/>
    <s v="Parallel processing"/>
    <s v="Funnel"/>
    <m/>
    <m/>
    <s v="D"/>
    <s v="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
    <m/>
    <m/>
    <m/>
    <n v="1"/>
    <m/>
    <m/>
    <m/>
    <m/>
  </r>
  <r>
    <x v="0"/>
    <n v="1210"/>
    <x v="3"/>
    <n v="40"/>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MERGE INTO"/>
    <s v="INSERT OVERWRITE"/>
    <s v="ALTER TABLE"/>
    <s v="UPDATE"/>
    <s v="INSERT INTO"/>
    <m/>
    <s v="B"/>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211"/>
    <x v="3"/>
    <n v="41"/>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one-time notifications."/>
    <s v="They can set up an Alert with a new email alert destination."/>
    <s v="They can set up an Alert without notifications."/>
    <s v="They can set up an Alert with a new webhook alert destination."/>
    <s v="They can set up an Alert with a custom template."/>
    <m/>
    <s v="D"/>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n v="1"/>
    <m/>
    <m/>
    <m/>
  </r>
  <r>
    <x v="0"/>
    <n v="1212"/>
    <x v="3"/>
    <n v="42"/>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enable all stakeholders to execute an automated report."/>
    <s v="To manage version control for an automated report with multiple contributors."/>
    <s v="To conduct error detection tests on an automated report."/>
    <s v="An automated report needs to be refreshed as quickly as possible."/>
    <s v="To guarantee the reproducibility of an automated report."/>
    <m/>
    <s v="D"/>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213"/>
    <x v="3"/>
    <n v="43"/>
    <s v="General"/>
    <s v="Conceptual"/>
    <s v="Easy"/>
    <s v="Given a table named ‘events‘ with a column ‘items‘ that contains an array of values, which SQL query would transform each item of the array into a separate row?"/>
    <s v="SELECT user_id, event_timestamp, event_name, ARRAY(items) AS item FROM events;"/>
    <s v="SELECT user_id, event_timestamp, event_name, items FROM events;"/>
    <s v="SELECT user_id, event_timestamp, event_name, UNNEST(items) AS item FROM events;"/>
    <s v="SELECT user_id, event_timestamp, event_name, explode(items) AS item FROM events;"/>
    <m/>
    <m/>
    <s v="D"/>
    <s v="SELECT user_id, event_timestamp, event_name, explode(items) AS item FROM events;"/>
    <m/>
    <m/>
    <m/>
    <m/>
    <n v="1"/>
    <m/>
    <m/>
    <m/>
  </r>
  <r>
    <x v="0"/>
    <n v="1214"/>
    <x v="3"/>
    <n v="44"/>
    <s v="General"/>
    <s v="Conceptual"/>
    <s v="Easy"/>
    <s v="Which benefit is offered by utilizing array functions in Spark SQL?"/>
    <s v="The capability to handle multiple data types simultaneously."/>
    <s v="The capability to manipulate data across specific partitions and window frames."/>
    <s v="The capability to process complex, hierarchical data structures sourced from JSON documents."/>
    <s v="The capability to interact with a collection of tables for streamlined automation."/>
    <s v="The capability to manage time-based data over defined period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215"/>
    <x v="3"/>
    <n v="45"/>
    <s v="Platform"/>
    <s v="Control Plane vs Data Plane"/>
    <s v="Easy"/>
    <s v="What is primarily managed within the control plane of Databricks‘ architecture?"/>
    <s v="User authentication and access control."/>
    <s v="Development of machine learning models."/>
    <s v="Physical hardware and network configuration."/>
    <s v="Data storage and computation tasks."/>
    <m/>
    <m/>
    <s v="A"/>
    <s v="The control plane manages backend services like user authentication and access control."/>
    <m/>
    <m/>
    <m/>
    <m/>
    <m/>
    <m/>
    <m/>
    <m/>
  </r>
  <r>
    <x v="0"/>
    <n v="1216"/>
    <x v="3"/>
    <n v="46"/>
    <s v="Platform"/>
    <s v="Control Plane vs Data Plane"/>
    <s v="Medium"/>
    <s v="Which of the following is stored in the Databricks customer‘s cloud account?"/>
    <s v="Repos"/>
    <s v="Cluster management metadata"/>
    <s v="Notebooks"/>
    <s v="Data"/>
    <s v="Databricks web application"/>
    <m/>
    <s v="D"/>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n v="1"/>
    <m/>
    <m/>
    <m/>
  </r>
  <r>
    <x v="0"/>
    <n v="1217"/>
    <x v="3"/>
    <n v="47"/>
    <s v="General"/>
    <s v="Conceptual"/>
    <s v="Medium"/>
    <s v="Your organization is transitioning from a traditional data lake to a data lakehouse architecture to improve data analytics capabilities. Which of the following benefits is a primary reason for this transition?"/>
    <s v="To enhance data quality and governance with schema enforcement"/>
    <s v="To reduce the amount of data stored"/>
    <s v="To eliminate the need for data processing"/>
    <s v="To increase the complexity of data queries"/>
    <m/>
    <m/>
    <s v="C"/>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218"/>
    <x v="3"/>
    <n v="48"/>
    <s v="Streaming"/>
    <s v="Structured Streaming"/>
    <s v="Hard"/>
    <s v="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
    <s v="trigger(processingTime=“once“)"/>
    <s v="processingTime(1)"/>
    <s v="trigger(parallelBatch=True)"/>
    <s v="trigger(continuous=“once“)"/>
    <s v="trigger(availableNow=True)"/>
    <m/>
    <s v="E"/>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m/>
    <n v="1"/>
    <m/>
    <m/>
    <m/>
  </r>
  <r>
    <x v="0"/>
    <n v="1219"/>
    <x v="3"/>
    <n v="49"/>
    <s v="Governance"/>
    <s v="Unity Catalog"/>
    <s v="Easy"/>
    <s v="In the Databricks Unity Catalog, which role is primarily responsible for managing underlying cloud resources such as storage accounts/buckets and IAM roles/service principals/managed identities?"/>
    <s v="Metastore Admin"/>
    <s v="Data Owner"/>
    <s v="Account Admin"/>
    <s v="Cloud Admin"/>
    <m/>
    <m/>
    <s v="D"/>
    <s v="The Cloud Admin role typically handles the management of cloud resources, ensuring the right storage and access permissions are set across cloud services, which is crucial for maintaining security and operational efficiency in a multi-cloud environment."/>
    <m/>
    <m/>
    <m/>
    <m/>
    <m/>
    <m/>
    <m/>
    <m/>
  </r>
  <r>
    <x v="0"/>
    <n v="1220"/>
    <x v="3"/>
    <n v="50"/>
    <s v="Orchestration"/>
    <s v="Jobs"/>
    <s v="Easy"/>
    <s v="A task in your Databricks job fails unexpectedly, and you need to find out why to fix the issue and prevent it from happening again. What is the first step you should take to debug this failed task?"/>
    <s v="Check the task‘s logs for error messages and clues about the failure."/>
    <s v="Restart the job and hope it works this time."/>
    <s v="Increase the resources allocated to the job without further investigation."/>
    <s v="Immediately escalate the issue to Databricks support."/>
    <m/>
    <m/>
    <s v="A"/>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221"/>
    <x v="3"/>
    <n v="51"/>
    <s v="General"/>
    <s v="Conceptual"/>
    <s v="Easy"/>
    <s v="What is the standard method for sharing a Databricks notebook with another user within the same Databricks workspace?"/>
    <s v="Use the workspace‘s sharing feature to grant specific users access to the notebook."/>
    <s v="Copy and paste the notebook code into a new notebook and save it under the user‘s workspace."/>
    <s v="Publish the notebook to a public repository and share the link."/>
    <s v="Export the notebook as a DBC file and email it to the user."/>
    <m/>
    <m/>
    <s v="A"/>
    <s v="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
    <m/>
    <m/>
    <m/>
    <n v="1"/>
    <m/>
    <m/>
    <m/>
    <m/>
  </r>
  <r>
    <x v="0"/>
    <n v="1222"/>
    <x v="3"/>
    <n v="52"/>
    <s v="Orchestration"/>
    <s v="Jobs"/>
    <s v="Easy"/>
    <s v="In Databricks, where can you find historical data of job executions, including completed or active runs?"/>
    <s v="In the Jobs tab"/>
    <s v="In the Runs tab"/>
    <s v="In the Dashboard tab"/>
    <s v="In the Tasks tab"/>
    <m/>
    <m/>
    <s v="B"/>
    <s v="The Runs tab in Databricks is where users can navigate to view the history of job runs, including both completed and active runs. This tab provides a comprehensive view of the job execution timeline and outcomes."/>
    <m/>
    <m/>
    <m/>
    <m/>
    <m/>
    <m/>
    <m/>
    <m/>
  </r>
  <r>
    <x v="0"/>
    <n v="1223"/>
    <x v="3"/>
    <n v="53"/>
    <s v="Development and Ingestion"/>
    <s v="Ingestion"/>
    <s v="Medium"/>
    <s v="An engineering manager wants to automate a Databricks SQL query to track data source ingestion latency, aiming to avoid manual daily reruns. Which method ensures the query automatically updates each day?"/>
    <s v="They can schedule the query to refresh every 12 hours from the SQL endpoint‘s page in Databricks SQL."/>
    <s v="They can schedule the query to run every 1 day from the Jobs UI."/>
    <s v="They can schedule the query to refresh every 1 day from the query‘s page in Databricks SQL."/>
    <s v="They can schedule the query to refresh every 1 day from the SQL endpoint‘s page in Databricks SQL."/>
    <s v="They can schedule the query to run every 12 hours from the Jobs UI."/>
    <m/>
    <s v="B"/>
    <s v="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
    <m/>
    <m/>
    <m/>
    <m/>
    <m/>
    <m/>
    <m/>
    <m/>
  </r>
  <r>
    <x v="0"/>
    <n v="1224"/>
    <x v="3"/>
    <n v="54"/>
    <s v="General"/>
    <s v="Conceptual"/>
    <s v="Hard"/>
    <s v="What is the purpose of Data Access Control within Data Governance?"/>
    <s v="To monitor the performance of data processing jobs."/>
    <s v="To automate the data ingestion process."/>
    <s v="To ensure that data processing is as fast as possible."/>
    <s v="To control who has access to which data within the Databricks environment."/>
    <m/>
    <m/>
    <s v="C"/>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225"/>
    <x v="3"/>
    <n v="55"/>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emporary views require special permissions to be accessed from different sessions."/>
    <s v="Temporary views in Spark SQL are session-scoped and cannot be accessed from different sessions."/>
    <s v="The data engineer did not correctly create the temporary view, resulting in an error when trying to access it from another session."/>
    <s v="Temporary views are automatically deleted after a certain period, and the time limit was exceeded."/>
    <s v="The network connection between the two Spark sessions was lost, preventing access to the temporary view."/>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226"/>
    <x v="3"/>
    <n v="56"/>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VACUUM"/>
    <s v="COMPACTION"/>
    <s v="REPARTITION"/>
    <s v="OPTIMIZE"/>
    <s v="REDUCE"/>
    <m/>
    <s v="D"/>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227"/>
    <x v="3"/>
    <n v="57"/>
    <s v="Compute"/>
    <s v="Clusters"/>
    <s v="Easy"/>
    <s v="How can users filter clusters in Databricks to view only those that are accessible to them?"/>
    <s v="By executing a specific SQL query in Databricks SQL Analytics to retrieve a list of accessible clusters based on the user‘s role."/>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m/>
    <m/>
    <s v="D"/>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228"/>
    <x v="3"/>
    <n v="58"/>
    <s v="Orchestration"/>
    <s v="Jobs"/>
    <s v="Medium"/>
    <s v="The data engineering team noticed that one of the job normally finishes in 15 mins but gets stuck randomly when reading remote databases due to a network packet drop, which of the following steps can be used to improve the stability of the job?"/>
    <s v="Use Databrick REST API to monitor long running jobs and issue a kill command"/>
    <s v="Use Jobs runs, active runs UI section to monitor and kill long running job"/>
    <s v="Modify the task, to include a timeout to kill the job if it runs more than 15 mins."/>
    <s v="Use Spark job time out setting in the Spark UI"/>
    <s v="Use Cluster timeout setting in the Job cluster UI"/>
    <m/>
    <s v="C"/>
    <s v="The answer is, Modify the task, to include time out to kill the job if it runs more than 15 mins._x000a_https://docs.microsoft.com/en-us/azure/databricks/data-engineering/jobs/jobs#timeout"/>
    <m/>
    <m/>
    <m/>
    <m/>
    <m/>
    <m/>
    <m/>
    <m/>
  </r>
  <r>
    <x v="0"/>
    <n v="1229"/>
    <x v="4"/>
    <n v="1"/>
    <s v="General"/>
    <s v="Conceptual"/>
    <s v="Easy"/>
    <s v="How does Lakehouse replace the dependency on using Data lakes and Data warehouses in a Data and Analytics solution?"/>
    <s v="Open, direct access to data stored in standard data formats."/>
    <s v="Supports ACID transactions."/>
    <s v="Supports BI and Machine learning workloads"/>
    <s v="Support for end-to-end streaming and batch workloads"/>
    <s v="All the above"/>
    <m/>
    <s v="E"/>
    <s v="Lakehouse combines the benefits of a data warehouse and data lakes, Lakehouse = Data Lake + DataWarehouse_x000a__x000a_Here are some of the major benefits of a lakehouseA lakehouse has the following key features:_x000a__x000a_• Transaction support: In an enterprise lakehouse many data pipelines will often be reading and writing data concurrently. Support for ACID transactions ensures consistency as multiple parties concurrently read or write data, typically using SQL._x000a__x000a_•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_x000a__x000a_• BI support: Lakehouses enable using BI tools directly on the source data. This reduces staleness and improves recency, reduces latency, and lowers the cost of having to operationalize two copies of the data in both a data lake and a warehouse._x000a__x000a_• Storage is decoupled from compute: In practice this means storage and compute use separate clusters, thus these systems are able to scale to many more concurrent users and larger data sizes. Some modern data warehouses also have this property._x000a__x000a_• Openness: The storage formats they use are open and standardized, such as Parquet, and they provide an API so a variety of tools and engines, including machine learning and Python/R libraries, can efficiently access the data directly._x000a__x000a_• Support for diverse data types ranging from unstructured to structured data: The lakehouse can be used to store, refine, analyze, and access data types needed for many new data applications, including images, video, audio, semi-structured data, and text._x000a__x000a_• Support for diverse workloads: including data science, machine learning, and SQL and analytics. Multiple tools might be needed to support all these workloads but they all rely on the same data repository._x000a__x000a_• End-to-end streaming: Real-time reports are the norm in many enterprises. Support for streaming eliminates the need for separate systems dedicated to serving real-time data applications."/>
    <m/>
    <m/>
    <m/>
    <n v="1"/>
    <n v="1"/>
    <m/>
    <n v="1"/>
    <m/>
  </r>
  <r>
    <x v="0"/>
    <n v="1230"/>
    <x v="4"/>
    <n v="2"/>
    <s v="Analytics"/>
    <s v="Databricks SQL"/>
    <s v="Medium"/>
    <s v="Which of the following is true, when building a Databricks SQL dashboard?"/>
    <s v="A dashboard can only use results from one query"/>
    <s v="Only one visualization can be developed with one query result"/>
    <s v="A dashboard can only connect to one schema/Database"/>
    <s v="More than one visualization can be developed using a single query result"/>
    <s v="A dashboard can only have one refresh schedule"/>
    <m/>
    <s v="D"/>
    <s v="the answer is, More than one visualization can be developed using a single query result._x000a_In the query editor pane + Add visualization tab can be used for many visualizations for a single query result."/>
    <m/>
    <m/>
    <m/>
    <m/>
    <m/>
    <m/>
    <n v="1"/>
    <m/>
  </r>
  <r>
    <x v="0"/>
    <n v="1231"/>
    <x v="4"/>
    <n v="3"/>
    <s v="Development and Ingestion"/>
    <s v="Ingestion"/>
    <s v="Medium"/>
    <s v="Which of the following is used by Auto Loader to load data incrementally?"/>
    <s v="DEEP CLONE"/>
    <s v="Multi-hop architecture"/>
    <s v="COPY INTO"/>
    <s v="Spark Structured Streaming"/>
    <s v="Databricks SQL"/>
    <m/>
    <s v="D"/>
    <s v="Auto Loader is based on Spark Structured Streaming. It provides a Structured Streaming source called cloudFiles._x000a_Reference: https://docs.databricks.com/ingestion/auto-loader/index.html"/>
    <m/>
    <m/>
    <m/>
    <m/>
    <m/>
    <m/>
    <m/>
    <m/>
  </r>
  <r>
    <x v="0"/>
    <n v="1232"/>
    <x v="4"/>
    <n v="4"/>
    <s v="Streaming"/>
    <s v="Structured Streaming"/>
    <s v="Hard"/>
    <s v="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
    <s v="Python, Job, SQL Cluster, email address"/>
    <s v="SQL, Alert, Refresh, email address"/>
    <s v="SQL, Job, SQL Cluster, email address"/>
    <s v="SQL, Job, Refresh, email address"/>
    <s v="Python, Job, Refresh, email address"/>
    <m/>
    <s v="B"/>
    <s v="See Graphic"/>
    <m/>
    <m/>
    <m/>
    <m/>
    <n v="1"/>
    <m/>
    <n v="1"/>
    <m/>
  </r>
  <r>
    <x v="0"/>
    <n v="1233"/>
    <x v="4"/>
    <n v="5"/>
    <s v="Compute"/>
    <s v="Clusters"/>
    <s v="Medium"/>
    <s v="Which of the following locations hosts the driver and worker nodes of a Databricks-managed cluster?"/>
    <s v="Data plane"/>
    <s v="Control plane"/>
    <s v="Databricks Filesystem"/>
    <s v="JDBC data source"/>
    <s v="Databricks web application"/>
    <m/>
    <s v="A"/>
    <s v="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
    <m/>
    <m/>
    <m/>
    <m/>
    <n v="1"/>
    <m/>
    <n v="1"/>
    <m/>
  </r>
  <r>
    <x v="0"/>
    <n v="1234"/>
    <x v="4"/>
    <n v="6"/>
    <s v="Governance"/>
    <s v="Unity Catalog"/>
    <s v="Hard"/>
    <s v="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
    <s v="User requires SELECT on the underlying table"/>
    <s v="User requires to be put in a special group that has access to PII data"/>
    <s v="User has to be the owner of the view"/>
    <s v="User requires USAGE privilege on Sales schema"/>
    <s v="User needs ADMIN privilege on the view"/>
    <m/>
    <s v="D"/>
    <s v="Correct _x000a_Option D. User requires USAGE privilege on Sales schema_x000a__x000a_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_x000a__x000a_Incorrect _x000a_Option A. User requires SELECT on the underlying table_x000a_Views with SELECT grant provide column-level access control; users don’t need underlying table privileges._x000a__x000a_Option B. User requires to be put in a special group that has access to PII data_x000a_No PII-specific groups required; standard Unity Catalog privileges control access._x000a__x000a_Option C. User has to be the owner of the view_x000a_Ownership not required for SELECT access; explicit grants suffice._x000a__x000a_Option E. User needs ADMIN privilege on the view_x000a_SELECT privilege is sufficient; ADMIN grants broader control unnecessary here."/>
    <m/>
    <m/>
    <m/>
    <n v="1"/>
    <m/>
    <m/>
    <m/>
    <m/>
  </r>
  <r>
    <x v="0"/>
    <n v="1235"/>
    <x v="4"/>
    <n v="7"/>
    <s v="Orchestration"/>
    <s v="Jobs"/>
    <s v="Easy"/>
    <s v="You have written a notebook to generate a summary data set for reporting, Notebook was scheduled using the job cluster, but you realized it takes an average of 8 minutes to start the cluster, what feature can be used to start the cluster in a timely fashion?"/>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n v="1"/>
    <m/>
    <m/>
    <m/>
  </r>
  <r>
    <x v="0"/>
    <n v="1236"/>
    <x v="4"/>
    <n v="8"/>
    <s v="Governance"/>
    <s v="Unity Catalog"/>
    <s v="Easy"/>
    <s v="How do you access or use tables in the unity catalog?"/>
    <s v="schema_name.table_name"/>
    <s v="schema_name.catalog_name.table_name"/>
    <s v="catalog_name.table_name"/>
    <s v="catalog_name.database_name.schema_name.table_name"/>
    <s v="catalog_name.schema_name.table_name"/>
    <m/>
    <s v="E"/>
    <s v="The answer is catalog_name.schema_name.table_name. Note: Database and Schema are analogous they are interchangeably used in the Unity catalog._x000a_FYI, A catalog is registered under a metastore, by default every workspace has a default metastore called hive_metastore, with a unity catalog you have the ability to create meatstores and share that across multiple workspaces."/>
    <m/>
    <m/>
    <m/>
    <m/>
    <n v="1"/>
    <m/>
    <n v="1"/>
    <m/>
  </r>
  <r>
    <x v="0"/>
    <n v="1237"/>
    <x v="4"/>
    <n v="9"/>
    <s v="General"/>
    <s v="Conceptual"/>
    <s v="Medium"/>
    <s v="Which of the following tool provides Data Access control, Access Audit, Data Lineage, and Data discovery?"/>
    <s v="DELTA LIVE Pipelines"/>
    <s v="Unity Catalog"/>
    <s v="Data Governance"/>
    <s v="DELTA lake"/>
    <s v="Lakehouse"/>
    <m/>
    <s v="B"/>
    <s v="The answer is Unity Catalog"/>
    <m/>
    <m/>
    <m/>
    <m/>
    <m/>
    <m/>
    <m/>
    <m/>
  </r>
  <r>
    <x v="0"/>
    <n v="1238"/>
    <x v="4"/>
    <n v="10"/>
    <s v="General"/>
    <s v="Conceptual"/>
    <s v="Medium"/>
    <s v="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
    <s v="Data Sharing"/>
    <s v="Unity Catalog"/>
    <s v="DELTA lake"/>
    <s v="Use a single storage location"/>
    <s v="DELTA LIVE Pipelines"/>
    <m/>
    <s v="B"/>
    <s v="The answer is the Unity catalog.  Unity Catalog works at the Account level, it has the ability to create a meta store and attach that meta store to many workspaces_x000a_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
    <m/>
    <m/>
    <m/>
    <m/>
    <n v="1"/>
    <m/>
    <n v="1"/>
    <m/>
  </r>
  <r>
    <x v="0"/>
    <n v="1239"/>
    <x v="4"/>
    <n v="11"/>
    <s v="General"/>
    <s v="Conceptual"/>
    <s v="Easy"/>
    <s v="Where are Interactive notebook results stored in Databricks product architecture?"/>
    <s v="Data plane"/>
    <s v="Control plane"/>
    <s v="Data and Control plane"/>
    <s v="JDBC data source"/>
    <s v="Databricks web application"/>
    <m/>
    <s v="D"/>
    <s v="The answer is Data and Control plane,_x000a_Only Job results are stored in Data Plane(your storage), Interactive notebook results are stored in a combination of the control plane (partial results for presentation in the UI) and customer storage._x000a_How to change this behavior?_x000a_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_x000a_Why is this important to know?_x000a_I recently worked on a project where we had to deal with sensitive information of customers and we had a security requirement that all of the data need to be stored in the data plane including notebook results._x000a_"/>
    <m/>
    <m/>
    <m/>
    <n v="1"/>
    <n v="1"/>
    <m/>
    <n v="1"/>
    <m/>
  </r>
  <r>
    <x v="0"/>
    <n v="1240"/>
    <x v="4"/>
    <n v="12"/>
    <s v="Orchestration"/>
    <s v="Jobs"/>
    <s v="Medium"/>
    <s v="Which of the following locations in the Databricks product architecture hosts the notebooks and jobs?"/>
    <s v="Data plane"/>
    <s v="Control plane"/>
    <s v="Databricks Filesystem"/>
    <s v="JDBC data source"/>
    <s v="Databricks web application"/>
    <m/>
    <s v="B"/>
    <s v="The answer is Control Pane,_x000a_Databricks operates most of its services out of a control plane and a data plane, please note serverless features like SQL Endpoint and DLT compute use shared compute in Control pane._x000a_Control Plane: Stored in Databricks Cloud Account_x000a_The control plane includes the backend services that Databricks manages in its own Azure account. Notebook commands and many other workspace configurations are stored in the control plane and encrypted at rest._x000a_Data Plane: Stored in Customer Cloud Account_x000a_The data plane is managed by your Azure account and is where your data resides. This is also where data is processed. You can use Azure Databricks connectors so that your clusters can connect to external data sources outside of your Azure account to ingest data or for storage."/>
    <m/>
    <m/>
    <m/>
    <m/>
    <n v="1"/>
    <m/>
    <n v="1"/>
    <m/>
  </r>
  <r>
    <x v="0"/>
    <n v="1241"/>
    <x v="4"/>
    <n v="13"/>
    <s v="General"/>
    <s v="Conceptual"/>
    <s v="Medium"/>
    <s v="Which of the following statements are true about a lakehouse?"/>
    <s v="Lakehouse only supports Machine learning workloads and Data warehouses support BI workloads"/>
    <s v="Lakehouse only supports end-to-end streaming workloads and Data warehouses support Batch workloads"/>
    <s v="Lakehouse does not support ACID"/>
    <s v="Lakehouse do not support SQL"/>
    <s v="Lakehouse supports Transactions"/>
    <m/>
    <s v="E"/>
    <s v="See Graphic"/>
    <m/>
    <m/>
    <m/>
    <m/>
    <n v="1"/>
    <m/>
    <n v="1"/>
    <m/>
  </r>
  <r>
    <x v="0"/>
    <n v="1242"/>
    <x v="4"/>
    <n v="14"/>
    <s v="Pipelines"/>
    <s v="Delta Live Tables"/>
    <s v="Medium"/>
    <s v="A dataset has been defined using Delta Live Tables and includes an expectations clause: CONSTRAINT valid_timestamp EXPECT (timestamp &gt; ‘2020-01-01‘) ON VIOLATION FAIL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C"/>
    <s v="The answer is  Records that violate the expectation cause the job to fail._x000a_Delta live tables support three types of expectations to fix bad data in DLT pipelines_x000a_Review below example code to examine these expectations,"/>
    <m/>
    <m/>
    <m/>
    <m/>
    <n v="1"/>
    <m/>
    <n v="1"/>
    <m/>
  </r>
  <r>
    <x v="0"/>
    <n v="1243"/>
    <x v="4"/>
    <n v="15"/>
    <s v="General"/>
    <s v="Conceptual"/>
    <s v="Medium"/>
    <s v="Which of the following SQL command can be used to insert or update or delete rows based on a condition to check if a row(s) exists?"/>
    <s v="MERGE INTO table_name COPY INTO table_name"/>
    <s v="UPDATE table_name"/>
    <s v="INSERT INTO OVERWRITE table_name"/>
    <s v="INSERT IF EXISTS table_name"/>
    <m/>
    <m/>
    <s v="A"/>
    <s v="here is the additional documentation for your review._x000a_https://docs.databricks.com/spark/latest/spark-sql/language-manual/delta-merge-into.html_x000a_MERGE INTO target_table_name [target_alias]_x000a_USING source_table_reference [source_alias]_x000a_ON merge_condition_x000a_[ WHEN MATCHED [ AND condition ] THEN matched_action ] […]_x000a_[ WHEN NOT MATCHED [ AND condition ] THEN not_matched_action ] […]_x000a_matched_action_x000a_{ DELETE |_x000a_UPDATE SET * |_x000a_UPDATE SET { column1 = value1 } [, …] }_x000a_not_matched_action_x000a_{ INSERT * |_x000a_INSERT (column1 [, …] ) VALUES (value1 [, …])"/>
    <m/>
    <m/>
    <m/>
    <m/>
    <n v="1"/>
    <m/>
    <n v="1"/>
    <m/>
  </r>
  <r>
    <x v="0"/>
    <n v="1244"/>
    <x v="4"/>
    <n v="16"/>
    <s v="General"/>
    <s v="Conceptual"/>
    <s v="Medium"/>
    <s v="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
    <s v="SELECT * FROM TIME_TRAVEL(table_name) WHERE time_stamp = ‘timestamp‘"/>
    <s v="TIME_TRAVEL FROM table_name WHERE time_stamp = date_sub(current_date(), 1)"/>
    <s v="SELECT * FROM table_name TIMESTAMP AS OF date_sub(current_date(), 1)"/>
    <s v="DISCRIBE HISTORY table_name AS OF date_sub(current_date(), 1)"/>
    <s v="SHOW HISTORY table_name AS OF date_sub(current_date(), 1)"/>
    <m/>
    <s v="C"/>
    <s v="The answer is   SELECT * FROM table_name TIMESTAMP as of date_sub(current_date(), 1)_x0009_FYI, Time travel supports two ways one is using timestamp and the second way is using version number,_x0009_Timestamp:_x0009_SELECT count(*) FROM my_table TIMESTAMP AS OF “2019-01-01“_x0009_SELECT count(*) FROM my_table TIMESTAMP AS OF date_sub(current_date(), 1)_x0009_SELECT count(*) FROM my_table TIMESTAMP AS OF “2019-01-01 01:30:00.000“_x0009_Version Number:"/>
    <m/>
    <m/>
    <m/>
    <n v="1"/>
    <n v="1"/>
    <m/>
    <m/>
    <m/>
  </r>
  <r>
    <x v="0"/>
    <n v="1245"/>
    <x v="4"/>
    <n v="17"/>
    <s v="General"/>
    <s v="Conceptual"/>
    <s v="Easy"/>
    <s v="You have accidentally deleted records from a table called transactions, what is the easiest way to restore the records deleted or the previous state of the table? Prior to deleting the version of the table is 3 and after delete the version of the table is 4."/>
    <s v="RESTORE TABLE transactions FROM VERSION as of 4_x0009__x0009__x0009__x0009__x0009__x0009_"/>
    <s v="RESTORE TABLE transactions TO VERSION as of 3_x0009__x0009__x0009__x0009__x0009__x0009_"/>
    <s v="INSERT INTO OVERWRITE transactions_x0009_SELECT * FROM transactions VERSION AS OF 3_x0009__x0009__x0009__x0009__x0009__x0009_"/>
    <s v="MINUS_x0009__x0009__x0009__x0009__x0009__x0009_"/>
    <s v="SELECT * FROM transactions_x0009_INSERT INTO OVERWRITE transactions_x0009_SELECT * FROM transactions VERSION AS OF 4_x0009__x0009__x0009__x0009__x0009__x0009_"/>
    <s v="INTERSECT_x0009__x0009__x0009__x0009__x0009__x0009_"/>
    <s v="B"/>
    <s v="RESTORE (Databricks SQL) | Databricks on AWS_x000a_RESTORE [TABLE] table_name [TO] time_travel_version_x000a_Time travel supports using timestamp or version number_x000a_time_travel_version_x000a_{ TIMESTAMP AS OF timestamp_expression |_x000a_VERSION AS OF version }_x000a_timestamp_expression can be any one of:_x000a_‘2018-10-18T22:15:12.013Z‘, that is, a string that can be cast to a timestamp_x000a_cast(‘2018-10-18 13:36:32 CEST‘ as timestamp)_x000a_‘2018-10-18‘, that is, a date string_x000a_current_timestamp() – interval 12 hours_x000a_date_sub(current_date(), 1)_x000a_Any other expression that is or can be cast to a timestamp"/>
    <m/>
    <m/>
    <m/>
    <m/>
    <m/>
    <m/>
    <m/>
    <m/>
  </r>
  <r>
    <x v="0"/>
    <n v="1246"/>
    <x v="4"/>
    <n v="18"/>
    <s v="Storage"/>
    <s v="Delta Lake"/>
    <s v="Easy"/>
    <s v="Create a schema called bronze using location ‘/mnt/delta/bronze’, and check if the schema exists before creating."/>
    <s v="CREATE SCHEMA IF NOT EXISTS bronze LOCATION ‘/mnt/delta/bronze‘_x0009__x0009__x0009__x0009__x0009__x0009_"/>
    <s v="CREATE SCHEMA bronze IF NOT EXISTS LOCATION ‘/mnt/delta/bronze‘_x0009__x0009__x0009__x0009__x0009__x0009_"/>
    <s v="if IS_SCHEMA(‘bronze‘): CREATE SCHEMA bronze LOCATION ‘/mnt/delta/bronze‘_x0009__x0009__x0009__x0009__x0009__x0009_"/>
    <s v="Schema creation is not available in metastore, it can only be done in Unity catalog UI_x0009__x0009__x0009__x0009__x0009__x0009_"/>
    <s v="Cannot create schema without a database_x0009__x0009__x0009__x0009__x0009__x0009_"/>
    <m/>
    <s v="A"/>
    <s v="https://docs.databricks.com/sql/language-manual/sql-ref-syntax-ddl-create-schema.html_x000a_CREATE SCHEMA [ IF NOT EXISTS ] schema_name [ LOCATION schema_directory ]"/>
    <m/>
    <m/>
    <m/>
    <n v="1"/>
    <m/>
    <m/>
    <m/>
    <m/>
  </r>
  <r>
    <x v="0"/>
    <n v="1247"/>
    <x v="4"/>
    <n v="19"/>
    <s v="General"/>
    <s v="Conceptual"/>
    <s v="Medium"/>
    <s v="Which of the following is a true statement about the global temporary view?"/>
    <s v="A global temporary view is available only on the cluster it was created, when the cluster restarts global temporary view is automatically dropped."/>
    <s v="A global temporary view is available on all clusters for a given workspace"/>
    <s v="A global temporary view persists even if the cluster is restarted"/>
    <s v="A global temporary view is stored in a user database"/>
    <s v="A global temporary view is automatically dropped after 7 days"/>
    <m/>
    <s v="A"/>
    <s v="Correct Option A. A global temporary view is available only on the cluster it was created, when the cluster restarts global temporary view is automatically dropped._x0009_This is correct because:_x0009_In Databricks, a global temporary view is tied to the lifetime of the cluster session._x0009_It is accessible across all notebooks attached to the same cluster._x0009_Once the cluster is terminated or restarted, the global temporary view is automatically dropped._x0009_This makes Option A the true statement._x0009_Incorrect_x0009__x0009__x0009__x0009__x0009__x0009_"/>
    <m/>
    <m/>
    <m/>
    <m/>
    <m/>
    <m/>
    <m/>
    <m/>
  </r>
  <r>
    <x v="0"/>
    <n v="1248"/>
    <x v="4"/>
    <n v="20"/>
    <s v="General"/>
    <s v="Conceptual"/>
    <s v="Easy"/>
    <s v="Which of the below SQL commands create a Global temporary view?"/>
    <s v="CREATE OR REPLACE TEMPORARY VIEW view_name AS SELECT * FROM table_name"/>
    <s v="CREATE OR REPLACE LOCAL TEMPORARY VIEW view_name AS SELECT * FROM table_name"/>
    <s v="CREATE OR REPLACE GLOBAL TEMPORARY VIEW view_name AS SELECT * FROM table_name"/>
    <s v="CREATE OR REPLACE VIEW view_name AS SELECT * FROM table_name"/>
    <s v="CREATE OR REPLACE LOCAL VIEW view_name AS SELECT * FROM table_name"/>
    <m/>
    <s v="C"/>
    <s v="CREATE OR REPLACE GLOBAL TEMPORARY VIEW view_name_x0009_AS SELECT * FROM table_name_x0009_There are two types of temporary views that can be created Local and Global_x0009_A session-scoped temporary view is only available with a spark session, so another notebook in the same cluster can not access it. if a notebook is detached and reattached local temporary view is lost._x0009_A global temporary view is available to all the notebooks in the cluster but if a cluster restarts a global temporary view is lost._x0009__x0009__x0009__x0009__x0009__x0009_"/>
    <m/>
    <m/>
    <m/>
    <m/>
    <n v="1"/>
    <m/>
    <m/>
    <m/>
  </r>
  <r>
    <x v="0"/>
    <n v="1249"/>
    <x v="4"/>
    <n v="21"/>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select max(raw.chicago.temp[3]) from temp_data_x0009__x0009__x0009__x0009__x0009__x0009_"/>
    <s v="select array_max(raw.chicago[*].temp[3]) from temp_data_x0009__x0009__x0009__x0009__x0009__x0009_"/>
    <s v="select array_max(from_json(raw[‘chicago‘].temp[3],‘array‘)) from temp_data_x0009__x0009__x0009__x0009__x0009__x0009_"/>
    <s v="select array_max(from_json(raw:chicago[*].temp[3],‘array‘)) from temp_data_x0009__x0009__x0009__x0009__x0009__x0009_"/>
    <s v="select max(from_json(raw:chicago[3].temp[3],‘array‘)) from temp_data_x0009__x0009__x0009__x0009__x0009__x0009_"/>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n v="1"/>
    <n v="1"/>
    <m/>
    <m/>
    <m/>
  </r>
  <r>
    <x v="0"/>
    <n v="1250"/>
    <x v="4"/>
    <n v="22"/>
    <s v="Compute"/>
    <s v="Clusters"/>
    <s v="Easy"/>
    <s v="You are trying to create an object by joining two tables that and it is accessible to data scientist’s team, so it does not get dropped if the cluster restarts or if the notebook is detached. What type of object are you trying to create?"/>
    <s v="Temporary view"/>
    <s v="Global Temporary view"/>
    <s v="Global Temporary view with cache option"/>
    <s v="External view"/>
    <s v="View"/>
    <m/>
    <s v="E"/>
    <s v="Answer is View, A view can be used to join multiple tables but also persist into meta stores so others can accesses it_x0009__x0009__x0009__x0009__x0009__x0009_"/>
    <m/>
    <m/>
    <m/>
    <m/>
    <m/>
    <m/>
    <m/>
    <m/>
  </r>
  <r>
    <x v="0"/>
    <n v="1251"/>
    <x v="4"/>
    <n v="23"/>
    <s v="General"/>
    <s v="Conceptual"/>
    <s v="Easy"/>
    <s v="When you drop a managed table using SQL syntax DROP TABLE table_name how does it impact metadata, history, and data stored in the table?"/>
    <s v="Drops table from meta store, drops metadata, history, and data in storage."/>
    <s v="Drops table from meta store and data from storage but keeps metadata and history in storage"/>
    <s v="Drops table from meta store, meta data and history but keeps the data in storage"/>
    <s v="Drops table but keeps meta data, history and data in storage"/>
    <s v="Drops table and history but keeps meta data and data in storage"/>
    <m/>
    <s v="A"/>
    <s v="For a managed table, a drop command will drop everything from metastore and storage._x0009_See the below image to understand the differences between dropping an external table._x0009__x0009__x0009__x0009__x0009__x0009_"/>
    <m/>
    <m/>
    <m/>
    <m/>
    <n v="1"/>
    <m/>
    <n v="1"/>
    <m/>
  </r>
  <r>
    <x v="0"/>
    <n v="1252"/>
    <x v="4"/>
    <n v="24"/>
    <s v="General"/>
    <s v="Conceptual"/>
    <s v="Medium"/>
    <s v="Which of the following SQL statements can be used to update a transactions table, to set a flag on the table from Y to N"/>
    <s v="MODIFY transactions SET active_flag = ‘N‘ WHERE active_flag = ‘Y‘"/>
    <s v="MERGE transactions SET active_flag = ‘N‘ WHERE active_flag = ‘Y‘"/>
    <s v="UPDATE transactions SET active_flag = ‘N‘ WHERE active_flag = ‘Y‘"/>
    <s v="REPLACE transactions SET active_flag = ‘N‘ WHERE active_flag = ‘Y‘"/>
    <m/>
    <m/>
    <s v="C"/>
    <s v="The answer is_x0009_UPDATE transactions SET active_flag = ‘N‘ WHERE active_flag = ‘Y‘_x0009_Delta Lake supports UPDATE statements on the delta table, all of the changes as part of the update are ACID compliant._x0009__x0009__x0009__x0009_"/>
    <m/>
    <m/>
    <m/>
    <m/>
    <m/>
    <m/>
    <m/>
    <m/>
  </r>
  <r>
    <x v="0"/>
    <n v="1253"/>
    <x v="4"/>
    <n v="25"/>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FLATTEN, COLLECT_UNION"/>
    <s v="ARRAY_UNION, FLATTEN"/>
    <s v="ARRAY_UNION, ARRAY_DISTINT"/>
    <s v="ARRAY_UNION, COLLECT_SET"/>
    <s v="ARRAY_DISTINCT, ARRAY_UNION"/>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m/>
    <n v="1"/>
    <m/>
    <n v="1"/>
    <m/>
  </r>
  <r>
    <x v="0"/>
    <n v="1254"/>
    <x v="4"/>
    <n v="26"/>
    <s v="General"/>
    <s v="Conceptual"/>
    <s v="Medium"/>
    <s v="The team has decided to take advantage of table properties to identify a business owner for each table, which of the following table DDL syntax allows you to populate a table property identifying the business owner of a table"/>
    <s v="CREATE TABLE inventory (id INT, units FLOAT) SET TBLPROPERTIES business_owner = ‘supply chain‘"/>
    <s v="CREATE TABLE inventory (id INT, units FLOAT) TBLPROPERTIES (business_owner = ‘supply chain‘)"/>
    <s v="CREATE TABLE inventory (id INT, units FLOAT) SET (business_owner = ‘supply chain’)"/>
    <s v="CREATE TABLE inventory (id INT, units FLOAT) SET PROPERTY (business_owner = ‘supply chain’)"/>
    <s v="CREATE TABLE inventory (id INT, units FLOAT) SET TAG (business_owner = ‘supply chain’)"/>
    <m/>
    <s v="E"/>
    <s v="Correct: Option B. CREATE TABLE inventory (id INT, units FLOAT) TBLPROPERTIES (business_owner = ‘supply chain’)_x0009_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_x0009_Incorrect:_x0009_Option A. CREATE TABLE inventory (id INT, units FLOAT)_x0009_SET TBLPROPERTIES business_owner = ‘supply chain’_x0009_ALTER TABLE on existing tables, not_x0009_CREATE TABLE; syntax fails at creation time as SET requires prior table existence."/>
    <m/>
    <m/>
    <m/>
    <m/>
    <n v="1"/>
    <m/>
    <m/>
    <m/>
  </r>
  <r>
    <x v="0"/>
    <n v="1255"/>
    <x v="4"/>
    <n v="27"/>
    <s v="General"/>
    <s v="Conceptual"/>
    <s v="Medium"/>
    <s v="Data science team has requested they are missing a column in the table called average price, this can be calculated using units sold and sales amt, which of the following SQL statements allow you to reload the data with additional column"/>
    <s v="CREATE OR REPLACE TABLE sales_x0009_AS SELECT *, salesAmt/unitsSold as avgPrice FROM sales_x0009__x0009__x0009__x0009__x0009_"/>
    <s v="MERGE INTO sales USING (SELECT *, salesAmt/unitsSold as avgPrice FROM sales)_x0009__x0009__x0009__x0009__x0009__x0009_"/>
    <s v="OVERWRITE sales AS SELECT *, salesAmt/unitsSold as avgPrice FROM sales_x0009__x0009__x0009__x0009__x0009__x0009_"/>
    <s v="COPY INTO SALES AS SELECT *, salesAmt/unitsSold as avgPrice FROM sales_x0009__x0009__x0009__x0009__x0009__x0009_"/>
    <m/>
    <m/>
    <s v="B"/>
    <s v="CREATE OR REPLACE TABLE sales_x0009_AS SELECT *, salesAmt/unitsSold as avgPrice FROM sales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
    <m/>
    <m/>
    <m/>
    <m/>
    <m/>
    <m/>
    <m/>
    <m/>
  </r>
  <r>
    <x v="0"/>
    <n v="1256"/>
    <x v="4"/>
    <n v="28"/>
    <s v="General"/>
    <s v="Conceptual"/>
    <s v="Hard"/>
    <s v="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
    <s v="SELECT * FROM orders UNION SELECT * FROM orders_archive"/>
    <s v="SELECT * FROM orders INTERSECT SELECT * FROM orders_archive"/>
    <s v="SELECT * FROM orders UNION ALL SELECT * FROM orders_archive"/>
    <s v="SELECT * FROM orders_archive MINUS SELECT * FROM orders"/>
    <s v="SELECT distinct * FROM orders JOIN orders_archive on order.id = orders_archive.id"/>
    <m/>
    <s v="A"/>
    <s v="Answer is SELECT * FROM orders UNION SELECT * FROM orders_archive_x0009_UNION and UNION ALL are set operators,_x0009_UNION combines the output from both queries but also eliminates the duplicates._x0009_UNION ALL combines the output from both queries._x0009__x0009__x0009_"/>
    <m/>
    <m/>
    <m/>
    <n v="1"/>
    <m/>
    <m/>
    <m/>
    <m/>
  </r>
  <r>
    <x v="0"/>
    <n v="1257"/>
    <x v="4"/>
    <n v="29"/>
    <s v="Development and Ingestion"/>
    <s v="Ingestion"/>
    <s v="Easy"/>
    <s v="You are working on a process to load external CSV files into a delta table by leveraging the COPY INTO command, but after running the command for the second time no data was loaded into the table name, why is that? COPY INTO table_name FROM ‘dbfs:/mnt/raw/*.csv‘ FILEFORMAT = CSV"/>
    <s v="COPY INTO only works one time data load"/>
    <s v="Run REFRESH TABLE sales before running COPY INTO"/>
    <s v="COPY INTO did not detect new files after the last load"/>
    <s v="Use incremental = TRUE option to load new files"/>
    <s v="COPY INTO does not support incremental load, use AUTO LOADER"/>
    <m/>
    <s v="C"/>
    <s v="The answer is COPY INTO did not detect new files after the last load,_x0009_COPY INTO keeps track of files that were successfully loaded into the table, the next time when the COPY INTO runs it skips them._x0009_FYI, you can change this behavior by using COPY_OPTIONS ‘force‘= ‘true‘, when this option is enabled all files in the path/pattern are loaded._x0009_COPY INTO table_identifier_x0009_FROM [ file_location | (SELECT identifier_list FROM file_location) ]_x0009_FILEFORMAT = data_source_x0009_[FILES = [file_name, … | PATTERN = ‘regex_pattern‘]"/>
    <m/>
    <m/>
    <m/>
    <m/>
    <m/>
    <m/>
    <m/>
    <m/>
  </r>
  <r>
    <x v="0"/>
    <n v="1258"/>
    <x v="4"/>
    <n v="30"/>
    <s v="General"/>
    <s v="Conceptual"/>
    <s v="Easy"/>
    <s v="What is the main difference between the below two commands? INSERT OVERWRITE table_name SELECT * FROM table CREATE OR REPLACE TABLE table_name AS SELECT * FROM table"/>
    <s v="INSERT OVERWRITE replaces data by default, CREATE OR REPLACE replaces data and Schema by default_x0009__x0009__x0009__x0009__x0009__x0009_"/>
    <s v="INSERT OVERWRITE replaces data and schema by default, CREATE OR REPLACEreplaces data by default_x0009__x0009__x0009__x0009__x0009__x0009_"/>
    <s v="INSERT OVERWRITE replaces data and schema by default, CREATE OR REPLACEreplaces data by default_x0009__x0009__x0009__x0009__x0009__x0009_"/>
    <s v="INSERT OVERWRITE maintains historical data versions by default, CREATE OR REPLACEclears the historical data versions by default_x0009__x0009__x0009__x0009__x0009__x0009_"/>
    <s v="Both are same and results in identical outcomes_x0009__x0009__x0009__x0009__x0009__x0009_"/>
    <m/>
    <s v="A"/>
    <s v="The answer is, INSERT OVERWRITE replaces data, CRAS replaces data and Schema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_x0009_"/>
    <m/>
    <m/>
    <m/>
    <n v="1"/>
    <m/>
    <m/>
    <m/>
    <m/>
  </r>
  <r>
    <x v="0"/>
    <n v="1259"/>
    <x v="4"/>
    <n v="31"/>
    <s v="General"/>
    <s v="Conceptual"/>
    <s v="Easy"/>
    <s v="You are working on IoT data where each device has 5 readings in an array collected in Celsius. You were asked to convert each individual reading from Celsius to Fahrenheit. Fill in the blank with an appropriate function that can be used in this scenario._x000a__x000a_Schema:_x000a_deviceId INT, deviceTemp ARRAY_x000a__x000a_Input data:_x000a__x000a_deviceId | deviceTempC_x000a_1        | [25.00, 26.00, 25.00, 26.00, 27.00]_x000a__x000a_Expected result:_x000a__x000a_deviceId | deviceTempF_x000a_1        | [77.00, 78.80, 77.00, 78.80, 80.60]_x000a__x000a_SELECT deviceId,_x000a_       __ (deviceTempC, i -&gt; (i * 9/5) + 32) AS deviceTempF_x000a_FROM sensors"/>
    <s v="APPLY"/>
    <s v="MULTIPLY"/>
    <s v="ARRAYEXPR"/>
    <s v="TRANSFORM"/>
    <s v="FORALL"/>
    <m/>
    <s v="D"/>
    <s v="TRANSFORM -&gt; Transforms elements in an array in expr using the function func._x000a_transform(expr, func)"/>
    <m/>
    <m/>
    <m/>
    <m/>
    <n v="1"/>
    <m/>
    <n v="1"/>
    <m/>
  </r>
  <r>
    <x v="0"/>
    <n v="1260"/>
    <x v="4"/>
    <n v="32"/>
    <s v="General"/>
    <s v="Conceptual"/>
    <s v="Medium"/>
    <s v="Which of the following array functions takes input column return unique list of values in an array?"/>
    <s v="COLLECT_LIST"/>
    <s v="COLLECT_SET"/>
    <s v="COLLECT_UNION"/>
    <s v="ARRAY_INTERSECT"/>
    <s v="ARRAY_UNION"/>
    <m/>
    <s v="B"/>
    <s v="Correct:_x000a_Option B – COLLECT_SET_x000a__x000a_COLLECT_SET takes input column values and returns an array with unique values only (duplicates removed)._x000a__x000a_Incorrect:_x000a_Option A – COLLECT_LIST_x000a_Returns all values including duplicates in an array._x000a__x000a_Option C – COLLECT_UNION_x000a_Not a valid Spark/Databricks function._x000a__x000a_Option D – ARRAY_INTERSECT_x000a_Takes two arrays as input and returns common elements, not a column input._x000a__x000a_Option E – ARRAY_UNION_x000a_Takes two arrays and returns combined unique elements, not column input."/>
    <m/>
    <m/>
    <m/>
    <n v="1"/>
    <n v="1"/>
    <m/>
    <m/>
    <m/>
  </r>
  <r>
    <x v="0"/>
    <n v="1261"/>
    <x v="4"/>
    <n v="33"/>
    <s v="General"/>
    <s v="Conceptual"/>
    <s v="Easy"/>
    <s v="Which of the statements are incorrect when choosing between lakehouse and Datawarehouse?"/>
    <s v="Lakehouse can have special indexes and caching which are optimized for Machine learning"/>
    <s v="Lakehouse cannot serve low query latency with high reliability for BI workloads, only suitable for batch workloads."/>
    <s v="Lakehouse can be accessed through various API’s including but not limited to Python/R/SQL"/>
    <s v="Traditional Data warehouses have storage and compute are coupled."/>
    <s v="Lakehouse uses standard data formats like Parquet."/>
    <m/>
    <s v="D"/>
    <s v="The answer is Lakehouse cannot serve low query latency with high reliability for BI workloads, only suitable for batch workloads._x0009_Lakehouse can replace traditional warehouses by leveraging storage and compute optimizations like caching to serve them with low query latency with high reliability._x0009_Focus on comparisons between Spark Cache vs Delta Cache._x0009_https://docs.databricks.com/delta/optimizations/delta-cache.html_x0009_What Is a Lakehouse? – The Databricks Blog_x0009__x0009__x000a__x000a_See Graphic"/>
    <m/>
    <m/>
    <m/>
    <n v="1"/>
    <m/>
    <m/>
    <n v="1"/>
    <m/>
  </r>
  <r>
    <x v="0"/>
    <n v="1262"/>
    <x v="4"/>
    <n v="34"/>
    <s v="General"/>
    <s v="Conceptual"/>
    <s v="Easy"/>
    <s v="Which of the statements are correct about lakehouse?"/>
    <s v="Lakehouse only supports Machine learning workloads and Data warehouses support BI workloads"/>
    <s v="Lakehouse only supports end-to-end streaming workloads and Data warehouses support Batch workloads"/>
    <s v="Lakehouse does not support ACID"/>
    <s v="In Lakehouse Storage and compute are coupled"/>
    <s v="Lakehouse supports schema enforcement and evolution"/>
    <m/>
    <s v="E"/>
    <s v="The answer is  Lakehouse supports schema enforcement and evolution,_x0009_Lakehouse using Delta lake can not only enforce a schema on write which is contrary to traditional big data systems that can only enforce a schema on read, it also supports evolving schema over time with the ability to control the evolution._x0009_For example below is the Dataframe writer API and it supports three modes of enforcement and evolution,_x0009_Default:  Only enforcement, no changes are allowed and any schema drift/evolution will result in failure._x0009_Merge: Flexible, supports enforcement and evolution_x0009_New columns are added_x0009_Evolves nested columns"/>
    <m/>
    <m/>
    <m/>
    <m/>
    <n v="1"/>
    <m/>
    <n v="1"/>
    <m/>
  </r>
  <r>
    <x v="0"/>
    <n v="1263"/>
    <x v="4"/>
    <n v="35"/>
    <s v="General"/>
    <s v="Conceptual"/>
    <s v="Medium"/>
    <s v="Which of the following are stored in the control pane of Databricks Architecture?"/>
    <s v="Job Clusters"/>
    <s v="All Purpose Clusters"/>
    <s v="Databricks Filesystem"/>
    <s v="Databricks Web Application"/>
    <s v="Delta tables"/>
    <m/>
    <s v="D"/>
    <s v="Correct option D. Databricks Web Application Control plane hosts the web UI, notebooks, and management services._x0009_Incorrect_x0009_option A. Job Clusters_x0009_Customer-provisioned compute resources._x0009_option B. All Purpose Clusters_x0009_Interactive clusters in data plane._x0009_option C. Databricks Filesystem"/>
    <m/>
    <m/>
    <m/>
    <n v="1"/>
    <m/>
    <m/>
    <m/>
    <m/>
  </r>
  <r>
    <x v="0"/>
    <n v="1264"/>
    <x v="4"/>
    <n v="36"/>
    <s v="Orchestration"/>
    <s v="Jobs"/>
    <s v="Easy"/>
    <s v="You have written a notebook to generate a summary data set for reporting, Notebook was scheduled using the job cluster, but you realized it takes 8 minutes to start the cluster, what feature can be used to start the cluster in a timely fashion so your job can run immediatley?"/>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orrect Option B. Use the Databricks cluster pools feature to reduce the startup time_x0009_Correct because cluster pools allow you to maintain a set of pre-warmed instances._x0009_When a job cluster is requested, it can be started from the pool almost instantly, avoiding the long startup delay._x0009_This is the recommended solution for reducing cluster spin-up time while still using job clusters efficiently._x0009_Incorrect_x0009_Option A. Setup an additional job to run ahead of the actual job_x0009_Not correct because this is a workaround, not a proper solution. It wastes resources and is not reliable for production scheduling."/>
    <m/>
    <m/>
    <m/>
    <m/>
    <m/>
    <m/>
    <m/>
    <m/>
  </r>
  <r>
    <x v="0"/>
    <n v="1265"/>
    <x v="4"/>
    <n v="37"/>
    <s v="Development and Ingestion"/>
    <s v="Ingestion"/>
    <s v="Hard"/>
    <s v="Which of the following scenarios is the best fit for AUTO LOADER?"/>
    <s v="Efficiently process new data incrementally from cloud object storage"/>
    <s v="Efficiently move data incrementally from one delta table to another delta table"/>
    <s v="Incrementally process new data from streaming data sources like Kafka into delta lake"/>
    <s v="Incrementally process new data from relational databases like MySQL"/>
    <s v="Efficiently copy data from one data lake location to another data lake location"/>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_x0009__x0009__x0009_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9_Auto Loader_x0009__x000a_"/>
    <s v="A"/>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a__x000a_See Graphic"/>
    <m/>
    <m/>
    <m/>
    <m/>
    <n v="1"/>
    <m/>
    <n v="1"/>
    <m/>
  </r>
  <r>
    <x v="0"/>
    <n v="1266"/>
    <x v="4"/>
    <n v="38"/>
    <s v="Development and Ingestion"/>
    <s v="Ingestion"/>
    <s v="Medium"/>
    <s v="You are asked to setup an AUTO LOADER to process the incoming data, this data arrives in JSON format and get dropped into cloud object storage and you are required to process the data as soon as it arrives in cloud storage, which of the following statements is correct"/>
    <s v="AUTO LOADER is native to DELTA lake it cannot support external cloud object storage"/>
    <s v="AUTO LOADER has to be triggered from an external process when the file arrives in the cloud storage"/>
    <s v="AUTO LOADER needs to be converted to a Structured stream process"/>
    <s v="AUTO LOADER can only process continuous data when stored in DELTA lake"/>
    <s v="AUTO LOADER can support file notification method so it can process data as it arrives"/>
    <m/>
    <s v="E"/>
    <s v="Auto Loader supports two modes when ingesting new files from cloud object storage_x0009_Directory listing: Auto Loader identifies new files by listing the input directory, and uses a directory polling approach._x0009_File notification: Auto Loader can automatically set up a notification service and queue service that subscribe to file events from the input directory._x000a_See Graphic_x000a_File notification is more efficient and can be used to process the data in real-time as data arrives in cloud object storage._x0009_Choosing between file notification and directory listing modes | Databricks on AWS_x0009__x0009__x0009__x0009__x0009__x0009__x0009__x0009__x0009_"/>
    <m/>
    <m/>
    <m/>
    <m/>
    <m/>
    <m/>
    <m/>
    <m/>
  </r>
  <r>
    <x v="0"/>
    <n v="1267"/>
    <x v="4"/>
    <n v="39"/>
    <s v="General"/>
    <s v="Conceptual"/>
    <s v="Easy"/>
    <s v="What is the main difference between the bronze layer and silver layer in a medallion architecture?"/>
    <s v="Duplicates are removed in bronze, schema is applied in silver"/>
    <s v="Silver may contain aggregated data"/>
    <s v="Bronze is raw copy of ingested data, silver contains data with production schema and optimized for ELT/ETL throughput"/>
    <s v="Bad data is filtered in Bronze, silver is a copy of bronze data"/>
    <m/>
    <m/>
    <s v="C"/>
    <s v="Medallion Architecture – Databricks_x0009_Exam focus: Please review the below image and understand the role of each layer(bronze, silver, gold) in medallion architecture, you will see varying questions targeting each layer and its purpose._x0009__x0009__x0009__x0009__x0009__x000a_See Graphic"/>
    <m/>
    <m/>
    <m/>
    <m/>
    <n v="1"/>
    <m/>
    <n v="1"/>
    <m/>
  </r>
  <r>
    <x v="0"/>
    <n v="1268"/>
    <x v="4"/>
    <n v="40"/>
    <s v="General"/>
    <s v="Conceptual"/>
    <s v="Easy"/>
    <s v="What is the main difference between the silver layer and gold layer in medallion architecture?"/>
    <s v="Silver optimized to perform ETL, Gold is optimized query performance"/>
    <s v="Gold is optimized go perform ETL, Silver is optimized for query performance"/>
    <s v="Silver is copy of Bronze, Gold is a copy of Silver"/>
    <s v="Silver is stored in Delta Lake, Gold is stored in memory"/>
    <s v="Silver may contain aggregated data, gold may preserve the granularity of original data"/>
    <m/>
    <s v="A"/>
    <s v="Medallion Architecture – Databricks_x0009_Gold Layer:_x0009_1. Powers Ml applications, reporting, dashboards, ad hoc analytics_x0009_2. Refined views of data, typically with aggregations_x0009_3. Reduces strain on production systems_x0009_4. Optimizes query performance for business-critical data_x0009_Exam focus: Please review the below image and understand the role of each layer(bronze, silver, gold) in medallion architecture, you will see varying questions targeting each layer and its purpose._x000a_See Graphic"/>
    <m/>
    <m/>
    <m/>
    <m/>
    <n v="1"/>
    <m/>
    <n v="1"/>
    <m/>
  </r>
  <r>
    <x v="0"/>
    <n v="1269"/>
    <x v="4"/>
    <n v="41"/>
    <s v="Storage"/>
    <s v="Delta Lake"/>
    <s v="Medium"/>
    <s v="Which of the following SQL commands are used to append rows to an existing delta table?"/>
    <s v="APPEND INTO DELTA table_name"/>
    <s v="APPEND INTO table_name"/>
    <s v="COPY DELTA INTO table_name"/>
    <s v="INSERT INTO table_name"/>
    <s v="UPDATE table_name"/>
    <m/>
    <s v="D"/>
    <s v="The answer is INSERT INTO table_name_x0009_Insert adds rows to an existing table, this is very similar to add rows a traditional Database or Datawarehouse._x0009__x0009__x0009__x0009__x0009_"/>
    <m/>
    <m/>
    <m/>
    <m/>
    <m/>
    <m/>
    <m/>
    <m/>
  </r>
  <r>
    <x v="0"/>
    <n v="1270"/>
    <x v="4"/>
    <n v="42"/>
    <s v="Storage"/>
    <s v="Delta Lake"/>
    <s v="Easy"/>
    <s v="How are Delta tables stored?"/>
    <s v="A Directory where parquet data files are stored, a sub directory _delta_log where meta data, and the transaction log is stored as JSON files."/>
    <s v="A Directory where parquet data files are stored, all of the meta data is stored in memory"/>
    <s v="A Directory where parquet data files are stored in Data plane, a sub directory _delta_log where meta data, history and log is stored in control pane."/>
    <s v="A Directory where parquet data files are stored, all of the metadata is stored in parquet files"/>
    <s v="Data is stored in Data plane and Metadata and delta log are stored in control pane"/>
    <m/>
    <s v="A"/>
    <s v="The answer is A Directory where parquet data files are stored, a sub directory _delta_log where meta data, and the transaction log is stored as JSON files._x0009__x0009__x0009__x0009__x0009__x0009_"/>
    <m/>
    <m/>
    <m/>
    <n v="1"/>
    <n v="1"/>
    <m/>
    <n v="1"/>
    <m/>
  </r>
  <r>
    <x v="0"/>
    <n v="1271"/>
    <x v="4"/>
    <n v="43"/>
    <s v="Pipelines"/>
    <s v="Delta Live Tables"/>
    <s v="Medium"/>
    <s v="A dataset has been defined using Delta Live Tables and includes an expectations clause: CONSTRAINT valid_timestamp EXPECT (timestamp &gt; ‘2020-01-01‘)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A"/>
    <s v="See Graphic_x000a_The answer is, Records that violate the expectation are added to the target dataset and recorded as invalid in the event log._x0009_Delta live tables support three types of expectations to fix bad data in DLT pipelines_x0009_Review below example code to examine these expectations,_x0009__x0009__x0009__x0009_"/>
    <m/>
    <m/>
    <m/>
    <n v="1"/>
    <n v="1"/>
    <m/>
    <n v="1"/>
    <m/>
  </r>
  <r>
    <x v="0"/>
    <n v="1272"/>
    <x v="4"/>
    <n v="44"/>
    <s v="Pipelines"/>
    <s v="Delta Live Tables"/>
    <s v="Medium"/>
    <s v="A dataset has been defined using Delta Live Tables and includes an expectations clause: CONSTRAINT valid_timestamp EXPECT (timestamp &gt; ‘2020-01-01‘) ON VIOLATION DROP ROW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B"/>
    <s v="The answer is Records that violate the expectation are dropped from the target dataset and recorded as invalid in the event log._x0009_Delta live tables support three types of expectations to fix bad data in DLT pipelines_x0009_Review below example code to examine these expectations,_x0009__x0009__x0009__x0009__x000a_See Graphic"/>
    <m/>
    <m/>
    <m/>
    <n v="1"/>
    <n v="1"/>
    <m/>
    <n v="1"/>
    <m/>
  </r>
  <r>
    <x v="0"/>
    <n v="1273"/>
    <x v="4"/>
    <n v="45"/>
    <s v="Orchestration"/>
    <s v="Jobs"/>
    <s v="Easy"/>
    <s v="You are asked to debug a databricks job that is taking too long to run on Sunday’s, what are the steps you are going to take to identify the step that is taking longer to run?"/>
    <s v="A notebook activity of job run is only visible when using all-purpose cluster."/>
    <s v="Under Workflow UI and jobs select job you want to monitor and select the run, notebook activity can be viewed."/>
    <s v="Enable debug mode in the Jobs to see the output activity of a job, output should be available to view."/>
    <s v="Once a job is launched, you cannot access the job’s notebook activity."/>
    <s v="Use the compute’s spark UI to monitor the job activity."/>
    <m/>
    <s v="B"/>
    <s v="The answer is, Under Workflow UI and jobs select job you want to monitor and select the run, notebook activity can be viewed._x0009_You have the ability to view current active runs or completed runs, once you click the run you can see the_x0009__x0009__x0009__x0009__x0009__x000a_See Graphic"/>
    <m/>
    <m/>
    <m/>
    <m/>
    <m/>
    <m/>
    <m/>
    <m/>
  </r>
  <r>
    <x v="0"/>
    <n v="1274"/>
    <x v="4"/>
    <n v="46"/>
    <s v="Orchestration"/>
    <s v="Jobs"/>
    <s v="Medium"/>
    <s v="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
    <s v="All-purpose clusters cannot be used for Job clusters, due to performance issues."/>
    <s v="All-purpose clusters take longer to start the cluster vs a job cluster"/>
    <s v="All-purpose clusters are less expensive than the job clusters"/>
    <s v="All-purpose clusters are more expensive than the job clusters"/>
    <s v="All-purpose cluster provide interactive messages that can not be viewed in a job"/>
    <m/>
    <s v="D"/>
    <s v="Pricing for All-purpose clusters are more expensive than the job clusters_x0009_AWS pricing(Aug 15th 2022)_x0009__x0009__x0009__x0009__x0009__x000a_See Graphic"/>
    <m/>
    <m/>
    <m/>
    <m/>
    <m/>
    <m/>
    <m/>
    <m/>
  </r>
  <r>
    <x v="0"/>
    <n v="1275"/>
    <x v="4"/>
    <n v="47"/>
    <s v="Orchestration"/>
    <s v="Jobs"/>
    <s v="Easy"/>
    <s v="Your team has hundreds of jobs running but it is difficult to track cost of each job run, you are asked to provide a recommendation on how to monitor and track cost across various workloads"/>
    <s v="Create jobs in different workspaces, so we can track the cost easily"/>
    <s v="Use Tags, during job creation so cost can be easily tracked"/>
    <s v="Use job logs to monitor and track the costs"/>
    <s v="Use workspace admin reporting"/>
    <s v="Use a single cluster for all the jobs, so cost can be easily tracked"/>
    <m/>
    <s v="B"/>
    <s v="The answer is Use Tags, during job creation so cost can be easily tracked_x0009_Review below link for more details https://docs.databricks.com/administration-guide/account-settings/usage-detail-tags-aws.html_x0009_Here is a view how tags get propagated from pools to clusters and clusters without pools,_x0009__x0009__x0009__x0009__x000a_See Graphic"/>
    <m/>
    <m/>
    <m/>
    <m/>
    <n v="1"/>
    <m/>
    <n v="1"/>
    <m/>
  </r>
  <r>
    <x v="0"/>
    <n v="1276"/>
    <x v="4"/>
    <n v="48"/>
    <s v="Pipelines"/>
    <s v="Delta Live Tables"/>
    <s v="Easy"/>
    <s v="You are asked to setup two tasks in a databricks job, the first task runs a notebook to download the data from a remote system, and the second task is a DLT pipeline that can process this data, how do you plan to configure this in Jobs UI"/>
    <s v="Single job cannot have a notebook task and DLT Pipeline task, use two different jobs with linear dependency."/>
    <s v="Jobs UI does not support DTL pipeline, setup the first task using jobs UI and setup the DLT to run in continuous mode."/>
    <s v="Jobs UI does not support DTL pipeline, setup the first task using jobs UI and setup the DLT to run in trigger mode."/>
    <s v="Single job can be used to setup both notebook and DLT pipeline, use two different tasks with linear dependency."/>
    <s v="Add first step in the DLT pipeline and run the DLT pipeline as triggered mode in JOBS UI"/>
    <m/>
    <s v="D"/>
    <s v="The answer is Single job can be used to set up both notebook and DLT pipeline, use two different tasks with linear dependency,_x0009_Here is the JOB UI_x0009_1. Create a notebook task_x0009__x0009__x0009__x0009__x000a_2. Create DLT task_x0009_add notebook task as dependency 3. Final view_x0009__x0009__x0009__x0009__x0009__x000a_Create the notebook task_x0009_DLT task_x0009_Final view_x0009__x0009__x0009__x0009__x000a_See Graphic"/>
    <m/>
    <m/>
    <m/>
    <m/>
    <n v="1"/>
    <m/>
    <n v="1"/>
    <m/>
  </r>
  <r>
    <x v="0"/>
    <n v="1277"/>
    <x v="4"/>
    <n v="49"/>
    <s v="Analytics"/>
    <s v="Databricks SQL"/>
    <s v="Easy"/>
    <s v="You are asked to set up an alert to notify in an email every time a KPI indicater increases beyond a threshold value, team also asked you to include the actual value in the alert email notification."/>
    <s v="Use notebook and python code to run every minute, using python variables to capture send the information in an email"/>
    <s v="Setup an alert but use the default template to notify the message in email’s subject"/>
    <s v="Setup an alert but use the custom template to notify the message in email’s subject"/>
    <s v="Use the webhook destination instead so alert message can be customized"/>
    <s v="Use custom email hook to customize the message"/>
    <m/>
    <s v="C"/>
    <s v="Alerts support custom template supports using variables to customize the default message, set up the query to compare the KPI current value to the threshold and use the variable QUERY_RESULT_VALUE to display the value in the email notification._x0009_here is a simple alert, that uses variables in the custom template to present these values in the email notification message, when the alert is fired these variables get replaced with actual values._x0009_Alert with custom template_x0009__x0009__x0009__x0009__x000a_See Graphic_x000a_When you enable preview you can see how the alert looks when you substitute the variables._x0009__x0009__x0009__x0009__x0009__x0009__x000a_See Graphic_x000a_Below are additional template variables available to you with the custom template._x0009_Alerts | Databricks on AWS_x0009__x0009__x0009__x0009__x0009_"/>
    <m/>
    <m/>
    <m/>
    <n v="1"/>
    <n v="1"/>
    <m/>
    <n v="1"/>
    <m/>
  </r>
  <r>
    <x v="0"/>
    <n v="1278"/>
    <x v="4"/>
    <n v="50"/>
    <s v="Analytics"/>
    <s v="Databricks SQL"/>
    <s v="Hard"/>
    <s v="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
    <s v="Use notebook and Jobs to use python to publish DQ metrics"/>
    <s v="Setup an alert to send an email, use python to parse email, and publish a webhook message"/>
    <s v="Setup an alert with custom template"/>
    <s v="Setup an alert with custom Webhook destination"/>
    <s v="Setup an alert with dynamic template"/>
    <m/>
    <s v="D"/>
    <s v="Alerts supports multiple destinations, email is the default destination._x0009_Alert destinations | Databricks on AWS_x0009__x0009__x0009__x000a_See Graphic_x0009__x0009_"/>
    <m/>
    <m/>
    <m/>
    <m/>
    <n v="1"/>
    <m/>
    <n v="1"/>
    <m/>
  </r>
  <r>
    <x v="0"/>
    <n v="1279"/>
    <x v="4"/>
    <n v="51"/>
    <s v="Analytics"/>
    <s v="Databricks SQL"/>
    <s v="Easy"/>
    <s v="One of the queries in the Databricks SQL Dashboard takes a long time to refresh, which of the below steps can be taken to identify the root cause of this issue?"/>
    <s v="Restart the SQL endpoint"/>
    <s v="Select the SQL endpoint cluster, spark UI, SQL tab to see the execution plan and time spent in each step"/>
    <s v="Run optimize and Z ordering"/>
    <s v="Change the Spot Instance Policy from “Cost optimized” to “Reliability Optimized.”"/>
    <s v="Use Query History, to view queries and select query, and check query profile to time spent in each step"/>
    <m/>
    <s v="E"/>
    <s v="The answer is, Use Query History, to view queries and select query, and check the query profile to see time spent in each step._x0009_Here is the view of the query profile, for more info use the link_x0009_https://docs.microsoft.com/en-us/azure/databricks/sql/admin/query-profile_x0009_As you can see here Databricks SQL query profile is much different to Spark UI and provides much more clear information on how time is being spent on different queries and time it spent on each step._x0009__x0009__x0009__x000a_See Graphic"/>
    <m/>
    <m/>
    <m/>
    <m/>
    <n v="1"/>
    <m/>
    <n v="1"/>
    <m/>
  </r>
  <r>
    <x v="0"/>
    <n v="1280"/>
    <x v="4"/>
    <n v="52"/>
    <s v="Analytics"/>
    <s v="Databricks SQL"/>
    <s v="Easy"/>
    <s v="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
    <s v="Move the workspace from Central US zone to East US Zone"/>
    <s v="Change the timestamp on the delta tables to America/New_York format"/>
    <s v="Change the spark configuration of SQL endpoint to format the timestamp to America/New_York"/>
    <s v="Under SQL Admin Console, set the SQL configuration parameter time zone to America/New_York"/>
    <s v="Add SET Timezone = America/New_York on every of the SQL queries in the dashboard."/>
    <m/>
    <s v="D"/>
    <s v="The answer is, Under SQL Admin Console, set the SQL configuration parameter time zone to America/New_York_x0009_Here are steps you can take this to configure, so the entire dashboard is changed without changing individual queries_x0009_Configure SQL parameters_x0009_To configure all warehouses with SQL parameters:_x0009_1. Click   Settings at the bottom of the sidebar and select SQL Admin Console._x0009_2. Click the SQL Warehouse Settings tab._x0009_3. In the SQL Configuration Parameters textbox, specify one key-value pair per line. Separate the name of the parameter from its value using a space. For example, to enable ANSI_MODE:_x000a_See Graphic_x000a_Similarly, we can add a line in the SQL Configuration parameters_x0009_timezone America/New_York_x0009_SQL configuration parameters | Databricks on AWS_x0009__x0009__x0009__x0009_"/>
    <m/>
    <m/>
    <m/>
    <n v="1"/>
    <n v="1"/>
    <m/>
    <n v="1"/>
    <m/>
  </r>
  <r>
    <x v="0"/>
    <n v="1281"/>
    <x v="4"/>
    <n v="53"/>
    <s v="General"/>
    <s v="Conceptual"/>
    <s v="Hard"/>
    <s v="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
    <s v="They can turn on the Serverless feature for the SQL endpoint."/>
    <s v="They can increase the maximum bound of the SQL endpoint’s scaling range."/>
    <s v="They can increase the cluster size(2X-Small to 4X-Large) of the SQL endpoint."/>
    <s v="They can turn on the Auto Stop feature for the SQL endpoint."/>
    <s v="They can turn on the Serverless feature for the SQL endpoint and change the Spot Instance Policy from “Cost optimized”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9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9_SQL Endpoint(SQL Warehouse) Overview: (Please read all of the below points and the below diagram to understand )_x0009_1. A SQL Warehouse should have at least one cluster_x0009_2. A cluster comprises one driver node and one or many worker nodes_x0009_3. No of worker nodes in a cluster is determined by the size of the cluster (2X -Small -&gt;1 worker, X-Small -&gt;2 workers…. up to 4X-Large -&gt; 128 workers) this is called Scale up_x0009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See Graphic"/>
    <m/>
    <m/>
    <m/>
    <m/>
    <n v="1"/>
    <m/>
    <n v="1"/>
    <m/>
  </r>
  <r>
    <x v="0"/>
    <n v="1282"/>
    <x v="4"/>
    <n v="54"/>
    <s v="Orchestration"/>
    <s v="Jobs"/>
    <s v="Medium"/>
    <s v="The data engineering team is using a bunch of SQL queries to review data quality and monitor the ETL job every day, which of the following approaches can be used to set up a schedule and automate this process?"/>
    <s v="They can schedule the query to run every 1 day from the Jobs UI"/>
    <s v="They can schedule the query to refresh every 1 day from the query’s page in Databricks SQL."/>
    <s v="They can schedule the query to run every 12 hours from the Jobs UI."/>
    <s v="They can schedule the query to refresh every 1 day from the SQL endpoint’s page in Databricks SQL."/>
    <s v="They can schedule the query to refresh every 12 hours from the SQL endpoint’s page in Databricks SQL"/>
    <m/>
    <s v="B"/>
    <s v="Individual queries can be refreshed on a schedule basis,_x0009__x0009__x0009__x0009__x0009__x0009__x000a_See Graphic"/>
    <m/>
    <m/>
    <m/>
    <n v="1"/>
    <n v="1"/>
    <m/>
    <n v="1"/>
    <m/>
  </r>
  <r>
    <x v="0"/>
    <n v="1283"/>
    <x v="4"/>
    <n v="55"/>
    <s v="Governance"/>
    <s v="Unity Catalog"/>
    <s v="Easy"/>
    <s v="Unity catalog helps you manage the below resources in Databricks at account level"/>
    <s v="Tables"/>
    <s v="ML Models"/>
    <s v="Dashboards"/>
    <s v="Meta Stores and Catalogs"/>
    <s v="All of the above"/>
    <m/>
    <s v="E"/>
    <s v="The answer is all of the above._x0009_Unity Catalog is a unified governance solution for all data and AI assets including files, tables, machine learning models, and dashboards in your lakehouse on any cloud._x0009__x0009__x0009__x0009__x0009_"/>
    <m/>
    <m/>
    <m/>
    <m/>
    <m/>
    <m/>
    <m/>
    <m/>
  </r>
  <r>
    <x v="0"/>
    <n v="1284"/>
    <x v="4"/>
    <n v="56"/>
    <s v="Governance"/>
    <s v="Unity Catalog"/>
    <s v="Easy"/>
    <s v="What is the top-level object in unity catalog?"/>
    <s v="Catalog"/>
    <s v="Table"/>
    <s v="Workspace"/>
    <s v="Database"/>
    <s v="Metastore"/>
    <m/>
    <s v="C"/>
    <s v="Key concepts – Azure Databricks | Microsoft Docs_x0009__x0009__x0009__x0009__x0009__x0009__x000a_See Graphic"/>
    <m/>
    <m/>
    <m/>
    <n v="1"/>
    <n v="1"/>
    <m/>
    <n v="1"/>
    <m/>
  </r>
  <r>
    <x v="0"/>
    <n v="1285"/>
    <x v="4"/>
    <n v="57"/>
    <s v="General"/>
    <s v="Conceptual"/>
    <s v="Easy"/>
    <s v="Kevin is the owner of the schema sales, Steve wanted to create new table in sales schema called regional_sales so Kevin grants the create table permissions to Steve. Steve creates the new table called regional_sales in sales schema, who is the owner of the table regional_sales"/>
    <s v="Kevin is the owner of sales schema, all the tables in the schema will be owned by Kevin"/>
    <s v="Steve is the owner of the table"/>
    <s v="By default ownership is assigned DBO"/>
    <s v="By default ownership is assigned to DEFAULT_OWNER"/>
    <s v="Kevin and Smith both are owners of table"/>
    <m/>
    <s v="B"/>
    <s v="Correct Option B. Steve is the owner of the table_x0009_In Databricks (and generally in SQL-based systems), when a user creates a table, the creator becomes the owner of that table, regardless of who owns the schema._x0009_Kevin owns the schema sales, but since Steve created the table regional_sales after being granted permission, Steve is the owner of that table._x0009_Ownership is tied to the creator of the object, not the schema owner._x0009_Incorrect_x0009_Option A. Kevin is the owner of sales schema, all the tables in the schema will be owned by Kevin_x0009_Incorrect because schema ownership does not automatically extend to all tables created within it."/>
    <m/>
    <m/>
    <m/>
    <m/>
    <m/>
    <m/>
    <m/>
    <m/>
  </r>
  <r>
    <x v="0"/>
    <n v="1286"/>
    <x v="4"/>
    <n v="58"/>
    <s v="Compute"/>
    <s v="Clusters"/>
    <s v="Medium"/>
    <s v="You were asked to setup a new all-purpose cluster, but the cluster is unable to start which of the following steps do you need to take to identify the root cause of the issue and the reason why the cluster was unable to start?"/>
    <s v="Check the cluster driver logs"/>
    <s v="Check the cluster event logs"/>
    <s v="Workspace logs"/>
    <s v="Storage account"/>
    <s v="Data plane"/>
    <m/>
    <s v="B"/>
    <s v="Cluster event logs are very useful, to identify issues pertaining to cluster availability.  Cluster may not start due to resource limitations or issues with the cloud providers._x0009_Some of the common issues include a subnet for compute VM reaching its limits or exceeding the subscription or cloud account CPU quota limit._x0009_Here is an example where the cluster did not start due to subscription reaching the quota limit on a certain type of cpu cores for a VM type._x0009__x0009__x0009__x0009__x000a_See Graphic"/>
    <m/>
    <m/>
    <m/>
    <m/>
    <m/>
    <m/>
    <n v="1"/>
    <m/>
  </r>
  <r>
    <x v="0"/>
    <n v="1287"/>
    <x v="4"/>
    <n v="59"/>
    <s v="Analytics"/>
    <s v="Databricks SQL"/>
    <s v="Easy"/>
    <s v="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
    <s v="Reduce the size of the cluster"/>
    <s v="Reduce the number of nodes and enable auto scale"/>
    <s v="Enable auto termination after 30 mins"/>
    <s v="Change the cluster all-purpose to job cluster when scheduling the job"/>
    <s v="Change the cluster mode from all-purpose to single-mode"/>
    <m/>
    <s v="D"/>
    <s v="While using an all-purpose cluster is ok during development but anytime you don‘t need to interact with a notebook, especially for a scheduled job it is less expensive to use a job cluster. Using an all-purpose cluster can be twice as expensive as a job cluster._x0009_Please note: The compute cost you pay the cloud provider for the same cluster type and size between an all-purpose cluster and job cluster is the same the only difference is the DBU cost._x0009_The total cost of cluster = Total cost of VM compute(Azure or AWS or GCP) + Cost per DBU_x0009_The per DBU cost varies between all-purpose and Job Cluster_x0009_Here is the recent cost estimate from AWS between Jobs Cluster and all-purpose Cluster, for jobs compute its $0.15 cents per DBU v$0.55 cents per DBU for all-purpose_x0009__x0009__x000a_See Graphic"/>
    <m/>
    <m/>
    <m/>
    <m/>
    <n v="1"/>
    <m/>
    <n v="1"/>
    <m/>
  </r>
  <r>
    <x v="0"/>
    <n v="1288"/>
    <x v="4"/>
    <n v="60"/>
    <s v="General"/>
    <s v="Conceptual"/>
    <s v="Medium"/>
    <s v="Which of the following commands can be used to run one notebook from another notebook?"/>
    <s v="notebook.utils.run(“full notebook path“)"/>
    <s v="execute.utils.run(“full notebook path“)"/>
    <s v="dbutils.notebook.run(“full notebook path“)"/>
    <s v="only job clusters can run notebook"/>
    <s v="spark.notebook.run(“full notebook path“)"/>
    <m/>
    <s v="C"/>
    <s v="The answer is dbutils.notebook.run(“ full notebook path “)_x0009_Here is the full command with additional options._x0009_run(path: String, timeout_seconds: int, arguments: Map): String_x0009_dbutils.notebook.run(“ful-notebook-name“, 60, {“argument“: “data“, “argument2“: “data2“, …})_x0009__x0009__x0009_"/>
    <m/>
    <m/>
    <m/>
    <m/>
    <m/>
    <m/>
    <m/>
    <m/>
  </r>
  <r>
    <x v="0"/>
    <n v="1289"/>
    <x v="5"/>
    <n v="1"/>
    <m/>
    <m/>
    <m/>
    <s v="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_x000a__x000a_orderId | orderTime              | units_x000a_1       | 01-01-2022 09:10:24 AM | 100_x000a_2       | 01-01-2022 10:30:30 AM | 10_x000a__x000a_CREATE TABLE orders (_x000a_  orderId INT,_x000a_  orderTime TIMESTAMP,_x000a_  orderDate DATE _______________________________,_x000a_  units INT_x000a_)"/>
    <s v="AS DEFAULT (CAST(orderTime as DATE))"/>
    <s v="GENERATED ALWAYS AS (CAST(orderTime as DATE))"/>
    <s v="GENERATED DEFAULT AS (CAST(orderTime as DATE))"/>
    <s v="AS (CAST(orderTime as DATE))"/>
    <s v="Delta lake does not support calculated columns, value should be inserted into the table as part of the ingestion process"/>
    <m/>
    <s v="B"/>
    <s v="The answer is, GENERATED ALWAYS AS (CAST(orderTime as DATE))_x000a_https://docs.microsoft.com/en-us/azure/databricks/delta/delta-batch#–use-generated-columns_x000a_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_x000a_Note: Databricks also supports partitioning using generated column"/>
    <m/>
    <m/>
    <m/>
    <m/>
    <m/>
    <m/>
    <m/>
    <m/>
  </r>
  <r>
    <x v="0"/>
    <n v="1290"/>
    <x v="5"/>
    <n v="2"/>
    <m/>
    <m/>
    <m/>
    <s v="The data engineering team noticed that one of the job fails randomly as a result of using spot instances, what feature in Jobs/Tasks can be used to address this issue so the job is more stable when using spot instances?"/>
    <s v="Use Databrick REST API to monitor and restart the job"/>
    <s v="Use Jobs runs, active runs UI section to monitor and restart the job"/>
    <s v="Add second task and add a check condition to rerun the first task if it fails"/>
    <s v="Restart the job cluster, job automatically restarts"/>
    <s v="Add a retry policy to the task"/>
    <m/>
    <s v="E"/>
    <s v="The answer is,  Add a retry policy to the task_x0009_Tasks in Jobs support Retry Policy, which can be used to retry a failed tasks,  especially when using spot instance it is common to have failed executors or driver._x0009__x0009__x0009__x0009__x0009__x000a_See Graphic"/>
    <m/>
    <m/>
    <m/>
    <m/>
    <n v="1"/>
    <m/>
    <n v="1"/>
    <m/>
  </r>
  <r>
    <x v="0"/>
    <n v="1291"/>
    <x v="5"/>
    <n v="3"/>
    <m/>
    <m/>
    <m/>
    <s v="Why does AUTO LOADER require schema location?"/>
    <s v="Schema location is used to store user provided schema"/>
    <s v="Schema location is used to identify the schema of target table"/>
    <s v="AUTO LOADER does not require schema location, because its supports Schema evolution"/>
    <s v="Schema location is used to store schema inferred by AUTO LOADER"/>
    <s v="Schema location is used to identify the schema of target table and source table"/>
    <m/>
    <s v="D"/>
    <s v="Correct option D. Schema location is used to store schema inferred by AUTO LOADER_x0009_Why D is Correct_x0009_Auto Loader requires cloudFiles.schemaLocation to persist the inferred schema from source data files. Auto Loader samples the first 50GB or 1000 files to infer schema, then stores this schema in the _schemas subdirectory of schema location for future incremental loads._x0009_Auto Loader Schema Workflow:_x0009_text_x0009_1. First run: Sample files → Infer schema → Store in schemaLocation/_schemas ✓_x0009_2. Subsequent runs: Reuse stored schema → No re-inference overhead"/>
    <m/>
    <m/>
    <m/>
    <m/>
    <n v="1"/>
    <m/>
    <m/>
    <m/>
  </r>
  <r>
    <x v="0"/>
    <n v="1292"/>
    <x v="5"/>
    <n v="4"/>
    <m/>
    <m/>
    <m/>
    <s v="Which of the following statements are incorrect about the lakehouse"/>
    <s v="Support end-to-end streaming and batch workloads"/>
    <s v="Supports ACID"/>
    <s v="Support for diverse data types that can store both structured and unstructured"/>
    <s v="Supports BI and Machine learning"/>
    <s v="Storage is coupled with Compute"/>
    <m/>
    <s v="E"/>
    <s v="The answer is,  Storage is coupled with Compute._x0009_The question was asking what is the incorrect option, in Lakehouse Storage is decoupled with compute so both can scale independently._x0009__x0009__x0009__x0009__x0009__x000a_See Graphic"/>
    <m/>
    <m/>
    <m/>
    <m/>
    <n v="1"/>
    <m/>
    <n v="1"/>
    <m/>
  </r>
  <r>
    <x v="0"/>
    <n v="1293"/>
    <x v="5"/>
    <n v="5"/>
    <m/>
    <m/>
    <m/>
    <s v="Which of the following locations in Databricks product architecture hosts jobs/pipelines and queries?"/>
    <s v="Data plane"/>
    <s v="Control plane"/>
    <s v="Databricks Filesystem"/>
    <s v="JDBC data source"/>
    <s v="Databricks web application"/>
    <m/>
    <s v="B"/>
    <s v="The answer is Control Plane,_x0009_Databricks operates most of its services out of a control plane and a data plane, please note serverless features like SQL Endpoint and DLT compute use shared compute in Control pane._x0009_Control Plane: Stored in Databricks Cloud Account_x0009_The control plane includes the backend services that Databricks manages in its own Azure account. Notebook commands and many other workspace configurations are stored in the control plane and encrypted at rest._x0009_Data Plane:  Stored in Customer Cloud Account_x0009_The data plane is managed by your Azure account and is where your data resides. This is also where data is processed. You can use Azure Databricks connectors so that your clusters can connect to external data sources outside of your Azure account to ingest data or for storage._x0009_Here is the product architecture diagram highlighted where:_x000a_See Graphic."/>
    <m/>
    <m/>
    <m/>
    <m/>
    <n v="1"/>
    <m/>
    <n v="1"/>
    <m/>
  </r>
  <r>
    <x v="0"/>
    <n v="1294"/>
    <x v="5"/>
    <n v="6"/>
    <m/>
    <m/>
    <m/>
    <s v="You are currently working on a notebook that will populate a reporting table for downstream process consumption, this process needs to run on a schedule every hour. what type of cluster are you going to use to set up this job?"/>
    <s v="Since it’s just a single job and we need to run every hour, we can use an all-purpose cluster"/>
    <s v="The job cluster is best suited for this purpose."/>
    <s v="Use Azure VM to read and write delta tables in Python"/>
    <s v="Use delta live table pipeline to run in continuous mode"/>
    <m/>
    <m/>
    <s v="B"/>
    <s v="You are currently working on a notebook that will populate a reporting table for downstream process consumption, this process needs to run on a schedule every hour. what type of cluster are you going to use to set up this job?_x0009_Since it’s just a single job and we need to run every hour, we can use an all-purpose cluster_x0009_The job cluster is best suited for this purpose._x0009_Use Azure VM to read and write delta tables in Python_x0009_Use delta live table pipeline to run in continuous mode_x0009__x0009_"/>
    <m/>
    <m/>
    <m/>
    <m/>
    <m/>
    <m/>
    <m/>
    <m/>
  </r>
  <r>
    <x v="0"/>
    <n v="1295"/>
    <x v="5"/>
    <n v="7"/>
    <m/>
    <m/>
    <m/>
    <s v="You are currently working on a project that requires the use of SQL and Python in a given notebook, what would be your approach"/>
    <s v="Create two separate notebooks, one for SQL and the second for Python"/>
    <s v="A single notebook can support multiple languages, use the magic command to switch between the two."/>
    <s v="Use an All-purpose cluster for python, SQL endpoint for SQL"/>
    <s v="Use job cluster to run python and SQL Endpoint for SQL"/>
    <m/>
    <m/>
    <s v="B"/>
    <s v="The answer is, A single notebook can support multiple languages, use the magic command to switch between the two._x0009_Use %sql and %python magic commands within the same notebook._x0009__x0009__x0009__x0009__x0009_"/>
    <m/>
    <m/>
    <m/>
    <m/>
    <m/>
    <m/>
    <m/>
    <m/>
  </r>
  <r>
    <x v="0"/>
    <n v="1296"/>
    <x v="5"/>
    <n v="8"/>
    <m/>
    <m/>
    <m/>
    <s v="Which of the following statements are correct on how Delta Lake implements a lake house?"/>
    <s v="Delta lake uses a proprietary format to write data, optimized for cloud storage"/>
    <s v="Using Apache Hadoop on cloud object storage"/>
    <s v="Delta lake always stores meta data in memory vs storage"/>
    <s v="Delta lake uses open source, open format, optimized cloud storage and scalable meta data"/>
    <s v="Delta lake stores data and meta data in computes memory"/>
    <m/>
    <s v="D"/>
    <s v="Delta Lake implements lakehouse architecture using open source formats like Parquet, optimized for cloud object storage, with scalable metadata handling via the transaction log—enabling ACID transactions, schema enforcement, and time travel on data lakes.databricks+1​_x0009_Option A (Incorrect)_x0009_Delta Lake uses open formats (Parquet) rather than proprietary ones, ensuring interoperability across engines like Spark, Trino, and Presto, a core principle of its open lakehouse design.starburst+1​_x0009_Option B (Incorrect)_x0009_Delta Lake builds directly on cloud object storage (S3, ADLS) with Parquet files and JSON metadata logs, not requiring Apache Hadoop—avoiding HDFS dependencies for modern cloud scalability.globallogic+1​_x0009_Option C (Incorrect)_x0009_Delta Lake persists metadata durably in the transaction log on cloud storage, not “always in memory,” supporting reliable recovery and queries across cluster restarts in distributed environments.databricks+1​"/>
    <m/>
    <m/>
    <m/>
    <m/>
    <m/>
    <m/>
    <m/>
    <m/>
  </r>
  <r>
    <x v="0"/>
    <n v="1297"/>
    <x v="5"/>
    <n v="9"/>
    <m/>
    <m/>
    <m/>
    <s v="You were asked to create or overwrite an existing delta table to store the below transaction data._x000a__x000a_transaction ID_x000a_1, 2_x000a__x000a_transactionDate_x000a_01-01-2021 09:10:24 AM_x000a_01-01-2022 10:30:30 AM_x000a__x000a_unitsSold_x000a_100, 10_x000a_"/>
    <s v="CREATE OR REPLACE DELTA TABLE transactions (_x0009_transactionId int,_x0009_transactionDate timestamp,_x0009_unitsSold int)_x0009__x0009__x0009_"/>
    <s v="CREATE OR REPLACE TABLE IF EXISTS transactions (_x0009_transactionId int,_x0009_transactionDate timestamp,_x0009_unitsSold int)_x0009_FORMAT DELTA_x0009__x0009_"/>
    <s v="CREATE IF EXSITS REPLACE TABLE transactions (_x0009_transactionId int,_x0009_transactionDate timestamp,_x0009_unitsSold int)_x0009__x0009__x0009_"/>
    <s v="CREATE OR REPLACE TABLE transactions (_x0009_transactionId int,_x0009_transactionDate timestamp,_x0009_unitsSold int)_x0009__x0009__x0009_"/>
    <m/>
    <m/>
    <s v="D"/>
    <s v="The answer is_x0009_CREATE OR_x0009_REPLACE TABLE transactions (_x0009_transactionId int,_x0009_transactionDate timestamp,_x0009_unitsSold int)_x0009_When creating a table in Databricks by default the table is stored in DELTA format."/>
    <m/>
    <m/>
    <m/>
    <n v="1"/>
    <n v="1"/>
    <m/>
    <n v="1"/>
    <m/>
  </r>
  <r>
    <x v="0"/>
    <n v="1298"/>
    <x v="5"/>
    <n v="10"/>
    <m/>
    <m/>
    <m/>
    <s v="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
    <s v="Use time travel feature to refer old data instead of manually copying"/>
    <s v="Use DEEP CLONE to clone the table prior to update to make a backup copy"/>
    <s v="Use SHADOW copy of the table as preferred backup choice"/>
    <s v="Cloud object storage retains previous version of the file"/>
    <s v="Cloud object storage automatically backups the data"/>
    <m/>
    <s v="A"/>
    <s v="The answer is, Use time travel feature to refer old data instead of manually copying._x000a_https://databricks.com/blog/2019/02/04/introducing-delta-time-travel-for-large-scale-data-lakes.html_x000a_SELECT count(*) FROM my_table TIMESTAMP AS OF “2019-01-01“_x000a_SELECT count(*) FROM my_table TIMESTAMP AS OF date_sub(current_date(), 1)_x000a_SELECT count(*) FROM my_table TIMESTAMP AS OF “2019-01-01 01:30:00.000“_x000a_See Graphic"/>
    <m/>
    <m/>
    <m/>
    <m/>
    <n v="1"/>
    <m/>
    <n v="1"/>
    <m/>
  </r>
  <r>
    <x v="0"/>
    <n v="1299"/>
    <x v="5"/>
    <n v="11"/>
    <m/>
    <m/>
    <m/>
    <s v="What type of table is created when you create delta table with below command? CREATE TABLE transactions USING DELTA LOCATION “DBFS:/mnt/bronze/transactions“"/>
    <s v="Managed delta table"/>
    <s v="External table"/>
    <s v="Managed table"/>
    <s v="Temp table"/>
    <s v="Delta Lake table"/>
    <m/>
    <s v="A"/>
    <s v="Anytime a table is created using the LOCATION keyword it is considered an external table, below is the current syntax._x0009_Syntax_x0009_CREATE TABLE table_name ( column column_data_type…) USING format LOCATION “dbfs:/“_x0009_format -&gt; DELTA, JSON, CSV, PARQUET, TEXT_x0009_I created the table command based on the above question, you can see it created an external table,_x0009__x0009__x000a_See Graphic."/>
    <m/>
    <m/>
    <m/>
    <n v="1"/>
    <n v="1"/>
    <m/>
    <n v="1"/>
    <m/>
  </r>
  <r>
    <x v="0"/>
    <n v="1300"/>
    <x v="5"/>
    <n v="12"/>
    <m/>
    <m/>
    <m/>
    <s v="Which of the following is the correct statement for a session scoped temporary view?_x0009_Temporary views are lost once the notebook is detached and re-attached_x0009_Temporary views stored in memory_x0009_Temporary views can be still accessed even if the notebook is detached and attached_x0009_Temporary views can be still accessed even if cluster is restarted_x0009_Temporary views are created in local_temp database_x0009_"/>
    <s v="Temporary views are lost once the notebook is detached and re-attached"/>
    <s v="Temporary views stored in memory"/>
    <s v="Temporary views can be still accessed even if the notebook is detached and attached"/>
    <s v="Temporary views can be still accessed even if cluster is restarted"/>
    <s v="Temporary views are created in local_temp database"/>
    <m/>
    <s v="A"/>
    <s v="The answer is Temporary views are lost once the notebook is detached and attached_x0009_There are two types of temporary views that can be created, Session scoped and Global_x0009_A local/session scoped temporary view is only available with a spark session, so another notebook in the same cluster can not access it. if a notebook is detached and reattached local temporary view is lost._x0009_A global temporary view is available to all the notebooks in the cluster, if a cluster restarts global temporary view is lost._x0009__x0009__x0009_"/>
    <m/>
    <m/>
    <m/>
    <m/>
    <m/>
    <m/>
    <m/>
    <m/>
  </r>
  <r>
    <x v="0"/>
    <n v="1301"/>
    <x v="5"/>
    <n v="13"/>
    <m/>
    <m/>
    <m/>
    <s v="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
    <s v=" Temporary views stored in memory"/>
    <s v="Overwrites the data in the table but preserves all historical versions of the data, you can time travel to previous versions"/>
    <s v="Overwrites the current version of the data but clears all historical versions of the data, so you can not time travel to previous versions."/>
    <s v="Appends the data to the current version, you can time travel to previous versions"/>
    <s v="By default, overwrites the data and schema, you cannot perform time travel"/>
    <m/>
    <s v="B"/>
    <s v="The answer is,  INSERT OVERWRITE  Overwrites the current version of the data but preserves all historical versions of the data, you can time travel to previous versions._x0009_INSERT OVERWRITE customer_sales_x0009_SELECT * FROM customers c_x0009_INNER JOIN sales s on s.customer_id = c.customer_id_x0009_Let‘s just assume that this is the second time you are running the above statement, you can still query the prior version of the data using time travel, and any DML/DDL except DROP TABLE creates new PARQUET files so you can still access the previous versions of data._x0009_SQL Syntax for Time travel_x0009_SELECT * FROM table_name as of [version number]"/>
    <m/>
    <m/>
    <m/>
    <m/>
    <m/>
    <m/>
    <m/>
    <m/>
  </r>
  <r>
    <x v="0"/>
    <n v="1302"/>
    <x v="5"/>
    <n v="14"/>
    <m/>
    <m/>
    <m/>
    <s v="Which of the following SQL statement can be used to query a table by eliminating duplicate rows from the query results?"/>
    <s v=" Temporary views can be still accessed even if the notebook is detached and attached"/>
    <s v="SELECT DISTINCT * FROM table_name HAVING COUNT(*) &gt; 1"/>
    <s v="SELECT DISTINCT_ROWS (*) FROM table_name"/>
    <s v="SELECT * FROM table_name GROUP BY * HAVING COUNT(*) &lt; 1"/>
    <s v="SELECT * FROM table_name GROUP BY * HAVING COUNT(*) &gt; 1"/>
    <m/>
    <s v="A"/>
    <s v="The  answer is  SELECT DISTINCT * FROM table_name_x0009__x0009__x0009__x0009__x0009__x0009_"/>
    <m/>
    <m/>
    <m/>
    <m/>
    <m/>
    <m/>
    <m/>
    <m/>
  </r>
  <r>
    <x v="0"/>
    <n v="1303"/>
    <x v="5"/>
    <n v="15"/>
    <m/>
    <m/>
    <m/>
    <s v="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
    <s v=" Temporary views can be still accessed even if cluster is restarted"/>
    <s v="CREATE UDF FUNCTION udf_convert(temp DOUBLE, measure STRING) RETURN CASE WHEN measure == ‘F‘ then (temp * 9/5) + 32 ELSE (temp – 33 ) * 5/9 END"/>
    <s v="CREATE FUNCTION udf_convert(temp DOUBLE, measure STRING) RETURN CASE WHEN measure == ‘F‘ then (temp * 9/5) + 32 ELSE (temp – 33 ) * 5/9 END"/>
    <s v="CREATE FUNCTION udf_convert(temp DOUBLE, measure STRING) RETURNS DOUBLE RETURN CASE WHEN measure == ‘F‘ then (temp * 9/5) + 32 ELSE (temp – 33 ) * 5/9 END"/>
    <s v="CREATE USER FUNCTION udf_convert(temp DOUBLE, measure STRING) RETURNS DOUBLE RETURN CASE WHEN measure == ‘F‘ then (temp * 9/5) + 32 ELSE (temp – 33 ) * 5/9 END"/>
    <m/>
    <s v="D"/>
    <s v="CREATE FUNCTION udf_convert(temp DOUBLE, measure STRING)_x000a_RETURNS DOUBLE_x000a_RETURN CASE WHEN measure == ‘F’ then (temp * 9/5) + 32_x000a_ELSE (temp – 33 ) * 5/9_x000a_END"/>
    <m/>
    <m/>
    <m/>
    <m/>
    <m/>
    <m/>
    <m/>
    <m/>
  </r>
  <r>
    <x v="0"/>
    <n v="1304"/>
    <x v="5"/>
    <n v="16"/>
    <m/>
    <m/>
    <m/>
    <s v="You are trying to calculate total sales made by all the employees by parsing a complex struct data type that stores employee and sales data, how would you approach this in SQL_x000a_Table definition,_x000a_batchId INT, performance ARRAY&lt;STRUCT&gt;, insertDate TIMESTAMP_x000a_Sample data of performance column_x000a_[_x000a_{ “employeeId“:1234_x000a_“sales“ : 10000},_x000a_{ “employeeId“:3232_x000a_“sales“ : 30000}_x000a_]_x000a_Calculate total sales made by all the employees?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s v=" Temporary views are created in local_temp database"/>
    <s v="WITH CTE as (SELECT FLATTEN (performance) FROM table_name)_x000a_SELECT SUM (sales) FROM CTE"/>
    <s v="select aggregate(flatten(collect_list(performance.sales)), 0, (x, y) -&gt; x + y)_x000a_as total_sales from sales"/>
    <s v="SELECT SUM(SLICE (performance, sales)) FROM employee_x000a_select reduce(flatten(collect_list(performance:sales)), 0, (x, y) -&gt; x + y)_x000a_as total_sales from sales"/>
    <m/>
    <m/>
    <s v="B"/>
    <s v="The answer is_x000a_select aggregate(flatten(collect_list(performance.sales)), 0, (x, y) -&gt; x + y)_x000a_as total_sales from sales_x000a_Nested Struct can be queried using the . notation performance.sales will give you access to all the sales values in the performance column._x000a_Note: option D is wrong because it uses performance:sales not performance.sales. “:“ this is only used when referring to JSON data but here we are dealing with a struct data type.  for the exam please make sure to understand if you are dealing with JSON data or Struct data_x000a_See Graphic._x000a_Here are some additional examples_x000a_https://docs.databricks.com/spark/latest/spark-sql/language-manual/functions/dotsign.html_x000a_Other solutions:_x000a_we can also use reduce instead of aggregate_x000a_select reduce(flatten(collect_list(performance.sales)), 0, (x, y) -&gt; x + y) as  total_sales from sales_x000a_we can also use explode and sum instead of using any higher-order funtions._x000a_with cte as (_x000a_select_x000a_explode(flatten(collect_list(performance.sales))) sales from sales_x000a_)_x000a_select_x000a_sum(sales) from cte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m/>
    <m/>
    <m/>
    <n v="1"/>
    <n v="1"/>
    <m/>
    <n v="1"/>
    <m/>
  </r>
  <r>
    <x v="0"/>
    <n v="1305"/>
    <x v="5"/>
    <n v="17"/>
    <m/>
    <m/>
    <m/>
    <s v="Which of the following statements can be used to test the functionality of code to test number of rows in the table equal to 10 in python?_x000a_row_count = spark.sql(“select count(*) from table“).collect()[0][0]"/>
    <s v="assert (row_count = 10, “Row count did not match“)"/>
    <s v="assert if (row_count = 10, “Row count did not match“)"/>
    <s v="assert row_count == 10, “Row count did not match“"/>
    <s v="assert if row_count == 10, “Row count did not match“"/>
    <s v="assert row_count = 10, “Row count did not match“"/>
    <m/>
    <s v="C"/>
    <s v="The answer is assert row_count == 10, “Row count did not match“_x000a_Review below documentation_x000a_Assert Python"/>
    <m/>
    <m/>
    <m/>
    <n v="1"/>
    <n v="1"/>
    <m/>
    <m/>
    <m/>
  </r>
  <r>
    <x v="0"/>
    <n v="1306"/>
    <x v="5"/>
    <n v="18"/>
    <m/>
    <m/>
    <m/>
    <s v="How do you handle failures gracefully when writing code in Pyspark,  fill in the blanks to complete the below statement _____ Spark.read.table(“table_name“).select(“column“).write.mode(“append“).SaveAsTable(“new_table_name“) _____ print(f“query failed“)"/>
    <s v="try: failure:"/>
    <s v="try: catch:"/>
    <s v="try: except:"/>
    <s v="try: fail:"/>
    <s v="try: error:"/>
    <m/>
    <s v="C"/>
    <s v="The answer is try: and except:_x0009__x0009__x0009__x0009__x0009__x0009_"/>
    <m/>
    <m/>
    <m/>
    <n v="1"/>
    <m/>
    <m/>
    <m/>
    <m/>
  </r>
  <r>
    <x v="0"/>
    <n v="1307"/>
    <x v="5"/>
    <n v="19"/>
    <m/>
    <m/>
    <m/>
    <s v="Which of the following commands results in the successful creation of a view on top of the delta stream(stream on delta table)?"/>
    <s v="Spark.read.format(“delta“).table(“sales“).createOrReplaceTempView(“streaming_vw“)"/>
    <s v="Spark.readStream.format(“delta“).table(“sales“).createOrReplaceTempView(“streaming_vw“)"/>
    <s v="Spark.read.format(“delta“).table(“sales“).mode(“stream“).createOrReplaceTempView(“streaming_vw“)"/>
    <s v="Spark.read.format(“delta“).table(“sales“).trigger(“stream“).createOrReplaceTempView(“streaming_vw“)"/>
    <s v="Spark.read.format(“delta“).stream(“sales“).createOrReplaceTempView(“streaming_vw“)"/>
    <s v="You can not create a view on streaming data source."/>
    <s v="B"/>
    <s v="Correct Option B (spark.readStream.format(“delta”).table(“sales”).createOrReplaceTempView(“streaming_vw”)): This is the correct syntax for creating a streaming temporary view on a Delta table in Databricks. readStream enables streaming mode for Delta change data feed processing._x0009_Incorrect_x0009_Option A: Uses read (batch mode) instead of readStream; creates static batch view, not streaming._x0009_Option C: .mode(&quot;stream&quot;) doesn’t exist on DataFrame; streaming requires readStream._x0009_Option D: .trigger(&quot;stream&quot;) is invalid; triggers configure write streams, not reads._x0009_Option E: .stream() method doesn’t exist on read.format(&quot;delta&quot;)._x0009_Option F: False; Databricks supports streaming temp views on Delta tables via readStream."/>
    <m/>
    <m/>
    <m/>
    <n v="1"/>
    <n v="1"/>
    <m/>
    <m/>
    <m/>
  </r>
  <r>
    <x v="0"/>
    <n v="1308"/>
    <x v="5"/>
    <n v="20"/>
    <m/>
    <m/>
    <m/>
    <s v="Which of the following data workloads will utilize a Bronze table as its destination?"/>
    <s v="A job that aggregates cleaned data to create standard summary statistics"/>
    <s v="A job that queries aggregated data to publish key insights into a dashboard"/>
    <s v="A job that ingests raw data from a streaming source into the Lakehouse"/>
    <s v="A job that develops a feature set for a machine learning application"/>
    <s v="A job that enriches data by parsing its timestamps into a human-readable format"/>
    <m/>
    <s v="C"/>
    <s v="The answer is A job that ingests raw data from a streaming source into the Lakehouse._x0009_The ingested data from the raw streaming data source like Kafka is first stored in the Bronze layer as first destination before it is further optimized and stored in Silver._x0009_Medallion Architecture – Databricks_x0009_Bronze Layer:_x0009_1. Raw copy of ingested data_x0009_2. Replaces traditional data lake_x0009_3. Provides efficient storage and querying of full, unprocessed history of data_x000a_See Graphic."/>
    <m/>
    <m/>
    <m/>
    <m/>
    <m/>
    <m/>
    <n v="1"/>
    <m/>
  </r>
  <r>
    <x v="0"/>
    <n v="1309"/>
    <x v="5"/>
    <n v="21"/>
    <m/>
    <m/>
    <m/>
    <s v="Which of the following data workloads will utilize a gold table as its source?"/>
    <s v="A job that enriches data by parsing its timestamps into a human-readable format"/>
    <s v="A job that queries aggregated data that already feeds into a dashboard"/>
    <s v="A job that ingests raw data from a streaming source into the Lakehouse"/>
    <s v="A job that aggregates cleaned data to create standard summary statistics"/>
    <s v="A job that cleans data by removing malformatted records"/>
    <m/>
    <s v="B"/>
    <s v="The answer is,  A job that queries aggregated data that already feeds into a dashboard_x0009_The gold layer is used to store aggregated data, which are typically used for dashboards and reporting._x0009_Review the below link for more info,_x0009_Medallion Architecture – Databricks_x0009_Gold Layer:_x0009_1. Powers Ml applications, reporting, dashboards, ad hoc analytics_x0009_2. Refined views of data, typically with aggregations_x000a_See Graphic"/>
    <m/>
    <m/>
    <m/>
    <m/>
    <m/>
    <m/>
    <m/>
    <m/>
  </r>
  <r>
    <x v="0"/>
    <n v="1310"/>
    <x v="5"/>
    <n v="22"/>
    <m/>
    <m/>
    <m/>
    <s v="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
    <s v="AUTO LOADER"/>
    <s v="DELTA LIVE TABLES"/>
    <s v="JOBS and TASKS"/>
    <s v="UNITY Catalog and Data Governance"/>
    <s v="STRUCTURED STREAMING with MULTI HOP"/>
    <m/>
    <s v="B"/>
    <s v="The answer is, DELTA LIVE TABLES_x0009_Delta live tables expectations can be used to identify and quarantine bad data, all of the data quality metrics are stored in the event logs which can be used to later analyze and monitor._x0009_DELTA LIVE Tables expectations_x0009_Below are three types of expectations, make sure to pay attention differences between these three._x0009_Retain invalid records:_x0009_Use the expect operator when you want to keep records that violate the expectation. Records that violate the expectation are added to the target dataset along with valid records:_x0009_Python"/>
    <m/>
    <m/>
    <m/>
    <n v="1"/>
    <m/>
    <m/>
    <m/>
    <m/>
  </r>
  <r>
    <x v="0"/>
    <n v="1311"/>
    <x v="5"/>
    <n v="23"/>
    <m/>
    <m/>
    <m/>
    <s v="While investigating a data issue in a Delta table, you wanted to review logs to see when and who updated the table, what is the best way to review this data?"/>
    <s v="Review event logs in the Workspace"/>
    <s v="Run SQL SHOW HISTORY table_name"/>
    <s v="Check Databricks SQL Audit logs"/>
    <s v="Run SQL command DESCRIBE HISTORY table_name"/>
    <s v="Review workspace audit logs"/>
    <m/>
    <s v="D"/>
    <s v="The answer is Run SQL command DESCRIBE HISTORY table_name._x0009_here is the sample data of how DESCRIBE HISTORY table_name looks_x0009_+——-+——————-+——+——–+———+——————–+—-+——–+———+———–+————–+————-+——————–+_x0009_|version| timestamp|userId|userName|operation| operationParameters| job|notebook|clusterId|readVersion|isolationLevel|isBlindAppend| operationMetrics|_x0009_+——-+——————-+——+——–+———+——————–+—-+——–+———+———–+————–+————-+——————–+_x0009_| 5|2019-07-29 14:07:47| null| null| DELETE|[predicate -&gt; [“(…|null| null| null| 4| Serializable| false|[numTotalRows -&gt; …|_x0009_| 4|2019-07-29 14:07:41| null| null| UPDATE|[predicate -&gt; (id…|null| null| null| 3| Serializable| false|[numTotalRows -&gt; …|"/>
    <m/>
    <m/>
    <m/>
    <n v="1"/>
    <m/>
    <m/>
    <m/>
    <m/>
  </r>
  <r>
    <x v="0"/>
    <n v="1312"/>
    <x v="5"/>
    <n v="24"/>
    <m/>
    <m/>
    <m/>
    <s v="While investigating a performance issue, you realized that you have too many small files for a given table, which command are you going to run to fix this issue"/>
    <s v="VACUUM table_name"/>
    <s v="MERGE table_name"/>
    <s v="SHRINK table_name"/>
    <s v="OPTIMIZE table_name"/>
    <m/>
    <m/>
    <s v="E"/>
    <s v="The answer is OPTIMIZE table_name,_x0009_Optimize compacts small parquet files into a bigger file, by default the size of the files are determined based on the table size at the time of OPTIMIZE, the file size can also be set manually or adjusted based on the workload._x0009_https://docs.databricks.com/delta/optimizations/file-mgmt.html_x0009_Tune file size based on Table size_x0009_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_x0009__x0009__x000a_See Graphic."/>
    <m/>
    <m/>
    <m/>
    <n v="1"/>
    <n v="1"/>
    <m/>
    <n v="1"/>
    <m/>
  </r>
  <r>
    <x v="0"/>
    <n v="1313"/>
    <x v="5"/>
    <n v="25"/>
    <m/>
    <m/>
    <m/>
    <s v="When building a DLT s pipeline you have two options to create a live tables, what is the main difference between CREATE STREAMING LIVE TABLE vs CREATE LIVE TABLE?"/>
    <s v="CREATE STREAMING LIVE table is used in MULTI HOP Architecture"/>
    <s v="CREATE LIVE TABLE is used when working with Streaming data sources and Incremental data"/>
    <s v="CREATE STREAMING LIVE TABLE is used when working with Streaming data sources and Incremental data There is no difference both are the same,"/>
    <s v="CREATE STRAMING LIVE will be deprecated soon"/>
    <s v="CREATE LIVE TABLE is used in DELTA LIVE TABLES,"/>
    <s v="CREATE STREAMING LIVE can only used in Structured Streaming applications"/>
    <s v="C"/>
    <s v="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_x0009_Incorrect_x0009_Option A (CREATE STREAMING LIVE table is used in MULTI HOP Architecture): Multi-hop (medallion) architecture refers to bronze/silver/gold layering, not specific to streaming table creation syntax._x0009_Option B (CREATE LIVE TABLE is used when working with Streaming data sources and Incremental data): CREATE LIVE TABLE handles batch/static data; streaming requires the explicit STREAMING keyword for incremental processing._x0009_Option D (There is no difference both are the same, CREATE STRAMING LIVE will be deprecated soon): Distinct commands exist with different data processing modes; no deprecation announced._x0009_Option E (CREATE LIVE TABLE is used in DELTA LIVE TABLES, CREATE STREAMING LIVE can only used in Structured Streaming applications): Both commands are DLT-native; streaming tables are DLT-specific, not limited to standalone Structured Streaming._x0009_"/>
    <m/>
    <m/>
    <m/>
    <m/>
    <m/>
    <m/>
    <m/>
    <m/>
  </r>
  <r>
    <x v="0"/>
    <n v="1314"/>
    <x v="5"/>
    <n v="26"/>
    <m/>
    <m/>
    <m/>
    <s v="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
    <s v="Under jobs UI select the job you are interested, under runs we can see current active runs and last 60 days historical run"/>
    <s v="Under jobs UI select the job cluster, under spark UI select the application job logs, then you can access last 60 day historical runs"/>
    <s v="Under Workspace logs, select job logs and select the job you want to monitor to view the last 60 day historical runs"/>
    <s v="Under Compute UI, select Job cluster and select the job cluster to see last 60 day historical runs"/>
    <s v="Historical job runs can only be accessed by REST API"/>
    <s v="A"/>
    <s v="A"/>
    <s v="Under jobs UI select the job you are interested, under runs we can see current active runs and last 60 days historical run._x000a_See graphic."/>
    <m/>
    <m/>
    <m/>
    <m/>
    <m/>
    <m/>
    <n v="1"/>
    <m/>
  </r>
  <r>
    <x v="0"/>
    <n v="1315"/>
    <x v="5"/>
    <n v="27"/>
    <m/>
    <m/>
    <m/>
    <s v="What is the type of table created when you issue SQL DDL command CREATE TABLE sales (id int, units int)"/>
    <s v="Query fails due to missing location"/>
    <s v="Query fails due to missing format"/>
    <s v="Managed Delta table"/>
    <s v="External Table"/>
    <s v="Managed Parquet table"/>
    <m/>
    <s v="C"/>
    <s v="Answer is Managed Delta table_x000a_Anytime a table is created without the Location keyword it is considered a managed table, by default all managed tables DELTA tables_x000a_Syntax_x000a_CREATE TABLE table_name ( column column_data_type…)"/>
    <m/>
    <m/>
    <m/>
    <m/>
    <m/>
    <m/>
    <m/>
    <m/>
  </r>
  <r>
    <x v="0"/>
    <n v="1316"/>
    <x v="5"/>
    <n v="28"/>
    <m/>
    <m/>
    <m/>
    <s v="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
    <s v="They can turn on the Serverless feature for the SQL endpoint(SQL warehouse)."/>
    <s v="They can increase the maximum bound of the SQL endpoint(SQL warehouse)’s scaling range"/>
    <s v="They can increase the warehouse size from 2X-Smal to 4XLarge of the SQL endpoint(SQL warehouse)."/>
    <s v="They can turn on the Auto Stop feature for the SQL endpoint(SQL warehouse)."/>
    <s v="They can turn on the Serverless feature for the SQL endpoint(SQL warehouse) and change the Spot Instance Policy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17"/>
    <x v="5"/>
    <n v="29"/>
    <m/>
    <m/>
    <m/>
    <s v="Which of the below SQL commands creates a session scoped temporary view?"/>
    <s v="CREATE OR REPLACE TEMPORARY VIEW view_name_x000a_AS SELECT * FROM table_name"/>
    <s v="CREATE OR REPLACE LOCAL TEMPORARY VIEW view_name_x000a_AS SELECT * FROM table_name"/>
    <s v="CREATE OR REPLACE GLOBAL TEMPORARY VIEW view_name_x000a_AS SELECT * FROM table_name"/>
    <s v="CREATE OR REPLACE VIEW view_name_x000a_AS SELECT * FROM table_name"/>
    <s v="CREATE OR REPLACE LOCAL VIEW view_name_x000a_AS SELECT * FROM table_name"/>
    <m/>
    <s v="A"/>
    <s v="The answer is_x000a_CREATE OR REPLACE TEMPORARY VIEW view_name_x000a_AS SELECT * FROM table_name_x000a_The default temporary view is session scoped, as soon as the session ends or if a notebook is detached session scoped temporary view is dropped."/>
    <m/>
    <m/>
    <m/>
    <m/>
    <m/>
    <m/>
    <m/>
    <m/>
  </r>
  <r>
    <x v="0"/>
    <n v="1318"/>
    <x v="5"/>
    <n v="30"/>
    <m/>
    <m/>
    <m/>
    <s v="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
    <s v="They can turn on the Serverless feature for the SQL endpoint(SQL Warehouse)."/>
    <s v="They can decrease the maximum bound of the SQL endpoint(SQL Warehouse) scaling range."/>
    <s v="They can decrease the cluster size of the SQL endpoint(SQL Warehouse)."/>
    <s v="They can turn on the Auto Stop feature for the SQL endpoint(SQL Warehouse)."/>
    <s v="They can turn on the Serverless feature for the SQL endpoint(SQL Warehouse) and change the Spot Instance Policy from “Reliability Optimized” to  “Cost optimized”"/>
    <m/>
    <s v="D"/>
    <s v="The answer is, They can turn on the Auto Stop feature for the SQL endpoint(SQL Warehouse)._x000a_Use auto stop to automatically terminate the cluster when you are not using it."/>
    <m/>
    <m/>
    <m/>
    <m/>
    <n v="1"/>
    <m/>
    <m/>
    <m/>
  </r>
  <r>
    <x v="0"/>
    <n v="1319"/>
    <x v="5"/>
    <n v="31"/>
    <m/>
    <m/>
    <m/>
    <s v="Drop the customers database and associated tables and data, all of the tables inside the database are managed tables. Which of the following SQL commands will help you accomplish this?"/>
    <s v="DROP DATABASE customers FORCE"/>
    <s v="DROP DATABASE customers CASCADE"/>
    <s v="DROP DATABASE customers  INCLUDE All the tables must be dropped first before dropping database"/>
    <s v="DROP DELTA DATABSE customers"/>
    <m/>
    <m/>
    <s v="B"/>
    <s v="The answer is DROP DATABASE customers CASCADE_x000a_Drop database with cascade option drops all the tables, since all of the tables inside the database are managed tables we do not need to perform any additional steps to clean the data in the storage."/>
    <m/>
    <m/>
    <m/>
    <m/>
    <m/>
    <m/>
    <m/>
    <m/>
  </r>
  <r>
    <x v="0"/>
    <n v="1320"/>
    <x v="5"/>
    <n v="32"/>
    <m/>
    <m/>
    <m/>
    <s v="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
    <s v="They can turn on the Serverless feature for the SQL endpoint(SQL warehouse)."/>
    <s v="They can increase the maximum bound of the SQL endpoint(SQL warehouse) ’s scaling range."/>
    <s v="They can increase the cluster size from 2X-Small to 4X-Large of the SQL endpoint(SQL warehouse) ."/>
    <s v="They can turn on the Auto Stop feature for the SQL endpoint(SQL warehouse) ."/>
    <s v="They can turn on the Serverless feature for the SQL endpoint(SQL warehouse)  and change the Spot Instance Policy from “Cost optimized” to “Reliability Optimized.”"/>
    <m/>
    <s v="B"/>
    <s v="the answer is,_x000a_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21"/>
    <x v="5"/>
    <n v="33"/>
    <m/>
    <m/>
    <m/>
    <s v="Define an external SQL table by connecting to a local instance of an SQLite database using JDBC"/>
    <s v="CREATE TABLE users_jdbc USING SQLITE OPTIONS ( url = “jdbc:/sqmple_db“, dbtable = “users“ )"/>
    <s v="CREATE TABLE users_jdbc USING SQL URL = {server:“jdbc:/sqmple_db“,dbtable: “users”}"/>
    <s v="CREATE TABLE users_jdbc USING SQL OPTIONS ( url = “jdbc:sqlite:/sqmple_db“, dbtable = “users“ )"/>
    <s v="CREATE TABLE users_jdbc USING org.apache.spark.sql.jdbc.sqlite OPTIONS ( url = “jdbc:/sqmple_db“, dbtable = “users“ )"/>
    <s v="CREATE TABLE users_jdbc USING org.apache.spark.sql.jdbc OPTIONS ( url = “jdbc:sqlite:/sqmple_db“, dbtable = “users“ )"/>
    <m/>
    <s v="E"/>
    <s v="The answer is,_x000a_CREATE TABLE users_jdbc_x000a_USING org.apache.spark.sql.jdbc_x000a_OPTIONS (_x000a_url = “jdbc:sqlite:/sqmple_db“,_x000a_dbtable = “users“_x000a_)_x000a_Databricks runtime currently supports connecting to a few flavors of SQL Database including SQL Server, My SQL, SQL Lite and Snowflake using JDBC._x000a_CREATE TABLE_x000a_USING org.apache.spark.sql.jdbc or JDBC_x000a_OPTIONS (_x000a_url = “jdbc:://:“,_x000a_dbtable “ = .atable“,_x000a_user = ““,_x000a_password = ““_x000a_)_x000a_For more detailed documentation_x000a_SQL databases using JDBC – Azure Databricks | Microsoft Docs"/>
    <m/>
    <m/>
    <m/>
    <n v="1"/>
    <m/>
    <m/>
    <m/>
    <m/>
  </r>
  <r>
    <x v="0"/>
    <n v="1322"/>
    <x v="5"/>
    <n v="34"/>
    <m/>
    <m/>
    <m/>
    <s v="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
    <s v="They can turn on the Serverless feature for the SQL endpoint."/>
    <s v="They can increase the maximum bound of the SQL endpoint’s scaling range anywhere from between 1 to 100 to review the performance and select the size that meets the required SLA."/>
    <s v="They can increase the cluster size anywhere from X small to 3XL to review the performance and select the size that meets the required SLA."/>
    <s v="They can turn off the Auto Stop feature for the SQL endpoint to more than 30 mins."/>
    <s v="They can turn on the Serverless feature for the SQL endpoint and change the Spot Instance Policy from “Cost optimized” to “Reliability Optimized.”"/>
    <m/>
    <s v="C"/>
    <s v="Correct _x000a_option C. They can increase the cluster size anywhere from X small to 3XL to review the performance and select the size that meets the required SLA._x000a__x000a_Why C is Correct_x000a_30-minute query runtime on max scaling = 1 cluster indicates insufficient compute resources. Increasing cluster size (X-Small → 3XL) provides more cores/memory for parallel query execution._x000a__x000a_Databricks SQL Endpoint Scaling:_x000a__x000a_text_x000a_Current: 1 cluster (small) → 30 mins_x000a_Larger: 3XL cluster → More cores → Parallelism → Faster execution_x000a_Incorrect_x000a_option A. Turn on Serverless_x000a_❌ Serverless SQL warehouses have fixed compute sizing – cannot scale beyond provisioned capacity for long-running analytical queries._x000a__x000a_option B. Increase max scaling to 100_x000a_❌ SQL endpoints scale by cluster size, not cluster count. Horizontal scaling ineffective for single funnel analysis query._x000a__x000a_option D. Turn off Auto Stop_x000a_❌ Auto Stop prevents idle costs – doesn’t improve active query performance._x000a__x000a_option E. Serverless + Spot Instance change_x000a_❌ Spot policy irrelevant for query performance. Serverless doesn’t allow spot configuration."/>
    <m/>
    <m/>
    <m/>
    <n v="1"/>
    <m/>
    <m/>
    <m/>
    <m/>
  </r>
  <r>
    <x v="0"/>
    <n v="1323"/>
    <x v="5"/>
    <n v="35"/>
    <m/>
    <m/>
    <m/>
    <s v="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
    <s v="UNCACHE TABLE table_name"/>
    <s v="CACHE TABLE table_name"/>
    <s v="REFRESH TABLE table_name"/>
    <s v="BROADCAST TABLE table_name"/>
    <s v="CLEAR CACH table_name"/>
    <m/>
    <s v="C"/>
    <s v="The answer is REFRESH TABLE table_name_x000a_REFRESH TABLE table_name  will force Spark to refresh the availability of external files and any changes._x000a_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
    <m/>
    <m/>
    <m/>
    <m/>
    <n v="1"/>
    <m/>
    <m/>
    <m/>
  </r>
  <r>
    <x v="0"/>
    <n v="1324"/>
    <x v="5"/>
    <n v="36"/>
    <m/>
    <m/>
    <m/>
    <s v="Unity catalog simplifies managing multiple workspaces, by storing and managing permissions and ACL at _______ level"/>
    <s v="Workspace"/>
    <s v="Account"/>
    <s v="Storage"/>
    <s v="Data pane"/>
    <s v="Control pane"/>
    <m/>
    <s v="B"/>
    <s v="The answer is, Account Level_x000a_The classic access control list (tables, workspace, cluster) is at the workspace level, Unity catalog is at the account level and can manage all the workspaces in an Account."/>
    <m/>
    <m/>
    <m/>
    <n v="1"/>
    <n v="1"/>
    <m/>
    <m/>
    <s v="ACL"/>
  </r>
  <r>
    <x v="0"/>
    <n v="1325"/>
    <x v="5"/>
    <n v="37"/>
    <m/>
    <m/>
    <m/>
    <s v="The data engineering team is looking to add a new column to the table, but the QA team would like to test the change before implementing in production, which of the below options allow you to quickly copy the table from Prod to the QA environment, modify and run the tests?"/>
    <s v="DEEP CLONE"/>
    <s v="SHADOW CLONE"/>
    <s v="ZERO COPY CLONE"/>
    <s v="SHALLOW CLONE"/>
    <s v="METADATA CLONE"/>
    <m/>
    <s v="D"/>
    <s v="The answer is SHALLOW CLONE_x000a_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_x000a_CREATE OR REPLACE TABLE {new_table_name} SHALLOW CLONE {source_table_name}|[LOCATION path]_x000a_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_x000a_CREATE OR REPLACE TABLE {new_table_name} DEEP CLONE {source_table_name}|[LOCATION path]"/>
    <m/>
    <m/>
    <m/>
    <m/>
    <n v="1"/>
    <m/>
    <m/>
    <m/>
  </r>
  <r>
    <x v="0"/>
    <n v="1326"/>
    <x v="5"/>
    <n v="38"/>
    <m/>
    <m/>
    <m/>
    <s v="Sales team is looking to get a report on a measure number of units sold by date. Below is the schema. Fill in the blank with the appropriate array function._x000a__x000a_Table orders:_x000a_orderDate DATE, orderIds ARRAY_x000a__x000a_Table orderDetail:_x000a_orderId INT, unitsSold INT, salesAmt DOUBLE_x000a__x000a_orders table:_x000a__x000a_orderDate   | orderIds_x000a_10-10-2021  | [100, 101, 102, 103, 104]_x000a_10-11-2021  | [105, 106, 107, 108, 109]_x000a__x000a_orderDetail table:_x000a__x000a_orderId | unitsSold | salesAmt_x000a_100     | 10        | 100_x000a_100     | 15        | 200_x000a__x000a_SELECT orderDate, SUM(unitsSold)_x000a_FROM orderDetail od_x000a_JOIN (_x000a_  SELECT orderDate, ________ (orderIds) AS orderId_x000a_  FROM orders_x000a_) o_x000a_ON o.orderId = od.orderId_x000a_GROUP BY orderDate"/>
    <s v="FLATTEN"/>
    <s v="EXTEND"/>
    <s v="EXPLODE"/>
    <s v="EXTRACT"/>
    <s v="ARRAY_FLATTEN"/>
    <m/>
    <s v="C"/>
    <s v="The answer is EXPLODE._x000a__x000a_EXPLODE is a table-valued function that takes an array (or map) and returns one row for each element in the array._x000a__x000a_For the following table:_x000a__x000a_orderDate   | orderIds_x000a_10-10-2021  | [100, 101, 102, 103, 104]_x000a_10-11-2021  | [105, 106, 107, 108, 109]_x000a__x000a_Query:_x000a__x000a_SELECT explode(orderIds) AS orderId, orderDate_x000a_FROM orders;_x000a__x000a_Result:_x000a__x000a_orderDate   | orderId_x000a_10-10-2021  | 100_x000a_10-10-2021  | 101_x000a_10-10-2021  | 102_x000a_..."/>
    <m/>
    <m/>
    <m/>
    <n v="1"/>
    <m/>
    <m/>
    <m/>
    <m/>
  </r>
  <r>
    <x v="0"/>
    <n v="1327"/>
    <x v="5"/>
    <n v="39"/>
    <m/>
    <m/>
    <m/>
    <s v="What is the best way to describe a data lakehouse compared to a data warehouse?"/>
    <s v="A data lakehouse provides a relational system of data management"/>
    <s v="A data lakehouse captures snapshots of data for version control purposes."/>
    <s v="A data lakehouse couples storage and compute for complete control."/>
    <s v="A data lakehouse utilizes proprietary storage formats for data."/>
    <s v="A data lakehouse enables both batch and streaming analytics."/>
    <m/>
    <s v="E"/>
    <s v="Anser is A data lakehouse enables both batch and streaming analytics._x000a_A lakehouse has the following key features:_x000a_Transaction support: In an enterprise lakehouse many data pipelines will often be reading and writing data concurrently. Support for ACID transactions ensures consistency as multiple parties concurrently read or write data, typically using SQL._x000a_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_x000a_BI support: Lakehouses enable using BI tools directly on the source data. This reduces staleness and improves recency, reduces latency, and lowers the cost of having to operationalize two copies of the data in both a data lake and a warehouse._x000a_Storage is decoupled from compute: In practice this means storage and compute use separate clusters, thus these systems are able to scale to many more concurrent users and larger data sizes. Some modern data warehouses also have this property._x000a_Openness: The storage formats they use are open and standardized, such as Parquet, and they provide an API so a variety of tools and engines, including machine learning and Python/R libraries, can efficiently access the data directly._x000a_Support for diverse data types ranging from unstructured to structured data: The lakehouse can be used to store, refine, analyze, and access data types needed for many new data applications, including images, video, audio, semi-structured data, and text._x000a_Support for diverse workloads: including data science, machine learning, and SQL and analytics. Multiple tools might be needed to support all these workloads but they all rely on the same data repository._x000a_End-to-end streaming: Real-time reports are the norm in many enterprises. Support for streaming eliminates the need for separate systems dedicated to serving real-time data applications."/>
    <m/>
    <m/>
    <m/>
    <n v="1"/>
    <m/>
    <m/>
    <m/>
    <m/>
  </r>
  <r>
    <x v="0"/>
    <n v="1328"/>
    <x v="5"/>
    <n v="40"/>
    <m/>
    <m/>
    <m/>
    <s v="You are asked to write a python function that can read data from a delta table and return the DataFrame, which of the following is correct?"/>
    <s v="Python function cannot return a DataFrame"/>
    <s v="Write SQL UDF to return a DataFrame"/>
    <s v="Write SQL UDF that can return tabular data"/>
    <s v="Python function will result in out of memory error due to data volume"/>
    <s v="Python function can return a DataFrame"/>
    <m/>
    <s v="E"/>
    <s v="The answer is Python function can return a DataFrame_x000a_The function would something like this,_x000a_get_source_dataframe(tablename):_x000a_df = spark.read.table(tablename)_x000a_return df_x000a_df = get_source_dataframe(‘test_table‘)_x000a_since there is no action spark returns a Dataframe and assigns to df python variable"/>
    <m/>
    <m/>
    <m/>
    <m/>
    <m/>
    <m/>
    <m/>
    <m/>
  </r>
  <r>
    <x v="0"/>
    <n v="1329"/>
    <x v="5"/>
    <n v="41"/>
    <m/>
    <m/>
    <m/>
    <s v="You are currently working on a production job failure with a job set up in job clusters due to a data issue, what cluster do you need to start to investigate and analyze the data?"/>
    <s v="A Job cluster can be used to analyze the problem"/>
    <s v="All-purpose cluster/ interactive cluster is the recommended way to run commands and view the data."/>
    <s v="Existing job cluster can be used to investigate the issue"/>
    <s v="Databricks SQL Endpoint can be used to investigate the issue"/>
    <m/>
    <m/>
    <s v="B"/>
    <s v="Answer is  All-purpose cluster/ interactive cluster is the recommended way to run commands and view the data._x000a_A job cluster can not provide a way for a user to interact with a notebook once the job is submitted, but an Interactive cluster allows to you display data, view visualizations write or edit quries, which makes it a perfect fit to investigate and analyze the data."/>
    <m/>
    <m/>
    <m/>
    <m/>
    <m/>
    <m/>
    <m/>
    <m/>
  </r>
  <r>
    <x v="0"/>
    <n v="1330"/>
    <x v="5"/>
    <n v="42"/>
    <m/>
    <m/>
    <m/>
    <s v="When writing streaming data, Spark’s structured stream supports the below write modes"/>
    <s v="Append, Delta, Complete"/>
    <s v="Delta, Complete, Continuous"/>
    <s v="Append, Complete, Update"/>
    <s v="Complete, Incremental, Update"/>
    <s v="Append, overwrite, Continuous"/>
    <m/>
    <s v="C"/>
    <s v="The answer is Append, Complete, Update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
    <m/>
    <m/>
    <m/>
    <n v="1"/>
    <m/>
    <m/>
    <m/>
    <m/>
  </r>
  <r>
    <x v="0"/>
    <n v="1331"/>
    <x v="5"/>
    <n v="43"/>
    <m/>
    <m/>
    <m/>
    <s v="You noticed that colleague is manually copying the notebook with _bkp to store the previous versions, which of the following feature would you recommend instead."/>
    <s v="Databricks notebooks support change tracking and versioning"/>
    <s v="Databricks notebooks should be copied to a local machine and setup source control locally to version the notebooks"/>
    <s v="Databricks notebooks can be exported into dbc archive files and stored in data lake"/>
    <s v="Databricks notebook can be exported as HTML and imported at a later time"/>
    <m/>
    <m/>
    <s v="A"/>
    <s v="Answer is Databricks notebooks support automatic change tracking and versioning._x000a_When you are editing the notebook on the right side check version history to view all the changes, every change you are making is captured and saved."/>
    <m/>
    <m/>
    <m/>
    <m/>
    <m/>
    <m/>
    <n v="1"/>
    <m/>
  </r>
  <r>
    <x v="0"/>
    <n v="1332"/>
    <x v="5"/>
    <n v="44"/>
    <m/>
    <m/>
    <m/>
    <s v="When using the complete mode to write stream data, how does it impact the target table?"/>
    <s v="Entire stream waits for complete data to write"/>
    <s v="Stream must complete to write the data"/>
    <s v="Target table cannot be updated while stream is pending"/>
    <s v="Target table is overwritten for each batch"/>
    <s v="Delta commits transaction once the stream is stopped"/>
    <m/>
    <s v="D"/>
    <s v="The answer is Target table is overwritten for each batch_x000a_Complete mode – The whole Result Table will be outputted to the sink after every trigger. This is supported for aggregation queries"/>
    <m/>
    <m/>
    <m/>
    <n v="1"/>
    <m/>
    <m/>
    <m/>
    <m/>
  </r>
  <r>
    <x v="0"/>
    <n v="1333"/>
    <x v="5"/>
    <n v="45"/>
    <m/>
    <m/>
    <m/>
    <s v="When working with AUTO LOADER you noticed that most of the columns that were inferred as part of loading are string data types including columns that were supposed to be integers, how can we fix this?"/>
    <s v="Provide the schema of the source table in the cloudfiles.schemalocation"/>
    <s v="Provide the schema of the target table in the cloudfiles.schemalocation"/>
    <s v="Provide schema hints"/>
    <s v="Update the checkpoint location"/>
    <s v="Correct the incoming data by explicitly casting the data types"/>
    <m/>
    <s v="C"/>
    <s v="The answer is, Provide schema hints._x000a_spark.readStream \_x000a_.format(“cloudFiles“) \_x000a_.option(“cloudFiles.format“, “csv“) \_x000a_.option(“header“, “true“) \_x000a_.option(“cloudFiles.schemaLocation“, schema_location) \_x000a_.option(“cloudFiles.schemaHints“, “id int, description string“)_x000a_.load(raw_data_location)_x000a_.writeStream \_x000a_.option(“checkpointLocation“, checkpoint_location) \_x000a_.start(target_delta_table_location)_x000a_.option(“cloudFiles.schemaHints“, “id int, description string“)_x000a_# Here we are providing a hint that id column is int and the description is a string_x000a_When cloudfiles.schemalocation is used to store the output of the schema inference during the load process,  with schema hints you can enforce data types for known columns ahead of time. "/>
    <m/>
    <m/>
    <m/>
    <m/>
    <m/>
    <m/>
    <m/>
    <m/>
  </r>
  <r>
    <x v="0"/>
    <n v="1334"/>
    <x v="5"/>
    <n v="46"/>
    <m/>
    <m/>
    <m/>
    <s v="Which of the following is a correct statement on how the data is organized in the storage when when managing a DELTA table?"/>
    <s v="All of the data is broken down into one or many parquet files, log files are broken down into one or many JSON files, and each transaction creates a new data file(s) and log file."/>
    <s v="All of the data and log are stored in a single parquet file"/>
    <s v="All of the data is broken down into one or many parquet files, but the log file is stored as a single json file, and every transaction creates a new data file(s) and log file gets appended."/>
    <s v="All of the data is broken down into one or many parquet files, log file is removed once the transaction is committed."/>
    <s v="All of the data is stored into one parquet file, log files are broken down into one or many json files."/>
    <m/>
    <s v="A"/>
    <s v="Answer is_x000a_All of the data is broken down into one or many parquet files, log files are broken down into one or many json files, and each transaction creates a new data file(s) and log file._x000a_here is sample layout of how DELTA table might look,_x000a_See Graphic._x000a_"/>
    <m/>
    <m/>
    <m/>
    <n v="1"/>
    <m/>
    <m/>
    <n v="1"/>
    <m/>
  </r>
  <r>
    <x v="0"/>
    <n v="1335"/>
    <x v="5"/>
    <n v="47"/>
    <m/>
    <m/>
    <m/>
    <s v="Which of the following Structured Streaming queries is performing a hop from a bronze table to a Silver table?"/>
    <s v="(spark.table(“sales“).groupBy(“store“)_x000a_.agg(sum(“sales“)).writeStream_x000a_.option(“checkpointLocation“,checkpointPath)_x000a_.outputMode(“complete“)_x000a_.table(“aggregatedSales“))"/>
    <s v="(spark.table(“sales“).agg(sum(“sales“),sum(“units“))_x000a_.writeStream_x000a_.option(“checkpointLocation“,checkpointPath)_x000a_.outputMode(“complete“)_x000a_.table(“aggregatedSales“))"/>
    <s v="(spark.table(“sales“)_x000a_.withColumn(“avgPrice“, col(“sales“) / col(“units“))_x000a_.writeStream_x000a_.option(“checkpointLocation“, checkpointPath)_x000a_.outputMode(“append“)_x000a_.table(“cleanedSales“))"/>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C"/>
    <s v="The question is asking to identify a structured streaming command that is moving data from bronze to silver._x000a_The answer is_x000a_(spark.table(“sales“)_x000a_.withColumn(“avgPrice“, col(“sales“) / col(“units“))_x000a_.writeStream_x000a_.option(“checkpointLocation“, checkpointPath)_x000a_.outputMode(“append“)_x000a_.table(“cleanedSales“))_x000a_We are preserving the grain of incoming data and enriching the data by adding avg price, the other options listed use aggregations which are mostly performed on top of the silver to move data to Gold._x000a_Exam focus: Please review the below image and understand the role of each layer(bronze, silver, gold) in medallion architecture, you will see varying questions targeting each layer and its purpose._x000a_See Graphic."/>
    <m/>
    <m/>
    <m/>
    <m/>
    <m/>
    <m/>
    <n v="1"/>
    <m/>
  </r>
  <r>
    <x v="0"/>
    <n v="1336"/>
    <x v="5"/>
    <n v="48"/>
    <m/>
    <m/>
    <m/>
    <s v="What is the underlying technology that makes the Auto Loader work?"/>
    <s v="Loader"/>
    <s v="Delta Live Tables"/>
    <s v="Structured Streaming"/>
    <s v="DataFrames"/>
    <s v="Live DataFames"/>
    <m/>
    <s v="C"/>
    <s v="The answer is Structured Streaming_x000a_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
    <m/>
    <m/>
    <m/>
    <m/>
    <m/>
    <m/>
    <m/>
    <m/>
  </r>
  <r>
    <x v="0"/>
    <n v="1337"/>
    <x v="5"/>
    <n v="49"/>
    <m/>
    <m/>
    <m/>
    <s v="Which of the following Structured Streaming queries successfully performs a hop from a Silver to Gold table?"/>
    <s v="(spark.table(“sales“)_x000a_.groupBy(“store“)_x000a_.agg(sum(“sales“))_x000a_.writeStream_x000a_.option(“checkpointLocation“, checkpointPath)_x000a_.outputMode(“complete“)_x000a_.table(“aggregatedSales“) )"/>
    <s v="(spark.table(“sales“)_x000a_.writeStream_x000a_.option(“checkpointLocation“, checkpointPath)_x000a_.outputMode(“complete“)_x000a_.table(“sales“) )"/>
    <s v="(spark.table(“sales“)_x000a_.withColumn(“avgPrice“, col(“sales“) / col(“units“))_x000a_.writeStream_x000a_.option(“checkpointLocation“, checkpointPath)_x000a_.outputMode(“append“)_x000a_.table(“cleanedSales“) )"/>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A"/>
    <s v="The answer is_x000a_(spark.table(“sales“)_x000a_.groupBy(“store“)_x000a_.agg(sum(“sales“))_x000a_.writeStream_x000a_.option(“checkpointLocation“, checkpointPath)_x000a_.outputMode(“complete“)_x000a_.table(“aggregatedSales“) )_x000a_The gold layer is normally used to store aggregated data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38"/>
    <x v="5"/>
    <n v="50"/>
    <m/>
    <m/>
    <m/>
    <s v="Which of the following Auto loader structured streaming commands successfully performs a hop from the landing area into Bronze?"/>
    <s v="spark\_x000a_.readStream\_x000a_.format(“csv“)\_x000a_.option(“cloudFiles.schemaLocation“, checkpoint_directory)\_x000a_.load(“landing“)\_x000a_.writeStream.option(“checkpointLocation“, checkpoint_directory)\_x000a_.table(raw)"/>
    <s v="spark\_x000a_.readStream\_x000a_.format(“cloudFiles“)\_x000a_.option(“cloudFiles.format“,“csv“)\_x000a_.option(“cloudFiles.schemaLocation“, checkpoint_directory)\_x000a_.load(“landing“)\_x000a_.writeStream.option(“checkpointLocation“, checkpoint_directory)\_x000a_.table(raw)"/>
    <s v="spark\_x000a_.read\_x000a_.format(“cloudFiles“)\_x000a_.option(“cloudFiles.format“,”csv”)\_x000a_.option(“cloudFiles.schemaLocation“, checkpoint_directory)\_x000a_.load(“landing“)\_x000a_.writeStream.option(“checkpointLocation“, checkpoint_directory)\_x000a_.table(raw)"/>
    <s v="spark\_x000a_.readStream\_x000a_.load(rawSalesLocation)\_x000a_.writeStream \_x000a_.option(“checkpointLocation“, checkpointPath).outputMode(“append“)\_x000a_.table(“uncleanedSales“)"/>
    <s v="spark\_x000a_.read\_x000a_.load(rawSalesLocation) \_x000a_.writeStream\_x000a_.option(“checkpointLocation“, checkpointPath) \_x000a_.outputMode(“append“)\_x000a_.table(“uncleanedSales“)"/>
    <m/>
    <s v="B"/>
    <s v="The answer is_x000a_spark\_x000a_.readStream\_x000a_.format(“cloudFiles“) \# use Auto loader_x000a_.option(“cloudFiles.format“,“csv“) \ # csv format files_x000a_.option(“cloudFiles.schemaLocation“, checkpoint_directory)\_x000a_.load(‘landing‘)\_x000a_.writeStream.option(“checkpointLocation“, checkpoint_directory)\_x000a_.table(raw)_x000a_Note: if you chose the below option which is incorrect because it does not have readStream_x000a_spark.read.format(“cloudFiles“)_x000a_.option(“cloudFiles.format“,”csv”)_x000a_…_x000a_.._x000a_.._x000a_Exam focus: Please review the below image and understand the role of each layer(bronze, silver, gold) in medallion architecture, you will see varying questions targeting each layer and its purpose._x000a_See Graphic."/>
    <m/>
    <m/>
    <m/>
    <m/>
    <m/>
    <m/>
    <n v="1"/>
    <m/>
  </r>
  <r>
    <x v="0"/>
    <n v="1339"/>
    <x v="5"/>
    <n v="51"/>
    <m/>
    <m/>
    <m/>
    <s v="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
    <s v="AUTO APPEND AUTO LOADER"/>
    <s v="COPY INTO Structured Streaming Checkpoint"/>
    <m/>
    <m/>
    <m/>
    <m/>
    <s v="B"/>
    <s v="The answer is AUTO LOADER,_x000a_Use Auto Loader instead of the COPY INTO SQL command when:_x000a_You want to load data from a file location that contains files in the order of millions or higher. Auto Loader can discover files more efficiently than the COPY INTO SQL command and can split file processing into multiple batches._x000a_COPY INTO only directory listing but AUTO LOADER supports File notification method where the Auto Loader continues to ingest files as they arrive in cloud object storage leveraging cloud provider(Queues and triggers) and Spark‘s structured streaming. _x000a_Your data schema evolves frequently. Auto Loader provides better support for schema inference and evolution. See Configuring schema inference and evolution in Auto Loader."/>
    <m/>
    <m/>
    <m/>
    <m/>
    <m/>
    <m/>
    <m/>
    <m/>
  </r>
  <r>
    <x v="0"/>
    <n v="1340"/>
    <x v="5"/>
    <n v="52"/>
    <m/>
    <m/>
    <m/>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overwrite"/>
    <s v="cloudfiles.format, cloudfiles.schemalocation, checkpointlocation, append"/>
    <m/>
    <s v="C"/>
    <s v="Correct_x000a__x000a_Option C. cloudfiles.format, cloudfiles.schemalocation, checkpointlocation, mergeSchema_x000a__x000a_Correct because Auto Loader in Databricks requires:_x000a__x000a_cloudfiles.format → specifies the file format (e.g., CSV, JSON, Parquet)._x000a_cloudfiles.schemalocation → stores evolving schema information to handle changes automatically._x000a_checkpointlocation → tracks progress for incremental ingestion._x000a_mergeSchema → ensures schema evolution is handled dynamically when new columns or changes appear._x000a_This combination allows incremental ingestion with automatic schema evolution, which is exactly what the question requires._x000a__x000a_Incorrect_x000a__x000a_Option A. format, checkpointlocation, schemalocation, overwrite_x000a__x000a_Incorrect because format is not the correct option name; it must be cloudfiles.format._x000a_Also, overwrite is not suitable for schema evolution; it replaces data instead of merging schema changes._x000a_Option B. cloudfiles.format, checkpointlocation, cloudfiles.schemalocation, overwrite_x000a__x000a_Incorrect because while cloudfiles.format and cloudfiles.schemalocation are correct, overwrite is wrong._x000a_Overwrite mode does not handle schema evolution; it simply replaces existing data._x000a_Option D. cloudfiles.format, cloudfiles.schemalocation, checkpointlocation, overwrite_x000a__x000a_Incorrect for the same reason as Option B: overwrite does not support schema evolution._x000a_Option E. cloudfiles.format, cloudfiles.schemalocation, checkpointlocation, append_x000a__x000a_Incorrect because append only adds new data but does not handle schema changes automatically._x000a_Schema evolution requires mergeSchema."/>
    <m/>
    <m/>
    <m/>
    <m/>
    <m/>
    <m/>
    <m/>
    <m/>
  </r>
  <r>
    <x v="0"/>
    <n v="1341"/>
    <x v="5"/>
    <n v="53"/>
    <m/>
    <m/>
    <m/>
    <s v="What is the purpose of the bronze layer in a Multi-hop architecture?"/>
    <s v="Can be used to eliminate duplicate records"/>
    <s v="Used as a data source for Machine learning applications."/>
    <s v="Perform data quality checks, corrupt data quarantined"/>
    <s v="Contains aggregated data that is to be consumed into Silver"/>
    <s v="Provides efficient storage and querying of full unprocessed history of data"/>
    <m/>
    <s v="E"/>
    <s v="The answer is Provides efficient storage and querying of full unprocessed history of data_x000a_Medallion Architecture – Databricks_x000a_Bronze Layer:_x000a_1. Raw copy of ingested data_x000a_2. Replaces traditional data lake_x000a_3. Provides efficient storage and querying of full, unprocessed history of data_x000a_4. No schema is applied at this layer_x000a_Exam focus: Please review the below image and understand the role of each layer(bronze, silver, gold) in medallion architecture, you will see varying questions targeting each layer and its purpose."/>
    <m/>
    <m/>
    <m/>
    <m/>
    <n v="1"/>
    <m/>
    <m/>
    <m/>
  </r>
  <r>
    <x v="0"/>
    <n v="1342"/>
    <x v="5"/>
    <n v="54"/>
    <m/>
    <m/>
    <m/>
    <s v="What is the purpose of a silver layer in Multi hop architecture?"/>
    <s v="Replaces a traditional data lake"/>
    <s v="Efficient storage and querying of full and unprocessed history of data"/>
    <s v="A schema is enforced, with data quality checks."/>
    <s v="Refined views with aggregated data"/>
    <s v="Optimized query performance for business-critical data"/>
    <m/>
    <s v="C"/>
    <s v="The answer is, A schema is enforced, with data quality checks._x000a_Medallion Architecture – Databricks_x000a_Silver Layer:_x000a_1. Reduces data storage complexity, latency, and redundency_x000a_2. Optimizes ETL throughput and analytic query performance_x000a_3. Preserves grain of original data (without aggregation)_x000a_4. Eliminates duplicate records_x000a_5. production schema enforced_x000a_6. Data quality checks, quarantine corrupt data_x000a_Exam focus: Please review the below image and understand the role of each layer(bronze, silver, gold) in medallion architecture, you will see varying questions targeting each layer and its purpose._x000a_See Graphic."/>
    <m/>
    <m/>
    <m/>
    <m/>
    <m/>
    <m/>
    <n v="1"/>
    <m/>
  </r>
  <r>
    <x v="0"/>
    <n v="1343"/>
    <x v="5"/>
    <n v="55"/>
    <m/>
    <m/>
    <m/>
    <s v="What is the purpose of a gold layer in Multi-hop architecture?"/>
    <s v="Optimizes ETL throughput and analytic query performance"/>
    <s v="Eliminate duplicate records"/>
    <s v="Preserves grain of original data, without any aggregations"/>
    <s v="Data quality checks and schema enforcement"/>
    <s v="Powers ML applications, reporting, dashboards and adhoc reports."/>
    <m/>
    <s v="E"/>
    <s v="The answer is Powers ML applications, reporting, dashboards and adhoc reports.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44"/>
    <x v="5"/>
    <n v="56"/>
    <m/>
    <m/>
    <m/>
    <s v="You are currently asked to work on building a data pipeline, you have noticed that you are currently working on a very large scale ETL many data dependencies, which of the following tools can be used to address this problem?"/>
    <s v="AUTO LOADER"/>
    <s v="JOBS and TASKS"/>
    <s v="SQL Endpoints"/>
    <s v="DELTA LIVE TABLES"/>
    <s v="STRUCTURED STREAMING with MULTI HOP"/>
    <m/>
    <s v="B"/>
    <s v="The answer is, DELTA LIVE TABLES_x000a_DLT simplifies data dependencies by building DAG-based joins between live tables. Here is a view of how the dag looks with data dependencies without additional meta data,_x000a_create or replace live view customers_x000a_select * from customers;_x000a_create or replace live view sales_orders_raw_x000a_select * from sales_orders;_x000a_create or replace live view sales_orders_cleaned_x000a_as_x000a_select sales.* from_x000a_live.sales_orders_raw s_x000a_join live.customers c_x000a_on c.customer_id = s.customer_id_x000a_where c.city = ‘LA‘;_x000a_create or replace live table sales_orders_in_la_x000a_select * from sales_orders_cleaned;_x000a_Above code creates below dag_x000a_Documentation on DELTA LIVE TABLES,_x000a_https://databricks.com/product/delta-live-tables_x000a_https://databricks.com/blog/2022/04/05/announcing-generally-availability-of-databricks-delta-live-tables-dlt.html_x000a_DELTA LIVE TABLES, addresses below challenges when building ETL processes_x000a_1. Complexities of large scale ETL_x000a_a. Hard to build and maintain dependencies_x000a_b. Difficult to switch between batch and stream_x000a_2. Data quality and governance_x000a_a. Difficult to monitor and enforce data quality_x000a_b. Impossible to trace data lineage_x000a_3. Difficult pipeline operations_x000a_a. Poor observability at granular data level_x000a_b. Error handling and recovery is laborious"/>
    <m/>
    <m/>
    <m/>
    <n v="1"/>
    <n v="1"/>
    <m/>
    <m/>
    <m/>
  </r>
  <r>
    <x v="0"/>
    <n v="1345"/>
    <x v="5"/>
    <n v="57"/>
    <m/>
    <m/>
    <m/>
    <s v="Data engineering team has provided 10 queries and asked Data Analyst team to build a dashboard and refresh the data every day at 8 AM, identify the best approach to set up data refresh for this dashaboard?"/>
    <s v="Each query requires a separate task and setup 10 tasks under a single job to run at 8 AM to refresh the dashboard"/>
    <s v="The entire dashboard with 10 queries can be refreshed at once, single schedule needs to be set up to refresh at 8 AM."/>
    <s v="Setup JOB with linear dependency to all load all 10 queries into a table so the dashboard can be refreshed at once."/>
    <s v="A dashboard can only refresh one query at a time, 10 schedules to set up the refresh."/>
    <s v="Use Incremental refresh to run at 8 AM every day."/>
    <m/>
    <s v="B"/>
    <s v="The answer is,_x000a_The entire dashboard with 10 queries can be refreshed at once, single schedule needs to be set up to refresh at 8 AM._x000a_Automatically refresh a dashboard_x000a_A dashboard’s owner and users with the Can Edit permission can configure a dashboard to automatically refresh on a schedule. To automatically refresh a dashboard:_x000a_1. Click the Schedule button at the top right of the dashboard. The scheduling dialog appears._x000a_See Graphic._x000a_2. In the Refresh every drop-down, select a period._x000a_3. In the SQL Warehouse drop-down, optionally select a SQL warehouse to use for all the queries. If you don’t select a warehouse, the queries execute on the last used SQL warehouse._x000a_4. Next to Subscribers, optionally enter a list of email addresses to notify when the dashboard is automatically updated._x000a_Each email address you enter must be associated with a Azure Databricks account or configured as an alert destination._x000a_5. Click Save. The Schedule button label changes to Scheduled."/>
    <m/>
    <m/>
    <m/>
    <m/>
    <n v="1"/>
    <m/>
    <n v="1"/>
    <m/>
  </r>
  <r>
    <x v="0"/>
    <n v="1346"/>
    <x v="5"/>
    <n v="58"/>
    <m/>
    <m/>
    <m/>
    <s v="You are noticing job cluster is taking 6 to 8 mins to start which is delaying your job to finish on time, what steps you can take to reduce the amount of time cluster startup time"/>
    <s v="Setup a second job ahead of first job to start the cluster, so the cluster is ready with resources when the job starts"/>
    <s v="Use All purpose cluster instead to reduce cluster start up time"/>
    <s v="Reduce the size of the cluster, smaller the cluster size shorter it takes to start the cluster"/>
    <s v="Use cluster pools to reduce the startup time of the jobs"/>
    <s v="Use SQL endpoints to reduce the startup time"/>
    <m/>
    <s v="D"/>
    <s v="The answer is, Use cluster pools to reduce the startup time of the jobs._x000a_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m/>
    <m/>
    <m/>
    <s v="Cluster Pools"/>
  </r>
  <r>
    <x v="0"/>
    <n v="1347"/>
    <x v="5"/>
    <n v="59"/>
    <m/>
    <m/>
    <m/>
    <s v="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
    <s v="They can set up an Alert for the accompanying dashboard to notify them if the returned value is greater than 60."/>
    <s v="They can set up an Alert for the query to notify when the ELT job fails."/>
    <s v="They can set up an Alert for the accompanying dashboard to notify when it has not refreshed in 60 minutes."/>
    <s v="They can set up an Alert for the query to notify them if the returned value is greater than 60."/>
    <s v="This type of alert is not possible in Databricks"/>
    <m/>
    <s v="D"/>
    <s v="The answer is, They can set up an Alert for the query to notify them if the returned value is greater than 60._x000a_The important thing to note here is that alert can only be setup on query not on the dashboard, query can  return a value, which is used if alert can be triggered."/>
    <m/>
    <m/>
    <m/>
    <m/>
    <m/>
    <m/>
    <m/>
    <s v="ELT, Alerts"/>
  </r>
  <r>
    <x v="0"/>
    <n v="1348"/>
    <x v="5"/>
    <n v="60"/>
    <m/>
    <m/>
    <m/>
    <s v="Which of the following programming languages can be used to build a Databricks SQL dashboard?"/>
    <s v="Python"/>
    <s v="Scala"/>
    <s v="SQL"/>
    <s v="R"/>
    <s v="All of the above"/>
    <m/>
    <s v="C"/>
    <s v="Correct_x000a__x000a_Option C. SQL_x000a__x000a_Databricks SQL dashboards are built using SQL queries._x000a_SQL is the only supported language for creating queries, visualizations, and dashboards in Databricks SQL._x000a_Python, Scala, and R can be used in Databricks notebooks for data engineering, machine learning, or analytics, but not for building SQL dashboards._x000a_Exam point: Dashboards in Databricks SQL are strictly SQL-based._x000a_Incorrect_x000a__x000a_Option A. Python_x000a__x000a_Python is widely used in Databricks notebooks for data processing, ML, and visualization, but it cannot be used to build Databricks SQL dashboards._x000a_Dashboards require SQL queries, not Python scripts._x000a_Option B. Scala_x000a__x000a_Scala is supported in Databricks notebooks for Spark-based transformations and big data processing._x000a_However, it is not used for SQL dashboards._x000a_Option D. R_x000a__x000a_R is supported in Databricks notebooks for statistical analysis and visualization._x000a_It is not supported for building SQL dashboards._x000a_Option E. All of the above_x000a__x000a_Incorrect because only SQL is supported for dashboards._x000a_The other languages are valid in notebooks but not in Databricks SQL dashboards."/>
    <m/>
    <m/>
    <m/>
    <n v="1"/>
    <n v="1"/>
    <m/>
    <m/>
    <m/>
  </r>
  <r>
    <x v="0"/>
    <n v="1349"/>
    <x v="6"/>
    <n v="1"/>
    <s v="General"/>
    <s v="Conceptual"/>
    <s v="Easy"/>
    <s v="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
    <s v="They should use a single all-purpose cluster for all the tasks in the job"/>
    <s v="They should use a shared job cluster for all the tasks in the job"/>
    <s v="They should use a new all-purpose cluster for each task in the job"/>
    <s v="They should use a new job cluster for each task in the job"/>
    <s v="They should use few all-purpose clusters and few job clusters for different tasks in the job"/>
    <m/>
    <s v="B"/>
    <s v="Let‘s try to understand the correct answer for this question._x000a_Until now, each task had its own cluster to accommodate for the different types of workloads. While this flexibility allows for fine-grained configuration, it can also introduce a time and cost overhead for cluster startup or underutilization during parallel tasks._x000a_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_x000a_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_x000a_So, the correct answer is: “They should use a shared job cluster for all the tasks in the job“_x000a_Learn More: Cluster Reuse | Databricks"/>
    <m/>
    <m/>
    <m/>
    <m/>
    <m/>
    <m/>
    <m/>
    <m/>
  </r>
  <r>
    <x v="0"/>
    <n v="1350"/>
    <x v="6"/>
    <n v="2"/>
    <s v="General"/>
    <s v="Conceptual"/>
    <s v="Easy"/>
    <s v="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
    <s v="Databricks Notebooks support the use of multiple languages in the same notebook"/>
    <s v="Databricks Notebooks support automatic change-tracking and versioning"/>
    <s v="Databricks Notebooks support commenting and notification comments"/>
    <s v="Databricks Notebooks support real-time coauthoring on a single notebook"/>
    <s v="Databricks Notebooks support the creation of interactive data visualizations"/>
    <m/>
    <s v="D"/>
    <s v="The correct answer is: Databricks Notebooks support real-time coauthoring on a single notebook"/>
    <m/>
    <m/>
    <m/>
    <m/>
    <m/>
    <m/>
    <m/>
    <m/>
  </r>
  <r>
    <x v="0"/>
    <n v="1351"/>
    <x v="6"/>
    <n v="3"/>
    <s v="General"/>
    <s v="Conceptual"/>
    <s v="Easy"/>
    <s v="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
    <s v="Table orders was a managed table"/>
    <s v="Table orders was not dropped properly"/>
    <s v="Table orders was an external table"/>
    <s v="Table orders was partially dropped"/>
    <s v="Table orders should be truncated first before dropping"/>
    <m/>
    <s v="C"/>
    <s v="The most likely reason the data files persist in DBFS after dropping the table with DROP TABLE orders is that:_x000a__x000a_Table orders was an external table_x000a__x000a_Here‘s why:_x000a__x000a_Managed vs. External Tables:_x000a_Managed tables: When you drop a managed table in Databricks, the metadata and the underlying data files in DBFS are deleted._x000a_External tables: Dropping an external table only removes the metadata information from the registry (like Databricks Catalog). The data files themselves remain untouched in DBFS._x000a_DROP TABLE behavior: The DROP TABLE command by default only removes the metadata for the table, not the data. This applies to both managed and external tables, but the impact on data files differs._x000a_In this scenario, since the data files persist, the dropped table was most likely an external table."/>
    <m/>
    <m/>
    <m/>
    <m/>
    <m/>
    <m/>
    <m/>
    <m/>
  </r>
  <r>
    <x v="0"/>
    <n v="1352"/>
    <x v="6"/>
    <n v="4"/>
    <s v="General"/>
    <s v="Conceptual"/>
    <s v="Easy"/>
    <s v="Which of the following code blocks can be used to create a lambda function in Python to find out whether a number is even or odd?"/>
    <s v="my_func = lambda x: if x % 2 == 0 ‘Even‘ else ‘Odd‘"/>
    <s v="my_func = lambda x: if x / 2 == 0 ‘Even‘ else ‘Odd‘"/>
    <s v="my_func = lambda x: ‘Even‘ if x % 2 == 0 else ‘Odd‘"/>
    <s v="my_func = lambda x: ‘Even‘ if x % 2 = 0 else ‘Odd‘"/>
    <s v="my_func = lambda x: if x % 2 == 0 ‘Even‘ elif x % 2 != 0 ‘Odd‘"/>
    <m/>
    <s v="C"/>
    <s v="Python Lambda Function_x000a_It is an anonymous function. It means that the function is without a name. As we already know that the def keyword is used to define a normal function in Python. Similarly, the lambda keyword is used to define an anonymous function in Python._x000a_Syntax_x000a_lambda arguments: expression_x000a_This function can have any number of arguments but only one expression, which is evaluated and returned._x000a_One is free to use lambda functions wherever function objects are required._x000a_You need to keep in your knowledge that lambda functions are syntactically restricted to a single expression._x000a_It has various uses in particular fields of programming, besides other types of expressions in functions._x000a_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_x000a_So, the correct answer is:_x000a_my_func = lambda x: ‘Even‘ if x % 2 == 0 else ‘Odd‘"/>
    <m/>
    <m/>
    <m/>
    <n v="1"/>
    <m/>
    <m/>
    <m/>
    <m/>
  </r>
  <r>
    <x v="0"/>
    <n v="1353"/>
    <x v="6"/>
    <n v="5"/>
    <s v="General"/>
    <s v="Conceptual"/>
    <s v="Easy"/>
    <s v="A data engineer wants to figure out whether the Delta table called transactions is an external table or a managed table. Which of the following commands will help him to find out the type of table?"/>
    <s v="SHOW CREATE TABLE transactions"/>
    <s v="DESCRIBE EXTENDED transactions"/>
    <s v="SHOW TABLE EXTENDED LIKE ‘transactions‘"/>
    <s v="DESCRIBE FORMATTED transactions"/>
    <s v="All of the above"/>
    <m/>
    <s v="C"/>
    <s v="All the options will show you the ‘Type‘ of table i.e., whether the table is an ‘EXTERNAL‘ table or a ‘MANAGED‘ table. You can explore more about each option using the links given below._x000a_SHOW CREATE TABLE_x000a_SHOW TABLE EXTENDED_x000a_DESCRIBE TABLE (EXTENDED OR FORMATTED)_x000a_So, the correct answer is All of the above"/>
    <m/>
    <m/>
    <m/>
    <n v="1"/>
    <n v="1"/>
    <m/>
    <m/>
    <m/>
  </r>
  <r>
    <x v="0"/>
    <n v="1354"/>
    <x v="6"/>
    <n v="6"/>
    <s v="General"/>
    <s v="Conceptual"/>
    <s v="Easy"/>
    <s v="As part of ingesting data, which of the following options will help you to overwrite the existing data of a Delta table assuming that its schema remains the same?"/>
    <s v="COPY INTO"/>
    <s v="INSERT OVERWRITE"/>
    <s v="CREATE OR"/>
    <s v="REPLACE TABLE"/>
    <s v="INSERT"/>
    <s v="MERGE"/>
    <s v="B"/>
    <s v="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_x000a_Without a partition_spec the table is truncated before inserting the first row._x000a_Otherwise, all partitions matching the partition_spec are truncated before inserting the first row.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INSERT OVERWRITE"/>
    <m/>
    <m/>
    <m/>
    <m/>
    <m/>
    <m/>
    <m/>
    <m/>
  </r>
  <r>
    <x v="0"/>
    <n v="1355"/>
    <x v="6"/>
    <n v="7"/>
    <s v="General"/>
    <s v="Conceptual"/>
    <s v="Easy"/>
    <s v="A data engineer has to register a table called orders on an external CSV source in which the fields are pipe-delimited ( | ) and first row is the header having the column names. Which of the following Spark SQL DDL can be used to create that table?"/>
    <s v="CREATE TABLE orders_csv ( order_id LONG, order_customer_id INTEGER, order_timestamp TIMESTAMP, total_item_quantity INTEGER, order_amount DOUBLE, order_status STRING ) USING CSV TABLEPROPERTIES ( header = “false“, delimiter = “|“ ) LOCATION “dbfs:/user/username/retail/orders-csv“"/>
    <s v="CREATE TABLE orders_csv ( order_id LONG, order_customer_id INTEGER, order_timestamp TIMESTAMP, total_item_quantity INTEGER, order_amount DOUBLE, order_status STRING ) STORED AS CSV PROPERTIES ( header = “true“, delimiter = “|“ ) LOCATION “dbfs:/user/username/retail/orders-csv“"/>
    <s v="CREATE CSV TABLE orders_csv ( order_id LONG, order_customer_id INTEGER, order_timestamp TIMESTAMP, total_item_quantity INTEGER, order_amount DOUBLE, order_status STRING ) OPTIONS ( header = “false“, delimiter = “|“ ) LOCATION “dbfs:/user/username/retail/orders-csv“"/>
    <s v="CREATE TABLE orders_csv USING CSV ( order_id LONG, order_customer_id INTEGER, order_timestamp TIMESTAMP, total_item_quantity INTEGER, order_amount DOUBLE, order_status STRING ) OPTIONS ( header = “true“, delimiter = “|“ ) LOCATION “dbfs:/user/username/retail/orders-csv“"/>
    <s v="CREATE TABLE orders_csv ( order_id LONG, order_customer_id INTEGER, order_timestamp TIMESTAMP, total_item_quantity INTEGER, order_amount DOUBLE, order_status STRING ) USING CSV OPTIONS ( header = “true“, delimiter = “|“ ) LOCATION “dbfs:/user/username/retail/orders-csv“"/>
    <m/>
    <s v="E"/>
    <s v="Registering Tables on External Data with Read Options_x000a_While Spark will extract some self-describing data sources efficiently using default settings, many formats will require declaration of schema or other options._x000a_While there are many additional configurations you can set while creating tables against external sources, the syntax below demonstrates the essentials required to extract data from most formats._x000a_CREATE TABLE table_identifier (col_name1 col_type1, …)_x000a_USING data_source_x000a_OPTIONS (key1 = val1, key2 = val2, …)_x000a_LOCATION = path_x000a_Note that options are passed with keys as unquoted text and values in quotes. Spark supports many data sources with custom options, and additional systems may have unofficial support through external libraries._x000a_So, the correct answer for this question is:_x000a_CREATE TABLE orders_csv_x000a_(_x000a_order_id LONG,_x000a_order_customer_id INTEGER,_x000a_order_timestamp TIMESTAMP,_x000a_total_item_quantity INTEGER,_x000a_order_amount DOUBLE,_x000a_order_status STRING_x000a_)_x000a_USING CSV_x000a_OPTIONS_x000a_(_x000a_header = “true“,_x000a_delimiter = “|“_x000a_)_x000a_LOCATION “dbfs:/user/username/retail/orders-csv“"/>
    <m/>
    <m/>
    <m/>
    <n v="1"/>
    <n v="1"/>
    <m/>
    <m/>
    <m/>
  </r>
  <r>
    <x v="0"/>
    <n v="1356"/>
    <x v="6"/>
    <n v="8"/>
    <s v="General"/>
    <s v="Conceptual"/>
    <s v="Easy"/>
    <s v="Which of the following SQL keywords can be used to append new rows to an existing Delta table?"/>
    <s v="INSERT INTO"/>
    <s v="UPDATE"/>
    <s v="INSERT OVERWRITE"/>
    <s v="COPY INTO UNION"/>
    <m/>
    <m/>
    <s v="A"/>
    <s v="INSERT INTO command is used to to append new rows to an existing Delta table."/>
    <m/>
    <m/>
    <m/>
    <m/>
    <m/>
    <m/>
    <m/>
    <m/>
  </r>
  <r>
    <x v="0"/>
    <n v="1357"/>
    <x v="6"/>
    <n v="9"/>
    <s v="General"/>
    <s v="Conceptual"/>
    <s v="Easy"/>
    <s v="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_x000a_Which of the following queries can be used by the data engineer to accomplish this task?"/>
    <s v="SELECT customer_id FROM customers_x000a_INTERSECT_x000a_SELECT order_customer_id FROM orders"/>
    <s v="SELECT customer_id FROM customers_x000a_UNION_x000a_SELECT order_customer_id FROM orders"/>
    <s v="SELECT customer_id FROM customers c_x000a_INNER JOIN orders o_x000a_ON c.customer_id = o.order_customer_id"/>
    <s v="SELECT customer_id FROM customers_x000a_UNION ALL_x000a_SELECT order_customer_id FROM orders"/>
    <s v="SELECT customer_id FROM customers_x000a_EXCEPT_x000a_SELECT order_customer_id FROM orders"/>
    <m/>
    <s v="E"/>
    <s v="Let‘s try to understand the concept of different Set Operators available in Databricks SQL.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INNER JOIN – It selects records that have matching values in both the tables for any particular join column(s)._x000a_So, the correct answer is:_x000a_SELECT customer_id FROM customers_x000a_EXCEPT_x000a_SELECT order_customer_id FROM orders"/>
    <m/>
    <m/>
    <m/>
    <m/>
    <n v="1"/>
    <m/>
    <m/>
    <m/>
  </r>
  <r>
    <x v="0"/>
    <n v="1358"/>
    <x v="6"/>
    <n v="10"/>
    <s v="General"/>
    <s v="Conceptual"/>
    <s v="Easy"/>
    <s v="What are the two file detection modes available in the Auto Loader?"/>
    <s v="Replayable Data Sources and Idempotent Sinks"/>
    <s v="Checkpointing and Write Ahead Logs"/>
    <s v="Directory Listing and File Notification"/>
    <s v="Watermarking and Checkpointing"/>
    <s v="Idempotent Sinks and Structured Streaming"/>
    <m/>
    <s v="C"/>
    <s v="Auto Loader supports two modes for detecting new files. These are directory listing and file notification. You can switch file discovery modes across stream restarts and still obtain exactly-once data processing guarantees._x000a_Directory listing mode_x000a_In directory listing mode, Auto Loader identifies new files by listing the input directory. Directory listing mode allows you to quickly start Auto Loader streams without any permission configurations other than access to your data on cloud storage._x000a_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_x000a_File notification mode_x000a_File notification mode leverages file notification and queue services in your cloud infrastructure account. Auto Loader can automatically set up a notification service and queue service that subscribe to file events from the input directory._x000a_File notification mode is more performant and scalable for large input directories or a high volume of files but requires additional cloud permissions to set up. For more information, see What is Auto Loader file notification mode?_x000a_So, the correct answer is: Directory Listing and File Notification"/>
    <m/>
    <m/>
    <m/>
    <m/>
    <n v="1"/>
    <m/>
    <m/>
    <m/>
  </r>
  <r>
    <x v="0"/>
    <n v="1359"/>
    <x v="6"/>
    <n v="11"/>
    <s v="General"/>
    <s v="Conceptual"/>
    <s v="Easy"/>
    <s v="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
    <s v="Auto Loader"/>
    <s v="Unity Catalog"/>
    <s v="Databricks SQL"/>
    <s v="Delta Live Tables"/>
    <s v="Databricks Workflows"/>
    <m/>
    <s v="D"/>
    <s v="Let‘s try to understand the concept of Delta Live Tables._x000a_Delta Live Tables is a framework for building reliable, maintainable, and testable data processing pipelines._x000a_You define the transformations to perform on your data, and Delta Live Tables manages task orchestration, cluster management, monitoring, data quality, and error handling._x000a_Instead of defining your data pipelines using a series of separate Apache Spark tasks, Delta Live Tables manages how your data is transformed based on a target schema you define for each processing step._x000a_You can also enforce data quality with Delta Live Tables expectations. Expectations allow you to define expected data quality and specify how to handle records that fail those expectations._x000a_So, the correct answer is Delta Live Tables_x000a_Learn More: Delta Live Tables"/>
    <m/>
    <m/>
    <m/>
    <n v="1"/>
    <n v="1"/>
    <m/>
    <m/>
    <m/>
  </r>
  <r>
    <x v="0"/>
    <n v="1360"/>
    <x v="6"/>
    <n v="12"/>
    <s v="General"/>
    <s v="Conceptual"/>
    <s v="Easy"/>
    <s v="Which of the following describes when to use CREATE STREAMING LIVE TABLE over CREATE LIVE TABLE while creating a Delta Live Tables pipeline?"/>
    <s v="CREATE STREAMING LIVE TABLE should be used to process the entire data every time"/>
    <s v="CREATE STREAMING LIVE TABLE should be used when working with streaming data sources and to process the data incrementally"/>
    <s v="CREATE STREAMING LIVE TABLE should be used when the previous step in the DLT pipeline is static"/>
    <s v="CREATE STREAMING LIVE TABLE should be used now because"/>
    <s v="CREATE LIVE TABLE is going to be deprecated soon"/>
    <s v="CREATE STREAMING LIVE TABLE should be used when the next step in the DLT pipeline is static"/>
    <s v="B"/>
    <s v="Let‘s try to understand the concept given below._x000a_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_x000a_A streaming live table or view processes data that has been added only since the last pipeline update. Streaming tables and views are stateful, if the defining query changes, new data will be processed based on the new query and existing data is not recomputed._x000a_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_x000a_When an update is triggered for a pipeline, a streaming table or view processes only new data that has arrived since the last update. Data already processed is automatically tracked by the Delta Live Tables runtime._x000a_So, the correct answer is:_x000a_CREATE STREAMING LIVE TABLE should be used when working with streaming data sources and to process the data incrementally_x000a_Learn More: Delta Live Tables | Concepts"/>
    <m/>
    <m/>
    <m/>
    <m/>
    <n v="1"/>
    <m/>
    <m/>
    <m/>
  </r>
  <r>
    <x v="0"/>
    <n v="1361"/>
    <x v="6"/>
    <n v="13"/>
    <s v="General"/>
    <s v="Conceptual"/>
    <s v="Easy"/>
    <s v="Which of the following fields is optional while creating a Delta Live Table pipeline in Databricks?"/>
    <s v="Pipeline Name"/>
    <s v="Notebook Libraries"/>
    <s v="Target Schema"/>
    <s v="Pipeline Mode"/>
    <s v="Min &amp; Max Workers when Autoscaling is enabled"/>
    <m/>
    <s v="C"/>
    <s v="All the fields given are mandatory except the Target Schema._x000a_Target Schema field is optional. If not specified, then tables will not be registered to a metastore, but will still be available in the DBFS._x000a_To make your tables available for discovery and querying, enter a database name in the Target Schema field._x000a_So, the correct answer is Target Schema"/>
    <m/>
    <m/>
    <m/>
    <n v="1"/>
    <n v="1"/>
    <m/>
    <m/>
    <m/>
  </r>
  <r>
    <x v="0"/>
    <n v="1362"/>
    <x v="6"/>
    <n v="14"/>
    <s v="General"/>
    <s v="Conceptual"/>
    <s v="Easy"/>
    <s v="Which of the following statements best describes the Silver layer tables in the Medallion Architecture?"/>
    <s v="Silver tables structure is similar to the source system table structure along with any additional metadata columns that capture the load time, process id, etc."/>
    <s v="Silver tables are those where we land all the data from external source systems."/>
    <s v="Silver tables provides different use cases like Inventory Analytics, Product Recommendations, Customer Segmentation, Sales Analytics, etc."/>
    <s v="Silver tables provide a more refined view of raw data, where its filtered, cleansed, and enriched."/>
    <s v="Silver tables provide business-level aggregated version of data which is used for reporting."/>
    <m/>
    <s v="D"/>
    <s v="Silver tables provide a more refined view of our data. We can join fields from various bronze tables to enrich streaming records, or update account statuses based on recent activity._x000a_So, the correct answer is: Silver tables provide a more refined view of raw data, where its filtered, cleansed, and enriched._x000a_Learn More: Silver Tables | Medallion Architecture"/>
    <m/>
    <m/>
    <m/>
    <m/>
    <m/>
    <m/>
    <m/>
    <m/>
  </r>
  <r>
    <x v="0"/>
    <n v="1363"/>
    <x v="6"/>
    <n v="15"/>
    <s v="General"/>
    <s v="Conceptual"/>
    <s v="Easy"/>
    <s v="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
    <s v="A new .stream line should be added after the spark line"/>
    <s v="The .read line should be replaced with .readStream"/>
    <s v="A new .stream line should be added after the .read line"/>
    <s v="A new .stream line should be added after the .load(dataSource) line"/>
    <s v="The .format(“cloudFiles“) line should be replaced with .format(“streamingSource“)"/>
    <m/>
    <s v="B"/>
    <s v="The correct change to enable streaming read in the code block is:_x000a__x000a_The .read line should be replaced with .readStream_x000a__x000a_Here‘s why:_x000a__x000a_Structured Streaming: In Apache Spark, structured streaming is used for processing data streams._x000a_readStream vs. read: The readStream method is specifically designed for creating a DataFrame that represents a stream of data. The traditional read method is used for static datasets._x000a_Other lines: The remaining lines in the code block seem appropriate for configuring the cloud storage format and schema for the streaming data._x000a_By replacing read with readStream, the code block will instruct Spark to treat the data source as a stream and enable processing of incoming data increments."/>
    <m/>
    <m/>
    <m/>
    <m/>
    <n v="1"/>
    <m/>
    <m/>
    <m/>
  </r>
  <r>
    <x v="0"/>
    <n v="1364"/>
    <x v="6"/>
    <n v="16"/>
    <s v="General"/>
    <s v="Conceptual"/>
    <s v="Easy"/>
    <s v="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
    <s v="dbutils.notebook.call(“path“, timeout_seconds, {“argument1“: “data1“, “argument2“: “data2“})"/>
    <s v="dbutils.notebook.execute(“path“, timeout_seconds, {“argument1“: “data1“, “argument2“: “data2“})"/>
    <s v="dbutils.notebook.trigger(“path“, timeout_seconds, {“argument1“: “data1“, “argument2“: “data2“})"/>
    <s v="dbutils.notebook.implement(“path“, timeout_seconds, {“argument1“: “data1“, “argument2“: “data2“})"/>
    <s v="dbutils.notebook.run(“path“, timeout_seconds, {“argument1“: “data1“, “argument2“: “data2“})"/>
    <m/>
    <s v="E"/>
    <s v="Let‘s figure out the right answer for this question by looking at the below topic._x000a_Modularize or link code in notebooks_x000a_Unlike %run, the dbutils.notebook.run() method starts a new job to run the notebook._x000a_dbutils.notebook.run(path: String, timeout_seconds: int, arguments: Map): String_x000a_Run a notebook and return its exit value. The method starts an ephemeral job that runs immediately._x000a_The timeout_seconds parameter controls the timeout of the run (0 means no timeout): the call to run throws an exception if it doesnt finish within the specified time. If Databricks is down for more than 10 minutes, the notebook run fails regardless of timeout_seconds._x000a_The arguments parameter sets widget values of the target notebook. Specifically, if the notebook you are running has a widget named A, and you pass a key-value pair (“A“: “B“) as part of the arguments parameter to the run() call, then retrieving the value of widget A will return “B“._x000a_So, the correct answer is:_x000a_dbutils.notebook.run(“path“, timeout_seconds, {“argument1“: “data1“, “argument2“: “data2“})"/>
    <m/>
    <m/>
    <m/>
    <m/>
    <m/>
    <m/>
    <m/>
    <m/>
  </r>
  <r>
    <x v="0"/>
    <n v="1365"/>
    <x v="6"/>
    <n v="17"/>
    <s v="General"/>
    <s v="Conceptual"/>
    <s v="Easy"/>
    <s v="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
    <s v="Increase the maximum bound of the SQL endpoints scaling range"/>
    <s v="Turn on the Serverless feature for the SQL endpoint"/>
    <s v="Turn on the Auto Stop feature for the SQL endpoint"/>
    <s v="Increase the cluster size of the SQL endpoint"/>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we need to reduce the query latency and multiple users are not using SQL endpoint to run their queries concurrently. So, we need to increase the cluster size of the SQL endpoint._x000a_So, the correct answer is “Increase the cluster size of the SQL endpoint“._x000a_Learn More: SQL Endpoint Properties | Databricks"/>
    <m/>
    <m/>
    <m/>
    <m/>
    <m/>
    <m/>
    <m/>
    <m/>
  </r>
  <r>
    <x v="0"/>
    <n v="1366"/>
    <x v="6"/>
    <n v="18"/>
    <s v="General"/>
    <s v="Conceptual"/>
    <s v="Easy"/>
    <s v="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
    <s v="They can set up an Alert with a new webhook alert destination"/>
    <s v="They can set up an Alert with a custom template"/>
    <s v="They can set up an Alert with a new email address"/>
    <s v="They can set up an Alert with one-time notifications"/>
    <s v="This type of alerting is not possible in Databricks"/>
    <m/>
    <s v="A"/>
    <s v="Supported destinations for jobs_x000a_As part of the public preview, Databricks supports the following destinations for job notifications:_x000a_HTTP: Get an HTTP request on a configured URL with information about your job runs._x000a_Slack: Instantly receive a message on a configured channel and take action on job run statuses._x000a_Create a new notification destination_x000a_To configure a new notification destination_x000a_1. Click your username in the top bar of the workspace and select Admin Console from the dropdown._x000a_2. Click the Notification destinations tab._x000a_3. Click +New destination._x000a_4. Select a destination type. The following destinations are currently supported:_x000a_Email_x000a_Slack_x000a_Webhook_x000a_MS Teams_x000a_PagerDuty_x000a_5. Configure the destination based on the type._x000a_6. Click Create._x000a_Add a webhook to a job_x000a_After youve configured a destination, you can add the notification destination to a job._x000a_So, the correct answer is: “They can set up an Alert with a new webhook alert destination“"/>
    <m/>
    <m/>
    <m/>
    <m/>
    <n v="1"/>
    <m/>
    <m/>
    <m/>
  </r>
  <r>
    <x v="0"/>
    <n v="1367"/>
    <x v="6"/>
    <n v="19"/>
    <s v="General"/>
    <s v="Conceptual"/>
    <s v="Easy"/>
    <s v="Which of the following is not a privilege in the Databricks?"/>
    <s v="READ_METADATA"/>
    <s v="SELECT"/>
    <s v="USAGE"/>
    <s v="CREATE"/>
    <s v="UPDATE"/>
    <m/>
    <s v="E"/>
    <s v="Let‘s have a look at all the Privileges which are there in Databricks._x000a_SELECT: gives read access to an object._x000a_CREATE: gives ability to create an object (for example, a table in a schema)._x000a_MODIFY: gives ability to add, delete, and modify data to or from an object._x000a_USAGE: does not give any abilities, but is an additional requirement to perform any action on a schema object._x000a_READ_METADATA: gives ability to view an object and its metadata._x000a_CREATE_NAMED_FUNCTION: gives ability to create a named UDF in an existing catalog or schema._x000a_MODIFY_CLASSPATH: gives ability to add files to the Spark class path._x000a_ALL PRIVILEGES: gives all privileges (is translated into all the above privileges)._x000a_So, the correct answer is UPDATE"/>
    <m/>
    <m/>
    <m/>
    <n v="1"/>
    <m/>
    <m/>
    <m/>
    <m/>
  </r>
  <r>
    <x v="0"/>
    <n v="1368"/>
    <x v="6"/>
    <n v="20"/>
    <s v="General"/>
    <s v="Conceptual"/>
    <s v="Easy"/>
    <s v="Where are the job results stored in the Databricks Architecture?"/>
    <s v="Data Plane"/>
    <s v="Control Plane"/>
    <s v="DBFS layer on customer managed storage"/>
    <s v="Databricks Web Application"/>
    <s v="Databricks Cluster"/>
    <m/>
    <s v="C"/>
    <s v="Job results reside in storage in your account. It‘s basically the Databricks File System layer on top of customer managed storage like AWS S3 or Azure Blob Storage._x000a_The following diagram describes the architecture of Databricks._x000a_Learn More: Databricks Architecture"/>
    <m/>
    <m/>
    <m/>
    <n v="1"/>
    <m/>
    <m/>
    <m/>
    <m/>
  </r>
  <r>
    <x v="0"/>
    <n v="1369"/>
    <x v="6"/>
    <n v="21"/>
    <s v="General"/>
    <s v="Conceptual"/>
    <s v="Easy"/>
    <s v="Which of the following statements correctly describes the Delta Lake?"/>
    <s v="Delta Lake is an open source platform to help manage the complete machine learning lifecycle."/>
    <s v="Delta Lake is an open source data storage format for distributed data."/>
    <s v="Delta Lake is an open source analytics engine used for big data workloads."/>
    <s v="Delta Lake is an open format storage layer that delivers reliability, security, and performance."/>
    <s v="Delta Lake is an open format storage layer that processes data."/>
    <m/>
    <s v="D"/>
    <s v="Delta Lake is an open source project that enables building a Lakehouse architecture on top of data lakes. Delta Lake provides ACID transactions, scalable metadata handling, and unifies streaming and batch data processing on top of existing data lakes._x000a_Learn More: Delta Lake in Databricks"/>
    <m/>
    <m/>
    <m/>
    <m/>
    <m/>
    <m/>
    <m/>
    <m/>
  </r>
  <r>
    <x v="0"/>
    <n v="1370"/>
    <x v="6"/>
    <n v="22"/>
    <s v="General"/>
    <s v="Conceptual"/>
    <s v="Easy"/>
    <s v="Which of the following statements is incorrect about a managed table in Databricks?"/>
    <s v="Managed tables are the default when creating a table in Databricks"/>
    <s v="Data for a managed table does not resides in the LOCATION of the database it is registered to"/>
    <s v="Databricks manages both the metadata and the data for a managed table"/>
    <s v="Managed relationship between the data location and the database means that in order to move a managed table to a new database, you must rewrite all data to the new location"/>
    <s v="Dropping a managed table will delete both the metadata and underlying data of that table"/>
    <m/>
    <s v="B"/>
    <s v="Let‘s first try to understand what is a managed table in Databricks._x000a_Databricks manages both the metadata and the data for a managed table._x000a_When you drop a managed table, you also delete its underlying data along with metadata._x000a_Managed tables are the default when creating a table._x000a_The data for a managed table resides in the LOCATION of the database it is registered to._x000a_This managed relationship between the data location and the database means that in order to move a managed table to a new database, you must rewrite all data to the new location._x000a_This is a slightly tricky question. In the question, it‘s asked that which statement is incorrect about a managed table in Databricks. So, the statement which is incorrect is actually the correct answer of the question._x000a_So, the correct answer is “Data for a managed table does not resides in the LOCATION of database it is registered to“._x000a_Learn More: Managed Table | Databricks"/>
    <m/>
    <m/>
    <m/>
    <n v="1"/>
    <m/>
    <m/>
    <m/>
    <m/>
  </r>
  <r>
    <x v="0"/>
    <n v="1371"/>
    <x v="6"/>
    <n v="23"/>
    <s v="General"/>
    <s v="Conceptual"/>
    <s v="Easy"/>
    <s v="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
    <s v="OPTIMIZE TABLE transactions ZORDER BY (transactionId)"/>
    <s v="OPTIMIZE transactions ZORDER BY COLUMN transactionId"/>
    <s v="OPTIMIZE TABLE transactions ZORDER BY COLUMN (transactionId)"/>
    <s v="OPTIMIZE TABLE transactions ZORDER BY transactionId"/>
    <s v="OPTIMIZE transactions ZORDER BY (transactionId)"/>
    <m/>
    <s v="E"/>
    <s v="Compaction (bin-packing)_x000a_Delta Lake on Databricks can improve the speed of read queries from a table. One way to improve this speed is to coalesce small files into larger ones. You trigger compaction by running the OPTIMIZE command:_x000a_OPTIMIZE events_x000a_Z-Ordering (multi-dimensional clustering)_x000a_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_x000a_OPTIMIZE events_x000a_WHERE date &gt;= current_timestamp() – INTERVAL 1 day_x000a_ZORDER BY (eventType)_x000a_If you expect a column to be commonly used in query predicates and if that column has high cardinality (that is, a large number of distinct values), then use ZORDER BY._x000a_You can specify multiple columns for ZORDER BY as a comma-separated list. However, the effectiveness of the locality drops with each extra column._x000a_So, the correct answer is: OPTIMIZE transactions ZORDER BY (transactionType)_x000a_Learn More: Z-Ordering | Databricks"/>
    <m/>
    <m/>
    <m/>
    <n v="1"/>
    <m/>
    <m/>
    <m/>
    <m/>
  </r>
  <r>
    <x v="0"/>
    <n v="1372"/>
    <x v="6"/>
    <n v="24"/>
    <s v="General"/>
    <s v="Conceptual"/>
    <s v="Easy"/>
    <s v="A data engineer has created an orders Delta table. A junior data engineer who has recently joined the team needs SELECT permission on this table. Which part of the Databricks Lakehouse Platform can the data engineer use to grant this privilege through the UI?"/>
    <s v="Workspace"/>
    <s v="Repos"/>
    <s v="Data Explorer"/>
    <s v="Workflows"/>
    <s v="Compute"/>
    <m/>
    <s v="C"/>
    <s v="Using Data Explorer_x000a_Use the left sidebar navigator to select the Data tab; this places you in the Data Explorer_x000a_What is the Data Explorer?_x000a_The data explorer allows users and admins to:_x000a_Navigate databases, tables, and views_x000a_Explore data schema, metadata, and history_x000a_Set and modify permissions of relational entities_x000a_By default, admins will have the ability to view all objects registered to the metastore and will be able to control permissions for other users in the workspace._x000a_So, the corrects answer is Data Explorer."/>
    <m/>
    <m/>
    <m/>
    <n v="1"/>
    <m/>
    <m/>
    <m/>
    <m/>
  </r>
  <r>
    <x v="0"/>
    <n v="1373"/>
    <x v="6"/>
    <n v="25"/>
    <s v="General"/>
    <s v="Conceptual"/>
    <s v="Easy"/>
    <s v="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
    <s v="CREATE DATABASE retail USING LOCATION ‘dbfs:/mnt/datalake/databases/retail‘;"/>
    <s v="CREATE DATABASE retail LOCATION ‘dbfs:/mnt/datalake/databases/retail‘;"/>
    <s v="CREATE DATABASE IF NOT EXISTS retail;"/>
    <s v="CREATE DATABASE IF NOT EXISTS retail LOCATION ‘dbfs:/mnt/datalake/databases/retail‘;"/>
    <s v="CREATE DATABASE retail DELTA LOCATION ‘dbfs:/mnt/datalake/databases/retail‘;"/>
    <m/>
    <s v="D"/>
    <s v="CREATE DATABASE (Databricks SQL)_x000a_An alias for CREATE SCHEMA. While usage of SCHEMA and DATABASE is interchangeable, SCHEMA is preferred. It creates a schema with the specified name. If a schema with the same name already exists, an exception is thrown._x000a_Syntax_x000a_CREATE SCHEMA [ IF NOT EXISTS ] schema_name_x000a_[ COMMENT schema_comment ]_x000a_[ LOCATION schema_directory ]_x000a_[ WITH DBPROPERTIES ( property_name = property_value [ , … ] ) ]_x000a_Parameters_x000a_schema_name_x000a_The name of the schema to be created._x000a_IF NOT EXISTS_x000a_Creates a schema with the given name if it does not exist. If a schema with the same name already exists, nothing will happen._x000a_schema_directory_x000a_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_x000a_So, the right answer is given below as:_x000a_CREATE DATABASE IF NOT EXISTS retail LOCATION ‘dbfs:/mnt/datalake/databases/retail‘;"/>
    <m/>
    <m/>
    <m/>
    <m/>
    <m/>
    <m/>
    <m/>
    <m/>
  </r>
  <r>
    <x v="0"/>
    <n v="1374"/>
    <x v="6"/>
    <n v="26"/>
    <s v="General"/>
    <s v="Conceptual"/>
    <s v="Easy"/>
    <s v="Which of the following data workloads will utilize a Gold table as its destination?"/>
    <s v="A job that enriches data by parsing its timestamps into a human-readable format"/>
    <s v="A job that queries aggregated data that already feeds into a dashboard"/>
    <s v="A job that cleans data by removing malformatted records"/>
    <s v="A job that ingests raw data from a streaming source into the Lakehouse"/>
    <s v="A job that aggregates cleaned data to create standard summary statistics"/>
    <m/>
    <s v="E"/>
    <s v="Correct_x000a_Option E: A job that aggregates cleaned data to create standard summary statistics_x000a__x000a_Correct because Gold tables in the Databricks Lakehouse architecture are designed for business-level aggregates, KPIs, and reporting._x000a_They represent the final curated layer of the medallion architecture (Bronze → Silver → Gold)._x000a_Gold tables are typically consumed by dashboards, BI tools, and business stakeholders._x000a_Incorrect_x000a_Option A: Enriching data by parsing timestamps_x000a__x000a_Incorrect because this is a data transformation/cleaning task, which belongs to the Silver layer._x000a_Silver tables handle cleaned and enriched data, not final business aggregates._x000a_Option B: Querying aggregated data that already feeds into a dashboard_x000a__x000a_Incorrect because this describes using Gold tables, not creating them._x000a_The question asks about workloads that produce Gold tables, not workloads that query them._x000a_Option C: Cleaning data by removing malformatted records_x000a__x000a_Incorrect because cleaning raw data is a Silver table workload._x000a_Silver tables ensure data quality before aggregation._x000a_Option D: Ingesting raw data from a streaming source_x000a__x000a_Incorrect because ingesting raw, unprocessed data is a Bronze table workload._x000a_Bronze tables store raw data in its original format for lineage and auditing."/>
    <m/>
    <m/>
    <m/>
    <n v="1"/>
    <n v="1"/>
    <m/>
    <m/>
    <m/>
  </r>
  <r>
    <x v="0"/>
    <n v="1375"/>
    <x v="6"/>
    <n v="27"/>
    <s v="General"/>
    <s v="Conceptual"/>
    <s v="Easy"/>
    <s v="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
    <s v="dbutils.widgets.options(“department“, “all“, “Department“)_x000a_current_department = dbutils.widgets.get(“department“)"/>
    <s v="dbutils.widgets.text(“department“, “all“, “Department“)_x000a_current_department = dbutils.widgets.get(“department“)"/>
    <s v="dbutils.widgets.variable(“department“, “Department“, “all“)_x000a_current_department = dbutils.widgets.get(“department“)"/>
    <s v="dbutils.widgets.text(“department“, “Department“, “all“)_x000a_current_department = dbutils.widgets.get(“department“)"/>
    <s v="dbutils.widgets.parameter(“department“, “all“, “Department“)_x000a_current_department = dbutils.widgets.get(“department“)"/>
    <m/>
    <s v="B"/>
    <s v="Correct_x000a_Option B._x000a__x000a_python_x000a_dbutils.widgets.text(&quot;department&quot;, &quot;all&quot;, &quot;Department&quot;)_x000a_current_department = dbutils.widgets.get(&quot;department&quot;)_x000a_This is the correct syntax for creating a text widget in Databricks._x000a_dbutils.widgets.text() creates a widget named department with a default value of &quot;all&quot; and a label &quot;Department&quot;._x000a_dbutils.widgets.get(&quot;department&quot;) retrieves the runtime value entered by the user._x000a_Correct because it allows dynamic parameterization of the notebook based on user input._x000a_Incorrect_x000a_Option A._x000a__x000a_python_x000a_dbutils.widgets.options(&quot;department&quot;, &quot;all&quot;, &quot;Department&quot;)_x000a_current_department = dbutils.widgets.get(&quot;department&quot;)_x000a_dbutils.widgets.options() is not a valid method._x000a_The correct method is dbutils.widgets.dropdown() or dbutils.widgets.combobox() when multiple options are needed._x000a_Invalid syntax for creating a text widget._x000a_Option C._x000a__x000a_python_x000a_dbutils.widgets.variable(&quot;department&quot;, &quot;Department&quot;, &quot;all&quot;)_x000a_current_department = dbutils.widgets.get(&quot;department&quot;)_x000a_dbutils.widgets.variable() does not exist in Databricks._x000a_Incorrect API usage._x000a_Option D._x000a__x000a_python_x000a_dbutils.widgets.text(&quot;department&quot;, &quot;Department&quot;, &quot;all&quot;)_x000a_current_department = dbutils.widgets.get(&quot;department&quot;)_x000a_The parameter order is wrong._x000a_The correct order is (name, defaultValue, label)._x000a_Here &quot;Department&quot; is incorrectly placed as the default value instead of the label._x000a_Option E._x000a__x000a_python_x000a_dbutils.widgets.parameter(&quot;department&quot;, &quot;all&quot;, &quot;Department&quot;)_x000a_current_department = dbutils.widgets.get(&quot;department&quot;)_x000a_dbutils.widgets.parameter() is not a valid method in Databricks._x000a_ "/>
    <m/>
    <m/>
    <m/>
    <n v="1"/>
    <m/>
    <m/>
    <m/>
    <m/>
  </r>
  <r>
    <x v="0"/>
    <n v="1376"/>
    <x v="6"/>
    <n v="28"/>
    <s v="General"/>
    <s v="Conceptual"/>
    <s v="Easy"/>
    <s v="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
    <s v="TBLPROPERTIES (“Table contains PII“)"/>
    <s v="DESCRIPTION {“Table contains PII“}"/>
    <s v="COMMENT “Table contains PII“"/>
    <s v="OPTIONS (“Table contains PII“)"/>
    <s v="TEXT “Table contains PII“"/>
    <m/>
    <s v="C"/>
    <s v="Correct_x000a_Option C. COMMENT &quot;Table contains PII&quot;_x000a__x000a_Explanation:_x000a_In Databricks SQL, the correct way to add a description to a table is by using the COMMENT clause._x000a_This attaches metadata to the table definition, making the description visible when querying metadata (e.g., DESCRIBE TABLE customers)._x000a_This is the proper and minimal syntax for documenting that the table contains PII._x000a_Incorrect_x000a_Option A. TBLPROPERTIES (&quot;Table contains PII&quot;)_x000a__x000a_Incorrect because TBLPROPERTIES requires key-value pairs, not just a string._x000a_Example of valid usage: TBLPROPERTIES ('description' = 'Table contains PII')._x000a_As written, this syntax is invalid._x000a_Option B. DESCRIPTION {&quot;Table contains PII&quot;}_x000a__x000a_Incorrect because DESCRIPTION is not a valid SQL clause for table creation in Databricks._x000a_The correct keyword is COMMENT._x000a_Option D. OPTIONS (&quot;Table contains PII&quot;)_x000a__x000a_Incorrect because OPTIONS is used when defining external tables or specifying data source options (e.g., file paths, formats)._x000a_It is not used for adding descriptive metadata._x000a_Option E. TEXT &quot;Table contains PII&quot;_x000a__x000a_Incorrect because TEXT is not a valid SQL clause in Databricks table DDL._x000a_This syntax is invalid."/>
    <m/>
    <m/>
    <m/>
    <m/>
    <m/>
    <m/>
    <m/>
    <m/>
  </r>
  <r>
    <x v="0"/>
    <n v="1377"/>
    <x v="6"/>
    <n v="29"/>
    <s v="General"/>
    <s v="Conceptual"/>
    <s v="Easy"/>
    <s v="A job runs daily at 12:00 AM and loads data into the orders table. The job usually takes 30 minutes to complete. On a particular day, it ran for 5 minutes and then failed, leaving the table in an inconsistent state."/>
    <s v="RESTORE orders TO TIMESTAMP AS OF current_timestamp() - 8 HOURS;"/>
    <s v="ROLLBACK TABLE orders TO TIMESTAMP AS OF current_timestamp() - INTERVAL 8 HOURS;"/>
    <s v="RESTORE TABLE orders TO TIMESTAMP AS OF current_timestamp() - INTERVAL ‘8‘ HOURS;"/>
    <s v="ROLLBACK orders TO TIMESTAMP current_timestamp() - 8 HOURS;"/>
    <s v="RESTORE TABLE orders TO TIMESTAMP current_timestamp() - INTERVAL 8 HOURS;"/>
    <m/>
    <s v="C"/>
    <s v="Correct_x000a_Option C. RESTORE TABLE orders TO TIMESTAMP AS OF current_timestamp() - INTERVAL '8' HOURS;_x000a__x000a_This is the valid Delta Lake SQL command._x000a_RESTORE TABLE is the correct keyword, not ROLLBACK._x000a_The AS OF clause is required, and the proper syntax for time arithmetic is INTERVAL '8' HOURS._x000a_This restores the table to its consistent state before the failed job at 12:05 AM._x000a_Incorrect_x000a_Option A. RESTORE orders TO TIMESTAMP AS OF current_timestamp() - 8 HOURS;_x000a__x000a_Invalid syntax. Must use RESTORE TABLE and INTERVAL._x000a_Option B. ROLLBACK TABLE orders TO TIMESTAMP AS OF current_timestamp() - INTERVAL 8 HOURS;_x000a__x000a_Delta Lake does not support ROLLBACK TABLE. Only RESTORE TABLE is valid._x000a_Option D. ROLLBACK orders TO TIMESTAMP current_timestamp() - 8 HOURS;_x000a__x000a_Both the keyword ROLLBACK and the time syntax are invalid._x000a_Option E. RESTORE TABLE orders TO TIMESTAMP current_timestamp() - INTERVAL 8 HOURS;_x000a__x000a_Missing the required AS OF clause, making it invalid."/>
    <m/>
    <m/>
    <m/>
    <n v="1"/>
    <m/>
    <m/>
    <m/>
    <m/>
  </r>
  <r>
    <x v="0"/>
    <n v="1378"/>
    <x v="6"/>
    <n v="30"/>
    <s v="General"/>
    <s v="Conceptual"/>
    <s v="Easy"/>
    <s v="A data engineer needs to upgrade a table to a Unity Catalog managed table. Which of the following queries can be used by the data engineer to complete this task?"/>
    <s v="CREATE TABLE .. AS SELECT * FROM hive_metastore..;"/>
    <s v="MIGRATE TABLE TO .. AS SELECT * FROM hive_metastore..;"/>
    <s v="CREATE TABLE .. AS SELECT * FROM .;"/>
    <s v="ALTER TABLE hive_metastore.. AS ..;"/>
    <s v="UPGRADE TABLE TO .. AS SELECT * FROM hive_metastore..;"/>
    <m/>
    <s v="A"/>
    <s v="Correct_x000a_option A._x000a__x000a_sql_x000a_CREATE TABLE &lt;catalog&gt;.&lt;new_schema&gt;.&lt;new_table&gt; _x000a_AS SELECT * FROM hive_metastore.&lt;old_schema&gt;.&lt;old_table&gt;;_x000a_This is the valid syntax to upgrade a Hive Metastore table into Unity Catalog._x000a_You explicitly create the new table inside Unity Catalog and copy data from the Hive Metastore source._x000a_Ensures the new table is Unity Catalog–managed._x000a_ Incorrect_x000a_Option B._x000a__x000a_sql_x000a_MIGRATE TABLE TO &lt;catalog&gt;.&lt;new_schema&gt;.&lt;new_table&gt; _x000a_AS SELECT * FROM hive_metastore.&lt;old_schema&gt;.&lt;old_table&gt;;_x000a_MIGRATE TABLE is not a valid Databricks SQL command._x000a_Option C._x000a__x000a_sql_x000a_CREATE TABLE &lt;catalog&gt;.&lt;new_schema&gt;.&lt;new_table&gt; _x000a_AS SELECT * FROM &lt;old_schema&gt;.&lt;old_table&gt;;_x000a_Missing the hive_metastore qualifier, so it doesn’t correctly reference the legacy source._x000a_Option D._x000a__x000a_sql_x000a_ALTER TABLE hive_metastore.&lt;old_schema&gt;.&lt;old_table&gt; _x000a_AS &lt;catalog&gt;.&lt;new_schema&gt;.&lt;new_table&gt;;_x000a_ALTER TABLE … AS is invalid syntax in Databricks SQL._x000a_Option E._x000a__x000a_sql_x000a_UPGRADE TABLE TO &lt;catalog&gt;.&lt;new_schema&gt;.&lt;new_table&gt; _x000a_AS SELECT * FROM hive_metastore.&lt;old_schema&gt;.&lt;old_table&gt;;_x000a_UPGRADE TABLE is not recognized in Databricks SQL."/>
    <m/>
    <m/>
    <m/>
    <n v="1"/>
    <m/>
    <m/>
    <m/>
    <m/>
  </r>
  <r>
    <x v="0"/>
    <n v="1379"/>
    <x v="6"/>
    <n v="31"/>
    <s v="General"/>
    <s v="Conceptual"/>
    <s v="Easy"/>
    <s v="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
    <s v="COPY INTO"/>
    <s v="Databricks SQL"/>
    <s v="MERGE"/>
    <s v="Delta Lake"/>
    <s v="Auto Loader"/>
    <m/>
    <s v="E"/>
    <s v="Let‘s try to find out the correct answer for this question. First, we will try to understand few concepts._x000a_When to use COPY INTO and when to use Auto Loader?_x000a_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_x000a_If your data schema is going to evolve frequently, Auto Loader provides better primitives around schema inference and evolution._x000a_Loading a subset of re-uploaded files can be a bit easier to manage with COPY INTO. With Auto Loader, its harder to reprocess a select subset of files. However, you can use COPY INTO to reload the subset of files while an Auto Loader stream is running simultaneously._x000a_The options like MERGE, Databricks SQL and Delta Lake are irrelevant and they are incorrect. So, the correct answer is Auto Loader._x000a_Learn More: COPY INTO vs Auto Loader, Schema Inference | Auto Loader"/>
    <m/>
    <m/>
    <m/>
    <m/>
    <m/>
    <m/>
    <m/>
    <m/>
  </r>
  <r>
    <x v="0"/>
    <n v="1380"/>
    <x v="6"/>
    <n v="32"/>
    <s v="General"/>
    <s v="Conceptual"/>
    <s v="Easy"/>
    <s v="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
    <s v="dbutils.widgets.list(“country“, “India“, [“India“, “Canada“, “England“, “USA“]) current_country = dbutils.widgets.get(“country“)"/>
    <s v="dbutils.widgets.dropdown(“country“, “India“, [“India“, “Canada“, “England“, “USA“]) current_country = dbutils.widgets.get(“country“)"/>
    <s v="dbutils.widgets.options(“country“, “India“, [“India“, “Canada“, “England“, “USA“]) current_country = dbutils.widgets.get(“country“)"/>
    <s v="dbutils.widgets.select(“country“, “India“, [“India“, “Canada“, “England“, “USA“]) current_country = dbutils.widgets.get(“country“)"/>
    <s v="dbutils.widgets.checkbox(“country“, “India“, [“India“, “Canada“, “England“, “USA“]) current_country = dbutils.widgets.get(“country“)"/>
    <m/>
    <s v="C"/>
    <s v="There are 4 types of widgets in Databricks which are given below:_x000a_text: Input a value in a text box._x000a_dropdown: Select a value from a list of provided values._x000a_combobox: Combination of text and dropdown. Select a value from a provided list or input one in the text box._x000a_multiselect: Select one or more values from a list of provided values._x000a_The first argument for all widget types is the widget name. The second argument is the default value. The third argument represents the label which is displayed for that widget. Widgets only accept string values._x000a_You can access the current value of the widget with the call: dbutils.widgets.get(“country“)_x000a_So, the correct answer is:_x000a_dbutils.widgets.dropdown(“country“, “India“, [“India“, “Canada“, “England“, “USA“])_x000a_current_country = dbutils.widgets.get(“country“)"/>
    <m/>
    <m/>
    <m/>
    <n v="1"/>
    <m/>
    <m/>
    <m/>
    <m/>
  </r>
  <r>
    <x v="0"/>
    <n v="1381"/>
    <x v="6"/>
    <n v="33"/>
    <s v="General"/>
    <s v="Conceptual"/>
    <s v="Easy"/>
    <s v="A data engineer has to manually delete all the files and directory associated with sales table present  in the location “/databricks-datasets/retail-org/sales“ Which of the following commands can be used to accomplish this task?"/>
    <s v="dbutils.fs.remove(“/databricks-datasets/retail-org/sales“,True)"/>
    <s v="dbutils.fs.delete(“/databricks-datasets/retail-org/sales“,True)"/>
    <s v="dbutils.fs.drop(“/databricks-datasets/retail-org/sales“,True)"/>
    <s v="dbutils.fs.rm(“/databricks-datasets/retail-org/sales“,True)"/>
    <s v="dbutils.fs.mv(“/databricks-datasets/retail-org/sales“,True)"/>
    <m/>
    <s v="D"/>
    <s v="rm command: It removes a file or a directory._x000a_To display help for this command, run dbutils.fs.help(“rm“)_x000a_For example: dbutils.fs.rm(“/mnt/my-folder/“, True)_x000a_@param dir – FileSystem URI for a single file or a directory_x000a_@param recurse – If true, all files and directories will be recursively deleted_x000a_@return true – If the file or directory was present and is now deleted_x000a_So, the correct answer is dbutils.fs.rm(“/databricks-datasets/retail-org/sales“,True)"/>
    <m/>
    <m/>
    <m/>
    <n v="1"/>
    <m/>
    <m/>
    <m/>
    <m/>
  </r>
  <r>
    <x v="0"/>
    <n v="1382"/>
    <x v="6"/>
    <n v="34"/>
    <s v="General"/>
    <s v="Conceptual"/>
    <s v="Easy"/>
    <s v="Which of the following entities should the data engineer go for?"/>
    <s v="Global Temporary View"/>
    <s v="Temporary View"/>
    <s v="Table"/>
    <s v="View"/>
    <s v="Function"/>
    <m/>
    <s v="C"/>
    <s v="Data Engineer should use a Table entity if he wants the data to persist between multiple sessions and also the data should get stored in a physical location."/>
    <m/>
    <m/>
    <m/>
    <m/>
    <m/>
    <m/>
    <m/>
    <m/>
  </r>
  <r>
    <x v="0"/>
    <n v="1383"/>
    <x v="6"/>
    <n v="35"/>
    <s v="General"/>
    <s v="Conceptual"/>
    <s v="Easy"/>
    <s v="What is the format in which data files are stored for a table in the Delta Lake?"/>
    <s v="JSON"/>
    <s v="Parquet"/>
    <s v="ORC"/>
    <s v="Text"/>
    <s v="Avro"/>
    <m/>
    <s v="B"/>
    <s v="Data files are stored in the Parquet format for a table in the Delta Lake. So, the correct answer is Parquet"/>
    <m/>
    <m/>
    <m/>
    <m/>
    <m/>
    <m/>
    <m/>
    <m/>
  </r>
  <r>
    <x v="0"/>
    <n v="1384"/>
    <x v="6"/>
    <n v="36"/>
    <s v="General"/>
    <s v="Conceptual"/>
    <s v="Easy"/>
    <s v="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
    <s v="OPTIMIZE TABLE orders WHERE order_date &gt;= ‘2022-01-01‘"/>
    <s v="OPTIMIZE orders FILTER BY order_date &gt;= ‘2022-01-01‘"/>
    <s v="OPTIMIZE TABLE orders WHEN order_date &gt;= ‘2022-01-01‘"/>
    <s v="OPTIMIZE orders WHERE order_date &gt;= ‘2022-01-01‘"/>
    <s v="OPTIMIZE TABLE orders USING order_date &gt;= ‘2022-01-01‘"/>
    <m/>
    <s v="D"/>
    <s v="Let‘s try to understand the functionality of OPTIMIZE in Databricks._x000a_OPTIMIZE (Delta Lake on Databricks)_x000a_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_x000a_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_x000a_Syntax_x000a_OPTIMIZE table_name [WHERE predicate]_x000a_[ZORDER BY (col_name1 [, …] ) ]_x000a_Parameters_x000a_table_name_x000a_Identifies an existing Delta table. The name must not include a temporal specification._x000a_WHERE_x000a_Optimize the subset of rows matching the given partition predicate. Only filters involving partition key attributes are supported._x000a_ZORDER BY_x000a_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_x000a_Examples_x000a_OPTIMIZE events WHERE date &gt;= ‘2017-01-01‘_x000a_So, the correct answer is OPTIMIZE orders WHERE order_date &gt;= ‘2022-01-01‘"/>
    <m/>
    <m/>
    <m/>
    <m/>
    <n v="1"/>
    <m/>
    <m/>
    <m/>
  </r>
  <r>
    <x v="0"/>
    <n v="1385"/>
    <x v="6"/>
    <n v="37"/>
    <s v="General"/>
    <s v="Conceptual"/>
    <s v="Easy"/>
    <s v="Which of the following commands will help you to find count of null values in the column alternate_email of an existing Delta table customers?"/>
    <s v="SELECT count_if(alternate_email IS NULL) AS missing_alternate_emails FROM customers"/>
    <s v="SELECT count_when(alternate_email IS NULL) AS missing_alternate_emails FROM customers"/>
    <s v="SELECT count_where(alternate_email IS NULL) AS missing_alternate_emails FROM customers"/>
    <s v="SELECT count_only(alternate_email IS NULL) AS missing_alternate_emails FROM customers"/>
    <s v="SELECT count(alternate_email IS NULL) AS missing_alternate_emails FROM customers"/>
    <m/>
    <s v="A"/>
    <s v="To count null values in any column, use the count_if function in Databricks SQL._x000a_Learn More: COUNT_IF() | Databricks SQL"/>
    <m/>
    <m/>
    <m/>
    <n v="1"/>
    <m/>
    <m/>
    <m/>
    <m/>
  </r>
  <r>
    <x v="0"/>
    <n v="1386"/>
    <x v="6"/>
    <n v="38"/>
    <s v="General"/>
    <s v="Conceptual"/>
    <s v="Easy"/>
    <s v="You need to create a table users in Databricks by extracting data from a table in an external SQLite database ecommerce. Which of the following queries you will use to create this table?"/>
    <s v="CREATE TABLE users USING SQLite OPTIONS ( url = “jdbc:sqlite:/${da.username}_ecommerce.db“, dbtable = “users“ )"/>
    <s v="CREATE TABLE users USING ODBC OPTIONS ( url = “jdbc:sqlite:/${da.username}_ecommerce.db“, dbtable = “users“ )"/>
    <s v="CREATE TABLE users USING JDBC OPTIONS ( url = “jdbc:sqlite:/${da.username}_ecommerce.db“, dbtable = “users“ )"/>
    <s v="CREATE TABLE users USING SQL OPTIONS ( url = “jdbc:sqlite:/${da.username}_ecommerce.db“, dbtable = “users“ )"/>
    <s v="CREATE TABLE users USING DATABASE OPTIONS ( url = “jdbc:sqlite:/${da.username}_ecommerce.db“, dbtable = “users“ )"/>
    <m/>
    <s v="C"/>
    <s v="SQL databases are an extremely common data source and Databricks has a standard JDBC driver for connecting with many flavors of SQL._x000a_The general syntax for creating these connections is:_x000a_CREATE TABLE_x000a_USING JDBC_x000a_OPTIONS (_x000a_url = “jdbc:{databaseServerType}://{jdbcHostname}:{jdbcPort}“,_x000a_dbtable = “{jdbcDatabase}.table“,_x000a_user = “{jdbcUsername}“,_x000a_password = “{jdbcPassword}“_x000a_)_x000a_NOTE: SQLite uses a local file to store a database, and doesn‘t require a port, username, or password._x000a_If you will look at the table metadata, it will show that you captured the schema information from an external system. Storage properties (which would include the username and password associated with the connection) are automatically redacted._x000a_While the table is listed as MANAGED, listing the contents of the specified location confirms that no data is being persisted locally."/>
    <m/>
    <m/>
    <m/>
    <m/>
    <m/>
    <m/>
    <m/>
    <m/>
  </r>
  <r>
    <x v="0"/>
    <n v="1387"/>
    <x v="6"/>
    <n v="39"/>
    <s v="General"/>
    <s v="Conceptual"/>
    <s v="Easy"/>
    <s v="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
    <s v="UNION"/>
    <s v="INNER JOIN"/>
    <s v="LEFT OUTER JOIN"/>
    <s v="MERGE"/>
    <s v="FULL OUTER JOIN"/>
    <m/>
    <s v="E"/>
    <s v="UNION [ALL | DISTINCT] : It returns the result of subquery1 plus the rows of subquery2. If ALL is specified duplicate rows are preserved. If DISTINCT is specified the result does not contain any duplicate rows. This is the default._x000a_INNER JOIN : It returns the rows that have matching values in both table references. The default join-type._x000a_LEFT OUTER JOIN : It returns all values from the left table reference and the matched values from the right table reference, or appends NULL if there is no match._x000a_MERGE : It merges a set of updates, insertions, and deletions based on a source table into a target Delta table._x000a_FULL OUTER JOIN : It returns all values from both relations, appending NULL values on the side that does not have a match._x000a_So, the correct answer is FULL OUTER JOIN"/>
    <m/>
    <m/>
    <m/>
    <m/>
    <m/>
    <m/>
    <m/>
    <m/>
  </r>
  <r>
    <x v="0"/>
    <n v="1388"/>
    <x v="6"/>
    <n v="40"/>
    <s v="General"/>
    <s v="Conceptual"/>
    <s v="Easy"/>
    <s v="Which of the following code snippets you can use to print the numbers from 1 to 10 in Python?"/>
    <s v="for i in range(1 to 10): print(i)"/>
    <s v="for i &lt;- 1 to 10: print(i)"/>
    <s v="for i in range(10): print(i)"/>
    <s v="for i in range(1, 11): print(i)"/>
    <s v="for(int i = 1; i &lt;= 10; i++) print(i)"/>
    <m/>
    <s v="D"/>
    <s v="Let‘s try to understand the range() function in Python._x000a_Definition_x000a_The range() function returns a sequence of numbers, starting from 0 by default, and increments by 1 (by default), and stops before a specified number._x000a_Syntax_x000a_range(start, stop, step)_x000a_Parameter Values_x000a_start – It‘s optional. An integer number specifying at which position to start. Default is 0._x000a_stop – It‘s required. An integer number specifying at which position to stop (not included)._x000a_step – It‘s optional. An integer number specifying the incrementation. Default is 1._x000a_So, the correct answer is:_x000a_for i in range(1, 11):_x000a_print(i)"/>
    <m/>
    <m/>
    <m/>
    <n v="1"/>
    <m/>
    <m/>
    <m/>
    <m/>
  </r>
  <r>
    <x v="0"/>
    <n v="1389"/>
    <x v="6"/>
    <n v="41"/>
    <s v="General"/>
    <s v="Conceptual"/>
    <s v="Easy"/>
    <s v="Which of the following SQL keywords can be used to delete all the rows from an existing Delta table in an efficient way without deleting the table itself?"/>
    <s v="DROP"/>
    <s v="UPDATE"/>
    <s v="DELETE"/>
    <s v="ALTER TRUNCATE"/>
    <m/>
    <m/>
    <s v="E"/>
    <s v="TRUNCATE TABLE (Databricks SQL)_x000a_Removes all the rows from a table or partition(s). The table must not be a view or an external or temporary table. In order to truncate multiple partitions at once, specify the partitions in_x000a_partition_spec. If no partition_spec is specified, removes all partitions in the table._x000a_If the table is cached, the command clears cached data of the table and all its dependents that refer to it. The cache will be lazily filled when the table or the dependents are accessed the next time._x000a_Syntax: TRUNCATE TABLE table_name [ PARTITION clause ]_x000a_Parameters:_x000a_table_name_x000a_The name of the table to truncate. The name must not include a temporal specification._x000a_PARTITION clause_x000a_Optional specification of a partition._x000a_DELETE can be used to delete all the rows in a table but it‘s not as efficient as compared to TRUNCATE_x000a_Learn More: Truncate in Databricks SQL"/>
    <m/>
    <m/>
    <m/>
    <m/>
    <m/>
    <m/>
    <m/>
    <m/>
  </r>
  <r>
    <x v="0"/>
    <n v="1390"/>
    <x v="6"/>
    <n v="42"/>
    <s v="General"/>
    <s v="Conceptual"/>
    <s v="Easy"/>
    <s v="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
    <s v="assert that row_count &gt; 0, else “Row count should be more than 0“"/>
    <s v="assert(row_count &gt; 0, “Row count should be more than 0“)"/>
    <s v="assert row_count &gt; 0, “Row count should be more than 0“"/>
    <s v="assert if row_count &gt; 0, else “Row count should be more than 0“"/>
    <s v="assert(if row_count &gt; 0, else “Row count should be more than 0“)"/>
    <m/>
    <s v="C"/>
    <s v="Unit testing for notebooks_x000a_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_x000a_The assert keyword is used while unit testing or debugging code. The assert keyword lets you test if a condition in your code returns True, if not, the program will raise an AssertionError._x000a_You can write a message to be written if the code returns False, check the example below._x000a_x = “hello“_x000a_#if condition returns False, AssertionError is raised:_x000a_assert x == “goodbye“, “x should be ‘hello‘“_x000a_So, the correct answer of this question is:_x000a_assert row_count &gt; 0, “Row count should be more than 0“"/>
    <m/>
    <m/>
    <m/>
    <n v="1"/>
    <m/>
    <m/>
    <m/>
    <m/>
  </r>
  <r>
    <x v="0"/>
    <n v="1391"/>
    <x v="6"/>
    <n v="43"/>
    <s v="General"/>
    <s v="Conceptual"/>
    <s v="Easy"/>
    <s v="A data engineer needs to drop retail database along with all the tables inside it provided that all tables inside the database are managed tables. Which of the following commands can be used by data engineer to accomplish this task?"/>
    <s v="DROP DATABASE retail RESTRICT"/>
    <s v="DROP DATABASE retail CASCADE"/>
    <s v="DROP DATABASE retail"/>
    <s v="DROP DATABASE retail INCLUDE ALL"/>
    <s v="DROP DATABASE retail FORCE"/>
    <m/>
    <s v="B"/>
    <s v="DROP SCHEMA (Databricks SQL)_x000a_Drops a schema and deletes the directory associated with the schema from the file system. An exception is thrown if the schema does not exist in the system. While usage of SCHEMA and DATABASE is interchangeable, SCHEMA is preferred._x000a_Syntax_x000a_DROP SCHEMA [ IF EXISTS ] schema_name [ RESTRICT | CASCADE ]_x000a_Parameters_x000a_IF EXISTS_x000a_If specified, no exception is thrown when the schema does not exist._x000a_schema_name_x000a_The name of an existing schemas in the system. If the name does not exist, an exception is thrown._x000a_RESTRICT_x000a_If specified, will restrict dropping a non-empty schema and is enabled by default._x000a_CASCADE_x000a_If specified, will drop all the associated tables and functions._x000a_So, the correct answer is DROP DATABASE retail CASCADE"/>
    <m/>
    <m/>
    <m/>
    <m/>
    <m/>
    <m/>
    <m/>
    <m/>
  </r>
  <r>
    <x v="0"/>
    <n v="1392"/>
    <x v="6"/>
    <n v="44"/>
    <s v="General"/>
    <s v="Conceptual"/>
    <s v="Easy"/>
    <s v="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
    <s v="SELECT order_id, date_format(order_timestamp, ‘DD-MM-YYYY‘) as order_date FROM orders;"/>
    <s v="SELECT order_id, date_format(order_timestamp, ‘MM-DD-YYYY‘) as order_date FROM orders;"/>
    <s v="SELECT order_id, date_format(order_timestamp, ‘dd-MM-YYYY‘) as order_date FROM orders;"/>
    <s v="SELECT order_id, date_format(order_timestamp, ‘MM-dd-YYYY‘) as order_date FROM orders;"/>
    <s v="SELECT order_id, date_fmt(order_timestamp, ‘dd-MM-YYYY‘) as order_date FROM orders;"/>
    <m/>
    <s v="C"/>
    <s v="date_format()_x000a_It converts a timestamp to a string in the format fmt._x000a_Syntax_x000a_date_format(expr, fmt)_x000a_Arguments_x000a_expr: A DATE, TIMESTAMP, or a STRING in a valid datetime format._x000a_fmt: A STRING expression describing the desired format._x000a_Returns_x000a_A STRING._x000a_See Datetime patterns for details on valid formats._x000a_Examples_x000a_&gt; SELECT date_format(‘2016-04-08‘, ‘y‘);_x000a_2016_x000a_Given below are some of the symbols along with their meanings_x000a_d: day-of-month_x000a_M: month-of-year_x000a_y: year_x000a_D: day-of-year_x000a_So, the correct answer is:_x000a_SELECT order_id, date_format(order_timestamp, ‘dd-MM-YYYY‘) as order_date FROM orders; _x000a_Learn More: date_format function"/>
    <m/>
    <m/>
    <m/>
    <m/>
    <m/>
    <m/>
    <m/>
    <m/>
  </r>
  <r>
    <x v="0"/>
    <n v="1393"/>
    <x v="6"/>
    <n v="45"/>
    <s v="General"/>
    <s v="Conceptual"/>
    <s v="Easy"/>
    <s v="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
    <s v="DEEP CLONE"/>
    <s v="SHALLOW CLONE"/>
    <s v="DEEP COPY"/>
    <s v="SHALLOW COPY"/>
    <s v="None of the above"/>
    <m/>
    <s v="B"/>
    <s v="Let‘s try to understand what are the different clone types we have in Databricks._x000a_Clone Types_x000a_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_x000a_A shallow clone is a clone that does not copy the data files to the clone target. The table metadata is equivalent to the source. These clones are cheaper to create._x000a_Any changes made to either deep or shallow clones affect only the clones themselves and not the source table._x000a_The metadata that is cloned includes: schema, partitioning information, invariants, nullability. For deep clones only, stream and COPY INTO metadata are also cloned. Metadata not cloned are the table description and user-defined commit metadata._x000a_So, the correct answer is SHALLOW CLONE_x000a_Learn More: Clone a table | Databricks"/>
    <m/>
    <m/>
    <m/>
    <m/>
    <n v="1"/>
    <m/>
    <m/>
    <m/>
  </r>
  <r>
    <x v="0"/>
    <n v="1394"/>
    <x v="6"/>
    <n v="46"/>
    <s v="General"/>
    <s v="Conceptual"/>
    <s v="Easy"/>
    <s v="Which configuration property in Databricks you need to set before deleting files for a Delta table which are less than 7 days old?"/>
    <s v="SET spark.databricks.delta.retentionDurationCheck.enabled = true"/>
    <s v="SET spark.databricks.delta.retentionDurationFlag.enabled = false"/>
    <s v="SET spark.databricks.delta.retentionDurationConstraint.enabled = true"/>
    <s v="SET spark.databricks.delta.retentionDurationCheck.enabled = false"/>
    <s v="SET spark.databricks.delta.retentionDurationFlag.enabled = true"/>
    <m/>
    <s v="D"/>
    <s v="By default, VACUUM will prevent you from deleting files less than 7 days old, just to ensure that no long-running operations are still referencing any of the files to be deleted._x000a_If you are certain that there are no operations being performed on this table, such as insert/upsert/delete/optimize, then you can turn off this check by setting:_x000a_SET spark.databricks.delta.retentionDurationCheck.enabled = false_x000a_Learn More: Safefy check for VACUUM command in Databricks"/>
    <m/>
    <m/>
    <m/>
    <n v="1"/>
    <m/>
    <m/>
    <m/>
    <m/>
  </r>
  <r>
    <x v="0"/>
    <n v="1395"/>
    <x v="6"/>
    <n v="47"/>
    <s v="General"/>
    <s v="Conceptual"/>
    <s v="Easy"/>
    <s v="Which of the following Structured Streaming queries is performing a hop from a Source location to a Bronze table?"/>
    <s v="( spark.read.load(rawSalesLocation) .writeStream .option(“checkpointLocation“, checkpointPath) .outputMode(“append“) .table(“uncleanedSales“) )"/>
    <s v="( spark.table(“sales“) .withColumn(“avgPrice“, col(“sales“) / col(“units“)) .writeStream .option(“checkpointLocation“, checkpointPath) .outputMode(“append“) .table(“cleanedSales“) )"/>
    <s v="( spark.table(“sales“) .groupBy(“store“) .agg(sum(“sales“)) .writeStream .option(“checkpointLocation“, checkpointPath) .outputMode(“complete“) .table(“aggregatedSales“) )"/>
    <s v="( spark.readStream.load(rawSalesLocation) .format(“cloudFiles“) .option(“cloudFiles.format“, sourceFormat) .option(“cloudFiles.schemaLocation“, checkpointPath) .writeStream .option(“checkpointLocation“, checkpointPath) .outputMode(“append“) .table(“uncleanedSales“) )"/>
    <s v="( spark.table(“sales“) .agg(sum(“sales“), sum(“units“)) .writeStream .option(“checkpointLocation“, checkpointPath) .outputMode(“complete“) .table(“aggregatedSales“) )"/>
    <m/>
    <s v="D"/>
    <s v="Let‘s try to understand the answer of this question by looking at the concept of Bronze tables._x000a_Bronze tables contain raw data ingested from various sources like JSON files, RDBMS data, IoT data, etc. So, the correct answer is:_x000a_(_x000a_spark.readStream.load(rawSalesLocation)_x000a_.format(“cloudFiles“)_x000a_.option(“cloudFiles.format“, sourceFormat)_x000a_.option(“cloudFiles.schemaLocation“, checkpointPath)_x000a_.writeStream_x000a_.option(“checkpointLocation“, checkpointPath)_x000a_.outputMode(“append“)_x000a_.table(“uncleanedSales“)_x000a_)_x000a_In this scenario, we are basically reading a stream of data from rawSalesLocation by passing different parameters like format, schemaLocation, checkpointLocation and then finally writing the data to the uncleanedSales table in append mode."/>
    <m/>
    <m/>
    <m/>
    <m/>
    <n v="1"/>
    <m/>
    <m/>
    <m/>
  </r>
  <r>
    <x v="0"/>
    <n v="1396"/>
    <x v="6"/>
    <n v="48"/>
    <s v="General"/>
    <s v="Conceptual"/>
    <s v="Easy"/>
    <s v="Which of the following data workloads will utilize a Silver table as its destination?"/>
    <s v="A job that aggregates cleaned data to create standard summary statistics"/>
    <s v="A job that ingests raw data from a streaming source into the Lakehouse"/>
    <s v="A job that checks the performance metrics of a machine learning application"/>
    <s v="A job that enriches data by joining it with a static lookup table to add new columns"/>
    <s v="A job that queries aggregated data that already feeds into a dashboard"/>
    <m/>
    <s v="D"/>
    <s v="Silver tables provide a more refined view of our data. We can join fields from various bronze tables to enrich streaming records, or update account statuses based on recent activity._x000a_So, the correct answer is: “A job that enriches data by joining it with a static lookup table to add new columns“"/>
    <m/>
    <m/>
    <m/>
    <m/>
    <m/>
    <m/>
    <m/>
    <m/>
  </r>
  <r>
    <x v="0"/>
    <n v="1397"/>
    <x v="6"/>
    <n v="49"/>
    <s v="General"/>
    <s v="Conceptual"/>
    <s v="Easy"/>
    <s v="What is the default output mode for a Structured Streaming Query in Spark provided that the target table is fault-tolerant and existing rows are never going to change?"/>
    <s v="Merge"/>
    <s v="Update"/>
    <s v="Complete"/>
    <s v="Append"/>
    <s v="Overwrite"/>
    <m/>
    <s v="D"/>
    <s v="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m/>
    <m/>
    <m/>
    <m/>
    <m/>
    <m/>
    <m/>
    <m/>
  </r>
  <r>
    <x v="0"/>
    <n v="1398"/>
    <x v="6"/>
    <n v="50"/>
    <s v="General"/>
    <s v="Conceptual"/>
    <s v="Easy"/>
    <s v="Which of the following operations is not supported with streaming dataframe view? ( spark.readStream .table(“recordings_bronze“) .createOrReplaceTempView(“recordings_tmp_vw“) )"/>
    <s v="SELECT * FROM recordings_tmp_vw"/>
    <s v="SELECT device_id, count(device_id) AS total_recordings FROM recordings_tmp_vw GROUP BY device_id"/>
    <s v="SELECT *, current_timestamp() as receipt_time FROM recordings_tmp_vw"/>
    <s v="SELECT * FROM recordings_tmp_vw WHERE heartrate &gt; 0"/>
    <s v="SELECT * FROM recordings_tmp_vw ORDER BY device_id"/>
    <m/>
    <s v="E"/>
    <s v="Unsupported Operations_x000a_There are a few DataFrame/Dataset operations that are not supported with streaming DataFrames/Datasets. Some of them are given below._x000a_Multiple streaming aggregations (i.e. a chain of aggregations on a streaming DF) are not yet supported on streaming Datasets._x000a_Limit and take the first N rows are not supported on streaming Datasets._x000a_Distinct operations on streaming Datasets are not supported._x000a_Deduplication operation is not supported after aggregation on a streaming Datasets._x000a_Sorting operations are supported on streaming Datasets only after an aggregation and in Complete Output Mode._x000a_Few types of outer joins on streaming Datasets are not supported._x000a_Consider the model of the data as a constantly appending table. Sorting is one of a handful of operations that is either too complex or logically not possible to do when working with streaming data._x000a_So, the correct answer is: SELECT * FROM recordings_tmp_vw ORDER BY device_id"/>
    <m/>
    <m/>
    <m/>
    <n v="1"/>
    <n v="1"/>
    <m/>
    <m/>
    <m/>
  </r>
  <r>
    <x v="0"/>
    <n v="1399"/>
    <x v="6"/>
    <n v="51"/>
    <s v="General"/>
    <s v="Conceptual"/>
    <s v="Easy"/>
    <s v="A dataset has been defined using Delta Live Tables and includes an expectations clause: CONSTRAINT valid_timestamp EXPECT (timestamp &gt; ‘2022-01-01‘) ON VIOLATION DROP ROW What is the expected behavior when an incoming batch of data that violates this constraint gets processed?"/>
    <s v="Records that violate the expectation are added to the target dataset and recorded as invalid in the event log."/>
    <s v="Records that violate the expectation are dropped from the target dataset and loaded into a quarantine table."/>
    <s v="Records that violate the expectation are added to the target dataset and flagged as invalid in a field added to the target dataset."/>
    <s v="Records that violate the expectation cause the job to fail."/>
    <s v="Records that violate the expectation are dropped from the target dataset and recorded as invalid in the event log."/>
    <m/>
    <s v="E"/>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are dropped from the target dataset and recorded as invalid in the event log“."/>
    <m/>
    <m/>
    <m/>
    <m/>
    <m/>
    <m/>
    <m/>
    <m/>
  </r>
  <r>
    <x v="0"/>
    <n v="1400"/>
    <x v="6"/>
    <n v="52"/>
    <s v="General"/>
    <s v="Conceptual"/>
    <s v="Easy"/>
    <s v="Which of the following is not a feature of Auto Loader in the Databricks?"/>
    <s v="Auto Loader incrementally and efficiently processes new data files as they arrive in cloud storage. It can be used to process billions of files to migrate or backfill a table."/>
    <s v="Auto Loader can detect schema drifts, notify you when schema changes happen, and rescue data that would have been otherwise ignored or lost."/>
    <s v="Auto Loaders file notification mode can help reduce your cloud costs further by avoiding directory listing altogether. It can automatically set up file notification services on storage to make file discovery much cheaper."/>
    <s v="Auto Loader can resume from where it left off by information stored in the checkpoint location and continue to provide exactly-once guarantees when writing data into Delta Lake in case of any failures."/>
    <s v="Auto Loader provides a SQL warehouse which is a compute resource that lets you run SQL commands on data objects within Databricks SQL."/>
    <m/>
    <s v="E"/>
    <s v="Let‘s try to have a look at the different features of Auto Loader in the Databricks._x000a_Auto Loader incrementally and efficiently processes new data files as they arrive in cloud storage. It can be used to process billions of files to migrate or backfill a table._x000a_Auto Loader can detect schema drifts, notify you when schema changes happen, and rescue data that would have been otherwise ignored or lost._x000a_Auto Loaders file notification mode can help reduce your cloud costs further by avoiding directory listing altogether. It can automatically set up file notification services on storage to make file discovery much cheaper._x000a_Auto Loader can resume from where it left off by information stored in the checkpoint location and continue to provide exactly-once guarantees when writing data into Delta Lake in case of any failures._x000a_So, the correct answer is which is not a feature of Auto Loader is:_x000a_Auto Loader provides a SQL warehouse which is a compute resource that lets you run SQL commands on data objects within Databricks SQL._x000a_Learn More: Auto Loader | Databricks"/>
    <m/>
    <m/>
    <m/>
    <m/>
    <m/>
    <m/>
    <m/>
    <m/>
  </r>
  <r>
    <x v="0"/>
    <n v="1401"/>
    <x v="6"/>
    <n v="53"/>
    <s v="General"/>
    <s v="Conceptual"/>
    <s v="Easy"/>
    <s v="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
    <s v="They can increase the maximum bound of the SQL endpoints scaling range."/>
    <s v="They can increase the cluster size of the SQL endpoint."/>
    <s v="They can turn on the Serverless feature for the SQL endpoint and change the Spot Instance Policy to Reliability Optimized."/>
    <s v="They can turn on the Auto Stop feature for the SQL endpoint."/>
    <s v="They can turn on the Serverless feature for the SQL endpoint."/>
    <m/>
    <s v="E"/>
    <s v="Auto Stop_x000a_It determines whether the warehouse stops if its idle for the specified number of minutes. Idle SQL warehouses continue to accumulate DBU and cloud instance charges until they are stopped._x000a_You should use Auto Stop to automatically terminate the SQL warehouse when you are not using it._x000a_So, the correct answer is “They can turn on the Auto Stop feature for the SQL endpoint.“"/>
    <m/>
    <m/>
    <m/>
    <m/>
    <n v="1"/>
    <m/>
    <m/>
    <m/>
  </r>
  <r>
    <x v="0"/>
    <n v="1402"/>
    <x v="6"/>
    <n v="54"/>
    <s v="General"/>
    <s v="Conceptual"/>
    <s v="Easy"/>
    <s v="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
    <s v="A task in the job cannot take an input parameter.  So, create five notebooks with hardcoded department_name and setup five tasks with linear dependency in the job."/>
    <s v="Use a single notebook as task in the job and use dbutils.notebook.run() to run each notebook with input parameter department_name in a different cell."/>
    <s v="A parameter can only be passed at the job level, create five jobs, pass the parameter department_name to each job with no job dependency on each other."/>
    <s v="A task accepts key-value pair parameters, creates five tasks, pass department_name as parameter for each task with no dependency in the job as they can all run in parallel."/>
    <s v="A parameter can only be passed at the job level, create five jobs, pass department_name to each job with a linear job dependency."/>
    <m/>
    <s v="D"/>
    <s v="Let‘s try to understand the correct answer for this question._x000a_We can create a single job having five tasks using the same notebook and assign a different parameter called departement_name for each task._x000a_All tasks are added in a single job and can run in parallel as we know that there is no such dependency between each of the departments._x000a_So, the correct answer is: “A task accepts key-value pair parameters, creates five tasks, pass department_name as parameter for each task with no dependency in the job as they can all run in parallel.“"/>
    <m/>
    <m/>
    <m/>
    <m/>
    <m/>
    <m/>
    <m/>
    <m/>
  </r>
  <r>
    <x v="0"/>
    <n v="1403"/>
    <x v="6"/>
    <n v="55"/>
    <s v="General"/>
    <s v="Conceptual"/>
    <s v="Easy"/>
    <s v="A data engineering team has created a Databricks Job having multiple tasks to process the data. The team members want to be notified when the job either succeeds or fails. Which of the following approaches can be used to send emails to the team members?"/>
    <s v="They can develop a Python script to send the email every time a job succeeds or fails"/>
    <s v="They can add multiple email addresses in email notifications settings and select both the checkboxes Success and Failure."/>
    <s v="They can manually check the status of job every day depending on the time it takes to run"/>
    <s v="Only the job owner can be configured to be notified in case of job success or failure"/>
    <s v="There is no such way in Databricks Lakehouse Platform to notify users when a job completes"/>
    <m/>
    <s v="B"/>
    <s v="Notifications_x000a_To notify when runs of this job begin, complete, or fail, you can add one or more email addresses. To add email notifications:_x000a_1. Click Edit email notifications._x000a_2. Click Add._x000a_3. Enter an email address and click the check box for each notification type to send to that address._x000a_4. To enter another email address for notification, click Add._x000a_5. If you do not want to receive notifications for skipped job runs, click the check box._x000a_6. Click Confirm._x000a_So, the correct answer is: They can add multiple email addresses in email notifications settings and select both the checkboxes Success and Failure."/>
    <m/>
    <m/>
    <m/>
    <m/>
    <m/>
    <m/>
    <m/>
    <m/>
  </r>
  <r>
    <x v="0"/>
    <n v="1404"/>
    <x v="6"/>
    <n v="56"/>
    <s v="General"/>
    <s v="Conceptual"/>
    <s v="Easy"/>
    <s v="A data engineer is leaving the organization. He is currently the owner of the retail database. As an administrator, you need to assign the ownership of this database to a user called user@myteam.com Which of the following commands you can use to accomplish this task?"/>
    <s v="GRANT OWNERSHIP TO ′user@myteam.com′ ON retail"/>
    <s v="ALTER SCHEMA retail OWNER TO ′user@myteam.com′"/>
    <s v="CHANGE OWNER OF retail TO ′user@myteam.com′"/>
    <s v="ALTER DATABASE retail OWNER TO ‘user@myteam.com‘"/>
    <s v="TRANSFER OWNERSHIP OF retail TO ′user@myteam.com′"/>
    <m/>
    <s v="B"/>
    <s v="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_x000a_While usage of SCHEMA and DATABASE is interchangeable, SCHEMA is preferred._x000a_Syntax_x000a_ALTER { SCHEMA | DATABASE schema_name_x000a_SET DBPROPERTIES ( { key = val } [, …] ) |_x000a_OWNER TO principal_x000a_}_x000a_Parameters_x000a_schema_name_x000a_The name of the schema to be altered._x000a_DBPROPERTIES ( key = val [, ] )_x000a_The schema properties to be set or unset._x000a_OWNER TO principal_x000a_Transfers ownership of the schema to principal or any other user_x000a_The username should be specified in back ticks ′′_x000a_So, the correct answer is ALTER SCHEMA retail OWNER TO ′user@myteam.com′_x000a_Learn More: ALTER SCHEMA | Databricks SQL"/>
    <m/>
    <m/>
    <m/>
    <n v="1"/>
    <m/>
    <m/>
    <m/>
    <m/>
  </r>
  <r>
    <x v="0"/>
    <n v="1405"/>
    <x v="6"/>
    <n v="57"/>
    <s v="General"/>
    <s v="Conceptual"/>
    <s v="Easy"/>
    <s v="Which of the following statements is incorrect about the Unity Catalog in Databricks?"/>
    <s v="Unity Catalog offers a single place to administer data access policies that apply across all workspaces and personas."/>
    <s v="Unity Catalogs security model is based on standard ANSI SQL and allows administrators to grant permissions in their existing data lake using familiar syntax, at the level of catalogs, databases, tables, and views."/>
    <s v="Unity Catalog automatically captures user-level audit logs that record access to your data."/>
    <s v="External tables are the default way to create tables in Unity Catalog. These tables are stored in the root storage location you configure when you create a metastore. They use the Delta table format."/>
    <s v="Unity Catalog is used to capture runtime data lineage across queries in any language executed on a Databricks cluster or SQL warehouse. Lineage is captured down to the column level, and includes notebooks, workflows and dashboards related to the query."/>
    <m/>
    <s v="D"/>
    <s v="Let‘s try to understand some of the features which are there in Unity Catalog ._x000a_Define once, secure everywhere: Unity Catalog offers a single place to administer data access policies that apply across all workspaces and personas._x000a_Standards-compliant security model: Unity Catalogs security model is based on standard ANSI SQL and allows administrators to grant permissions in their existing data lake using familiar syntax, at the level of catalogs, databases (also called schemas), tables, and views._x000a_Built-in auditing: Unity Catalog automatically captures user-level audit logs that record access to your data._x000a_Data lineage: You can use Unity Catalog to capture runtime data lineage across queries in any language executed on a Databricks cluster or SQL warehouse. Lineage is captured down to the column level, and includes notebooks, workflows and dashboards related to the query._x000a_Managed tables: Managed tables are the default way to create tables in Unity Catalog. These tables are stored in the root storage location you configure when you create a metastore. They use the Delta table format._x000a_So, the incorrect statement is: “External tables are the default way to create tables in Unity Catalog. These tables are stored in the root storage location you configure when you create a metastore. They use the Delta table format.“"/>
    <m/>
    <m/>
    <m/>
    <m/>
    <m/>
    <m/>
    <m/>
    <m/>
  </r>
  <r>
    <x v="0"/>
    <n v="1406"/>
    <x v="6"/>
    <n v="58"/>
    <s v="General"/>
    <s v="Conceptual"/>
    <s v="Easy"/>
    <s v="As a data engineer, you have to create summary of a data set for reporting. You have scheduled a Databricks notebook as a job for this task but you noticed that it takes around 10 minutes to start the cluster. Which of the following options can be used to solve this problem?"/>
    <s v="Disable auto terminate option of cluster so that it‘s always up and running"/>
    <s v="Setup an additional job to run ahead of the actual job so that cluster is running before actual job starts up"/>
    <s v="Use the Job Cluster for creating a new cluster to reduce the start up time"/>
    <s v="Select a High Concurrent cluster instead of a Standard cluster to solve this issue"/>
    <s v="Use the Databricks cluster pools feature to reduce the start up time"/>
    <m/>
    <s v="E"/>
    <s v="Let‘s try to understand the correct answer of this question._x000a_Databricks pools reduce cluster start and auto-scaling times by maintaining a set of idle, ready-to-use instances._x000a_When a cluster is attached to a pool, cluster nodes are created using the pools idle instances. If the pool has no idle instances, the pool expands by allocating a new instance from the instance provider in order to accommodate the clusters request._x000a_When a cluster releases an instance, it returns to the pool and is free for another cluster to use. Only clusters attached to a pool can use that pools idle instances._x000a_You can specify a different pool for the driver node and worker nodes, or use the same pool for both._x000a_Learn More: Cluster Pools in Databricks"/>
    <m/>
    <m/>
    <m/>
    <m/>
    <m/>
    <m/>
    <m/>
    <s v="Cluster Pools"/>
  </r>
  <r>
    <x v="0"/>
    <n v="1407"/>
    <x v="6"/>
    <n v="59"/>
    <s v="General"/>
    <s v="Conceptual"/>
    <s v="Easy"/>
    <s v="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
    <s v="Use SHALLOW CLONE to copy data of the Delta table, run tests directly on main table and in case of any issues, restore data from clone table"/>
    <s v="Cloud object support automatic change-tracking and versioning"/>
    <s v="Use DEEP CLONE to copy data of the Delta table, run tests on clone table and once satisfied, delete the main table and then use clone table as main table"/>
    <s v="Use time travel feature of Delta table to rollback to its previous version in case of any issues"/>
    <s v="Cloud object storage automatically backups the data"/>
    <m/>
    <s v="D"/>
    <s v="Introducing Time Travel_x000a_Deltas time travel capabilities simplify building data pipelines for the above use cases. As you write into a Delta table or directory, every operation is automatically versioned. You can access the different versions of the data two different ways:_x000a_1. Using a timestamp_x000a_Scala syntax:_x000a_You can provide the timestamp or date string as an option to DataFrame reader:_x000a_val df = spark.read_x000a_.format(“delta“)_x000a_.option(“timestampAsOf“, “2019-01-01“)_x000a_.load(“/path/to/my/table“)_x000a_In Python:_x000a_df = spark.read \_x000a_.format(“delta“) \_x000a_.option(“timestampAsOf“, “2019-01-01“) \_x000a_.load(“/path/to/my/table“)_x000a_SQL syntax:_x000a_SELECT count(*) FROM my_table TIMESTAMP AS OF “2019-01-01“_x000a_SELECT count(*) FROM my_table TIMESTAMP AS OF date_sub(current_date(), 1)_x000a_SELECT count(*) FROM my_table TIMESTAMP AS OF “2019-01-01 01:30:00.000“_x000a_If the reader code is in a library that you dont have access to, and if you are passing input parameters to the library to read data, you can still travel back in time for a table by passing the timestamp in yyyyMMddHHmmssSSS format to the path:_x000a_val inputPath = “/path/to/my/table@20190101000000000“_x000a_val df = loadData(inputPath)_x000a_// Function in a library that you dont have access to_x000a_def loadData(inputPath : String) : DataFrame = {_x000a_spark.read_x000a_.format(“delta“)_x000a_.load(inputPath)_x000a_}_x000a_inputPath = “/path/to/my/table@20190101000000000“_x000a_df = loadData(inputPath)_x000a_# Function in a library that you dont have access to_x000a_def loadData(inputPath):_x000a_return spark.read \_x000a_.format(“delta“) \_x000a_.load(inputPath)_x000a_}_x000a_2. Using a version number_x000a_In Delta, every write has a version number, and you can use the version number to travel back in time as well._x000a_Scala syntax:_x000a_val df = spark.read_x000a_.format(“delta“)_x000a_.option(“versionAsOf“, “5238“)_x000a_.load(“/path/to/my/table“)_x000a_val df = spark.read_x000a_.format(“delta“)_x000a_.load(“/path/to/my/table@v5238“)_x000a_Python syntax:_x000a_df = spark.read \_x000a_.format(“delta“) \_x000a_.option(“versionAsOf“, “5238“) \_x000a_.load(“/path/to/my/table“)_x000a_df = spark.read \_x000a_.format(“delta“) \_x000a_.load(“/path/to/my/table@v5238“)_x000a_SQL syntax:_x000a_SELECT count(*) FROM my_table VERSION AS OF 5238_x000a_SELECT count(*) FROM my_table@v5238_x000a_SELECT count(*) FROM delta.′/path/to/my/table@v5238′_x000a_So, the correct answer is “Use time travel feature of Delta table to rollback to its previous version in case of any issues“"/>
    <m/>
    <m/>
    <m/>
    <m/>
    <m/>
    <m/>
    <m/>
    <m/>
  </r>
  <r>
    <x v="0"/>
    <n v="1408"/>
    <x v="6"/>
    <n v="60"/>
    <s v="General"/>
    <s v="Conceptual"/>
    <s v="Easy"/>
    <s v="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
    <s v="Configuration spark.databricks.delta.retentionDurationCheck.enabled was set to true"/>
    <s v="Data ingestion process to load data into orders Delta table got completed partially"/>
    <s v="No records were present in the source table, so no data got ingested into orders Delta table"/>
    <s v="Someone might have deleted all the records from orders Delta table"/>
    <s v="When VACUUM command is configured to retain 0 hours, it can delete any file that is not part of the version that is being vacuumed. This includes committed files, uncommitted files, and temporary files for concurrent transactions."/>
    <m/>
    <s v="E"/>
    <s v="Let‘s try to understand the answer of this question by looking at the scenario given below._x000a_Problem_x000a_You add data to a Delta table, but the data disappears without warning. There is no obvious error message._x000a_Cause_x000a_This can happen when spark.databricks.delta.retentionDurationCheck.enabled is set to false and VACUUM is configured to retain 0 hours._x000a_VACUUM RETAIN 0 HOURS_x000a_When VACUUM is configured to retain 0 hours, it can delete any file that is not part of the version that is being vacuumed. This includes committed files, uncommitted files, and temporary files for concurrent transactions._x000a_Consider the following example timeline:_x000a_VACUUM starts running at 01:17 UTC on version 100._x000a_A data file named sample-data-part-0-1-2.parquet is added to version 101 at 01:18 UTC._x000a_Version 101 is committed at 01:19 UTC._x000a_VACUUM is still running on version 101 and deletes sample-data-part-0-1-2.parquet at 01:20 UTC._x000a_VACUUM completes at 01:22 UTC._x000a_In this example, VACUMM executed on version 100 and deleted everything that was added to version 101._x000a_Solution_x000a_Databricks recommends that you set a VACUUM retention interval to be at least 7 days, because old snapshots and uncommitted files can still be in use by concurrent readers or writers to the table._x000a_Do not set spark.databricks.delta.retentionDurationCheck.enabled to false in your Spark config._x000a_If you do set spark.databricks.delta.retentionDurationCheck.enabled to false in your Spark config, you must choose an interval that is longer than the longest running concurrent transaction and the longest period that any stream can lag behind the most recent update to the table._x000a_The first four options are incorrect due to following reasons._x000a_1. It‘s pretty obvious and given in the question itself that VACUUM command with 0 days of retention interval ran fine, so that means the setting spark.databricks.delta.retentionDurationCheck.enabled was set to false already and it couldn‘t be true._x000a_2. Data ingestion process either succeeds or fails completely, there is no such thing as partial completion which can lead to 0 records in target table._x000a_3. Source table has more than 0 records, so data definitely got inserted into orders Delta table._x000a_4. Upon inspecting the history of orders Delta table, it was clear that no such action was performed except VACUUM and INSERT. So, it rules out the possibility of someone deleting the data from the table._x000a_So, the correct answer is “When VACUUM command is configured to retain 0 hours, it can delete any file that is not part of the version that is being vacuumed. This includes committed files, uncommitted files, and temporary files for concurrent transactions.“"/>
    <m/>
    <m/>
    <m/>
    <m/>
    <n v="1"/>
    <m/>
    <m/>
    <m/>
  </r>
  <r>
    <x v="0"/>
    <n v="1409"/>
    <x v="7"/>
    <n v="1"/>
    <s v="General"/>
    <s v="Conceptual"/>
    <s v="Easy"/>
    <s v="A data engineer wants to schedule a query in Databricks SQL so that it can run automatically every week to process the data which he needs to share with the data analysis team. Which of the following approaches can be used by the data engineer to accomplish this task?"/>
    <s v="He can schedule the query to refresh every week from the Workflows UI"/>
    <s v="He can schedule the query to refresh every week from the Dashboards page in Databricks SQL"/>
    <s v="He can schedule the query to run every week from the Queries page in Databricks SQL"/>
    <s v="He can schedule the query to refresh every week from the Alerts page in Databricks SQL"/>
    <s v="There is no way to automatically refresh a query in the Databricks SQL"/>
    <m/>
    <s v="C"/>
    <s v="Schedule a query_x000a__x000a_You can use scheduled query executions to keep your dashboards updated or to enable routine alerts. By default, your queries do not have a schedule._x000a__x000a_To set the schedule:_x000a_See Graphic_x000a_In the Query Editor, click Schedule to open a picker with schedule intervals._x000a_Set the schedule._x000a_The picker scrolls and allows you to choose: 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Click OK.Your query will run automatically._x000a_So, the correct answer is: “He can schedule the query to run every week from the Queries page in Databricks SQL”_x000a__x000a_Learn More: Schedule a query"/>
    <m/>
    <m/>
    <m/>
    <m/>
    <n v="1"/>
    <m/>
    <n v="1"/>
    <m/>
  </r>
  <r>
    <x v="0"/>
    <n v="1410"/>
    <x v="7"/>
    <n v="2"/>
    <s v="General"/>
    <s v="Conceptual"/>
    <s v="Easy"/>
    <s v="Which of the following SQL keywords can be used to change the schema or properties of an existing Delta table?"/>
    <s v="UPDATE"/>
    <s v="MODIFY"/>
    <s v="CHANGE"/>
    <s v="ALTER"/>
    <s v="REPAIR"/>
    <m/>
    <s v="D"/>
    <s v="ALTER TABLE_x000a_It alters the schema or properties of a table. If the table is cached, the command clears cached data of the table and all its dependents that refer to it. The cache will be lazily filled when the table or the dependents are accessed the next time._x000a_Required permissions_x000a_If you use Unity Catalog you must have MODIFY permission to:_x000a_ALTER COLUMN_x000a_ADD COLUMN_x000a_DROP COLUMN_x000a_SET TBLPROPERTIES_x000a_UNSET TBLPROPERTIES_x000a_All other operations require ownership of the table._x000a_Syntax:_x000a_ALTER TABLE table_name_x000a_{ RENAME TO clause |_x000a_ADD COLUMN clause |_x000a_ALTER COLUMN clause |_x000a_DROP COLUMN clause |_x000a_RENAME COLUMN clause |_x000a_ADD CONSTRAINT clause |_x000a_DROP CONSTRAINT clause |_x000a_ADD PARTITION clause |_x000a_DROP PARTITION clause |_x000a_RENAME PARTITION clause |_x000a_RECOVER PARTITIONS clause |_x000a_SET TBLPROPERTIES clause |_x000a_UNSET TBLPROPERTIES clause |_x000a_SET SERDE clause |_x000a_SET LOCATION clause |_x000a_SET OWNER TO clause }_x000a_So, the correct answer of this question is ALTER_x000a_Learn More: ALTER TABLE | Databricks"/>
    <m/>
    <m/>
    <m/>
    <m/>
    <m/>
    <m/>
    <m/>
    <m/>
  </r>
  <r>
    <x v="0"/>
    <n v="1411"/>
    <x v="7"/>
    <n v="3"/>
    <s v="General"/>
    <s v="Conceptual"/>
    <s v="Easy"/>
    <s v="A data engineer is working with the data of a client who deals into agricultural products. He wants to convert the quantity of food grains from Kg to Ton which are stored in each of the warehouses. The schema of the food_items table is given below._x000a__x000a_col_name       | data_type_x000a_warehouse_id  | int_x000a_food_grains   | array&lt;struct&lt;food_grain_stock_id:int, food_grain_name:string, food_grain_qty:double, food_grain_price:double&gt;&gt;_x000a__x000a_Which of the following higher order functions can be put in below query in order to get the data in the desired form? Assume that 1 ton = 1000 kgs._x000a__x000a_SELECT warehouse_id,_x000a_       food_grains,_x000a_       __ as food_grains_qty_in_tons_x000a_FROM food_items;"/>
    <s v="MAP(food_grains, f -&gt; f.food_grain_qty / 1000)"/>
    <s v="CONVERT(food_grains, f -&gt; f.food_grain_qty / 1000)"/>
    <s v="TRANSFORM(food_grains, f -&gt; f.food_grain_qty / 1000)"/>
    <s v="FLAT_MAP(food_grains, f -&gt; f.food_grain_qty / 1000)"/>
    <s v="REDUCE(food_grains, f -&gt; f.food_grain_qty / 1000)"/>
    <m/>
    <s v="C"/>
    <s v="Let’s try to understand the correct answer of this question by looking the Higher Order Function TRANFORM_x000a__x000a_Transform_x000a__x000a_Built-in functions are designed to operate on a single, simple data type within a cell; they cannot process array values. TRANSFORM can be particularly useful when you want to apply an existing function to each element in an array._x000a__x000a_Compute the qty from Kgs to Tons for each of the food grain items present in every warehouse._x000a__x000a_TRANSFORM(food_grains, f -&gt; f.food_grain_qty / 1000) as food_grains_qty_in_tons_x000a__x000a_In the statement above, for each value in the input array, we extract the food grain’s qty value and divide it by 1000. Note that we’re using the iterator with a variable f._x000a__x000a_So, the correct answer is: TRANSFORM(food_grains, f -&gt; f.food_grain_qty / 1000)"/>
    <m/>
    <m/>
    <m/>
    <n v="1"/>
    <m/>
    <m/>
    <m/>
    <m/>
  </r>
  <r>
    <x v="0"/>
    <n v="1412"/>
    <x v="7"/>
    <n v="4"/>
    <s v="General"/>
    <s v="Conceptual"/>
    <s v="Easy"/>
    <s v="A data engineer is working on a task to process the data coming from an e-commerce website and stored in the events table whose schema is given below._x000a__x000a_col_name   | data_type_x000a_user_id    | string_x000a_event_name | string_x000a_items      | array&lt;struct&lt;item_id:string, item_name:string, price_in_usd:double, quantity:bigint&gt;&gt;_x000a__x000a_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_x000a__x000a_user_id   | event_history                                         | cart_history_x000a_UID00001  | [&quot;register&quot;,&quot;add_to_cart&quot;,&quot;add_shipping_info&quot;]        | [&quot;APPL_IP14_P&quot;,&quot;APPL_PA&quot;]_x000a_UID00002  | [&quot;login&quot;,&quot;search&quot;,&quot;browse&quot;,&quot;add_to_cart&quot;,&quot;add_cc_info&quot;,&quot;checkout&quot;] | [&quot;GOOGL_PXL_7_PRO&quot;]_x000a_UID00003  | [&quot;register&quot;,&quot;search&quot;,&quot;add_to_cart&quot;,&quot;remove_from_cart&quot;] | [&quot;SMSNG_GLXY_S22&quot;]_x000a_...       | ...                                                   | ..._x000a__x000a_Which of the following queries can be used by the data engineer to get the desired result?"/>
    <s v="SELECT user_id,_x000a_array_distinct(event_name) AS event_history,_x000a_flatten(array_distinct(collect_set(items.item_id))) AS cart_history_x000a_FROM events_x000a_GROUP BY user_id;"/>
    <s v="SELECT user_id,_x000a_collect_set(event_name) AS event_history,_x000a_array_distinct(flatten(collect_set(items.item_id))) AS cart_history_x000a_FROM events_x000a_GROUP BY user_id;"/>
    <s v="SELECT user_id,_x000a_flatten(event_name) AS event_history,_x000a_collect_set(flatten(array_distinct(items.item_id))) AS cart_history_x000a_FROM events_x000a_GROUP BY user_id;"/>
    <s v="SELECT user_id,_x000a_array_distinct(event_name) AS event_history,_x000a_collect_set(array_distinct(flatten(items:item_id))) AS cart_history_x000a_FROM events_x000a_GROUP BY user_id;"/>
    <s v="SELECT user_id,_x000a_array_distinct(event_name) AS event_history,_x000a_collect_set(flatten(explode(items.*))) AS cart_history_x000a_FROM events_x000a_GROUP BY user_id;"/>
    <m/>
    <s v="B"/>
    <s v="Let’s try to understand the correct answer for this question._x000a__x000a_• The items column has the data type ARRAY&lt;STRUCT&gt;. The subfield item_id inside the items field can be accessed using the dot (.) operator, just like accessing fields inside a STRUCT. Therefore, we refer to it as items.item_id._x000a__x000a_• collect_set(expr) returns an array consisting of all unique values of expr within the group._x000a__x000a_• flatten() transforms an array of arrays into a single array._x000a__x000a_• array_distinct() removes duplicate values from an array._x000a__x000a_Example explanation:_x000a_For a given user_id with multiple rows, collect_set(items.item_id) produces an array of arrays. Applying flatten() merges them into one array, and array_distinct() ensures that only unique item_id values remain._x000a__x000a_So, the correct answer is:_x000a__x000a_SELECT user_id,_x000a_       collect_set(event_name) AS event_history,_x000a_       array_distinct(flatten(collect_set(items.item_id))) AS cart_history_x000a_FROM events_x000a_GROUP BY user_id;"/>
    <m/>
    <m/>
    <m/>
    <n v="1"/>
    <n v="1"/>
    <m/>
    <m/>
    <m/>
  </r>
  <r>
    <x v="0"/>
    <n v="1413"/>
    <x v="7"/>
    <n v="5"/>
    <s v="General"/>
    <s v="Conceptual"/>
    <s v="Easy"/>
    <s v="A data engineering team is using a Databricks SQL query to monitor the performance of an ELT job. The ELT job is triggered by a specific number of input records being ready to process. Databricks SQL query returns the number of hours since the job’s most recent runtime."/>
    <s v="They can set up an Alert for the accompanying dashboard to notify when it has not refreshed in 24 hours."/>
    <s v="They can set up an Alert for the accompanying dashboard to notify them if the returned value is greater than 24."/>
    <s v="They can set up an Alert for the query to notify when the ELT job fails."/>
    <s v="They can set up an Alert for the query to notify them if the returned value is greater than 24."/>
    <s v="This type of alerting is not possible in the Databricks."/>
    <m/>
    <s v="D"/>
    <s v="See Graphic_x000a_Create an alert_x000a__x000a_Follow these steps to create an alert on a single column of a query._x000a__x000a_Do one of the following:_x000a_Click_x000a__x000a_New in the sidebar and select Alert._x000a_Click_x000a__x000a_Alerts in the sidebar and click the + New Alert button._x000a_Click_x000a__x000a_Workspace in the sidebar and click + Create Alert._x000a_Search for a target query._x000a__x000a_In the Trigger when field, configure the alert._x000a_The Value column drop-down controls which field of your query result is evaluated._x000a_The Condition drop-down controls the logical operation to be applied._x000a_The Threshold text input is compared against the Value column using the Condition you specify._x000a__x000a_Note_x000a_If a target query returns multiple records, Databricks SQL alerts act on the first one. As you change the Value column setting, the current value of that field in the top row is shown beneath it._x000a_In the When triggered, send notification field, select how many notifications are sent when your alert is triggered:_x000a_Just once: Send a notification when the alert status changes from OK to TRIGGERED._x000a_Each time alert is evaluated: Send a notification whenever the alert status is TRIGGERED regardless of its status at the previous evaluation._x000a_At most every: Send a notification whenever the alert status is TRIGGERED at a specific interval. This choice lets you avoid notification spam for alerts that trigger often._x000a_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_x000a_In the Template drop-down, choose a template:_x000a_Use default template: Alert notification is a message with links to the Alert configuration screen and the Query screen._x000a_Use custom template: Alert notification includes more specific information about the alert._x000a_A box displays, consisting of input fields for subject and body. Any static content is valid, and you can incorporate built-in template variables:_x000a_ALERT_STATUS: The evaluated alert status (string)._x000a_ALERT_CONDITION: The alert condition operator (string)._x000a_ALERT_THRESHOLD: The alert threshold (string or number)._x000a_ALERT_NAME: The alert name (string)._x000a_ALERT_URL: The alert page URL (string)._x000a_QUERY_NAME: The associated query name (string)._x000a_QUERY_URL: The associated query page URL (string)._x000a_QUERY_RESULT_VALUE: The query result value (string or number)._x000a_QUERY_RESULT_ROWS: The query result rows (value array)._x000a_QUERY_RESULT_COLS: The query result columns (string array)._x000a_An example subject, for instance, could be: Alert “{{ALERT_NAME}}” changed status to {{ALERT_STATUS}}._x000a_You can use HTML to format messages in a custom template. The following tags and attributes are allowed in templates:_x000a_Tags: &lt;a&gt;, &lt;abbr&gt;, &lt;acronym&gt;, &lt;b&gt;, &lt;blockquote&gt;, &lt;body&gt;, &lt;br&gt;, &lt;code&gt;, &lt;div&gt;, &lt;em&gt;, &lt;font&gt;, &lt;h1&gt;, &lt;h2&gt;, &lt;h3&gt;, &lt;h4&gt;, &lt;h5&gt;, &lt;h6&gt;, &lt;head&gt;, &lt;hr&gt;, &lt;html&gt;, &lt;i&gt;, &lt;li&gt;, &lt;ol&gt;, &lt;p&gt;, &lt;span&gt;, &lt;strong&gt;, &lt;style&gt;, &lt;table&gt;, &lt;tbody&gt;, &lt;td&gt;, &lt;th&gt;, &lt;tr&gt;, &lt;ul&gt;_x000a_Attributes: style, href (for &lt;a&gt;), title (for &lt;a&gt;, &lt;abbr&gt;, &lt;acronym&gt;)_x000a_Click the Preview toggle button to preview the rendered result._x000a_Important_x000a_The preview is useful for verifying that template variables are rendered correctly. It is not an accurate representation of the eventual notification content, as each alert destination can display notifications differently._x000a_Click the Save Changes button._x000a_In Refresh, set a refresh schedule. An alert’s refresh schedule is independent of the query’s refresh schedule._x000a_If the query is a Run as owner query, the query runs using the query owner’s credential on the alert’s refresh schedule._x000a_If the query is a Run as viewer query, the query runs using the alert creator’s credential on the alert’s refresh schedule._x000a_Click Create Alert._x000a_Choose an alert destination._x000a_So, the correct answer is “They can set up an Alert for the query to notify them if the returned value is greater than 24.”"/>
    <m/>
    <m/>
    <m/>
    <n v="1"/>
    <n v="1"/>
    <m/>
    <n v="1"/>
    <s v="ELT"/>
  </r>
  <r>
    <x v="0"/>
    <n v="1414"/>
    <x v="7"/>
    <n v="6"/>
    <s v="General"/>
    <s v="Conceptual"/>
    <s v="Easy"/>
    <s v="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
    <s v="Use a single cluster for all the jobs across different business units. In this way, costs can be easily tracked."/>
    <s v="Ask the workspace admin to monitor the usage of DBUs for different jobs across multiple business units and prepare an analysis sheet."/>
    <s v="Create a different workspace for every business unit which will have its respective jobs. It will help to track the cost easily."/>
    <s v="Investigate the logs for a job to figure out the run time for each job across different business units and get the approximate usage cost according to the cluster pricing."/>
    <s v="Use appropriate tags while creating a cluster used for every job across different business units."/>
    <m/>
    <s v="E"/>
    <s v="See Graphic_x000a_Monitor usage using cluster and pool tags_x000a__x000a_To monitor cost and accurately attribute Databricks usage to your organization’s business units and teams (for chargebacks, for example), you can tag clusters and pools. These tags propagate both to detailed DBU usage reports and to AWS EC2 and AWS EBS instances for cost analysis._x000a__x000a_Databricks adds the following default tags to all pools and clusters:_x000a__x000a__x000a__x000a__x000a__x000a_On job clusters, Databricks also applies the following default tags:_x000a__x000a__x000a__x000a_On resources used by Databricks SQL, Databricks also applies the following default tag:_x000a__x000a__x000a__x000a_Tagged objects and resources_x000a__x000a_You can add custom tags for the following objects managed by Databricks:_x000a__x000a__x000a__x000a_Tag propagation_x000a__x000a_Tags are propagated to AWS EC2 instances differently depending on whether or not a cluster was created from a pool._x000a__x000a__x000a__x000a_If a cluster is created from a pool, its EC2 instances inherit only the custom and default pool tags, not the cluster tags. Therefore if you want to create clusters from a pool, make sure to assign all of the custom cluster tags you need to the pool._x000a__x000a_If a cluster is not created from a pool, its tags propagate as expected to EC2 instances._x000a__x000a_Cluster and pool tags both propagate to DBU usage reports, whether or not the cluster was created from a pool._x000a__x000a_If there is a tag name conflict, Databricks default tags take precedence over custom tags and pool tags take precedence over cluster tags._x000a__x000a_So, the correct answer is: “Use appropriate tags while creating a cluster used for every job across different business units in the organization.”_x000a__x000a_Learn More: Monitor usage using tags"/>
    <m/>
    <m/>
    <m/>
    <m/>
    <n v="1"/>
    <m/>
    <n v="1"/>
    <m/>
  </r>
  <r>
    <x v="0"/>
    <n v="1415"/>
    <x v="7"/>
    <n v="7"/>
    <s v="General"/>
    <s v="Conceptual"/>
    <s v="Easy"/>
    <s v="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
    <s v="Use cluster pools to help the Jobs run more efficiently"/>
    <s v="Set up a retry policy on the first Job to help it run more quickly"/>
    <s v="Utilize multiple tasks in a single job with a linear dependency"/>
    <s v="Limit the size of the output in the second Job so that it will not fail as easily"/>
    <s v="Set up the data to stream from the first Job to the second Job"/>
    <m/>
    <s v="C"/>
    <s v="Let’s try to understand the correct answer for this question._x000a__x000a_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_x000a__x000a_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_x000a__x000a_Ingests raw clickstream data and performs processing to sessionize the records._x000a_Ingests order data and joins it with the sessionized clickstream data to create a prepared data set for analysis._x000a_Extracts features from the prepared data._x000a_Performs tasks in parallel to persist the features and train a machine learning model._x000a__x000a_In our scenario, the second job depends on the first job. So, the correct answer is: Utilize multiple tasks in a single job with a linear dependency."/>
    <m/>
    <m/>
    <m/>
    <m/>
    <m/>
    <m/>
    <m/>
    <m/>
  </r>
  <r>
    <x v="0"/>
    <n v="1416"/>
    <x v="7"/>
    <n v="8"/>
    <s v="General"/>
    <s v="Conceptual"/>
    <s v="Easy"/>
    <s v="What is the top-level container of objects in Unity Catalog which stores data assets and the permissions that govern access to them?"/>
    <s v="Catalog"/>
    <s v="View"/>
    <s v="Schema"/>
    <s v="Metastore"/>
    <s v="Table"/>
    <m/>
    <s v="D"/>
    <s v="The Unity Catalog object model._x000a__x000a_In Unity Catalog, the hierarchy of primary data objects flows from metastore to table._x000a__x000a_• Metastore: The top-level container for metadata. Each metastore exposes a three-level namespace (catalog.schema.table) that organizes your data._x000a__x000a_• Catalog: The first layer of the object hierarchy, used to organize data assets._x000a__x000a_• Schema: Also known as a database. Schemas are the second layer of the hierarchy and contain tables and views._x000a__x000a_• Table: The lowest level in the object hierarchy. Tables can be external (stored in external locations in cloud storage) or managed (stored in a storage container managed by Databricks). You can also create read-only views from tables._x000a__x000a_Unity Catalog hierarchy overview:_x000a_Metastore → Catalog → Schema → Table / View / Volume / Model / Function_x000a__x000a_In Unity Catalog, you can use three-level namespace notation to reference data:_x000a_SELECT * FROM &lt;catalog_name&gt;.&lt;schema_name&gt;.&lt;table_name&gt;;_x000a__x000a_Metastore details:_x000a_A metastore is the top-level container of objects in Unity Catalog. It stores data assets (tables and views) and the permissions that govern access to them. Administrators create metastores and assign them to Databricks workspaces to control which workloads use each metastore._x000a__x000a_Each metastore is configured with a root storage location in cloud storage. This location is used for metadata and managed tables._x000a__x000a_Note:_x000a_This metastore is distinct from the legacy Hive metastore used before Unity Catalog. If a workspace includes a legacy Hive metastore, its data is available in Unity Catalog under the catalog named hive_metastore."/>
    <m/>
    <m/>
    <m/>
    <m/>
    <m/>
    <m/>
    <m/>
    <m/>
  </r>
  <r>
    <x v="0"/>
    <n v="1417"/>
    <x v="7"/>
    <n v="9"/>
    <s v="General"/>
    <s v="Conceptual"/>
    <s v="Easy"/>
    <s v="Which of the following formats is used to store transaction log files for a table in the Delta Lake?"/>
    <s v="Parquet"/>
    <s v="ORC"/>
    <s v="Text"/>
    <s v="JSON"/>
    <s v="Avro"/>
    <m/>
    <s v="D"/>
    <s v="See Graphic._x000a_What Is the Delta Lake Transaction Log?_x000a__x000a_The Delta Lake transaction log (also known as the DeltaLog) is an ordered record of every transaction that has ever been performed on a Delta Lake table since its inception._x000a__x000a_The Delta Lake Transaction Log at the File Level_x000a__x000a_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_x000a__x000a__x000a__x000a_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_x000a__x000a__x000a__x000a_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_x000a__x000a_Also, Spark does not eagerly remove the files from disk, even though we removed the underlying data files from our table. Users can delete the files that are no longer needed by using VACUUM._x000a_"/>
    <m/>
    <m/>
    <m/>
    <m/>
    <n v="1"/>
    <m/>
    <n v="1"/>
    <m/>
  </r>
  <r>
    <x v="0"/>
    <n v="1418"/>
    <x v="7"/>
    <n v="10"/>
    <s v="General"/>
    <s v="Conceptual"/>
    <s v="Easy"/>
    <s v="Which of the following methods in Databricks notebook can be used to view the contents of a Spark DataFrame df in a tabular format along with the option of creating different embedded visualizations on the data?"/>
    <s v="view(df)"/>
    <s v="show(df)"/>
    <s v="print(df)"/>
    <s v="take(df)"/>
    <s v="display(df)"/>
    <m/>
    <s v="E"/>
    <s v="View the DataFrame._x000a__x000a_To view the data of a DataFrame in a tabular format, you can use the Databricks display() command instead of exporting the data to a third-party tool._x000a__x000a_• In a Databricks notebook, use the display() function to render DataFrame data in a table._x000a_• Example:_x000a_  display(data)_x000a__x000a_Using display() provides an interactive table view of the DataFrame directly in the notebook output._x000a__x000a_Visualizing the DataFrame:_x000a_An additional benefit of using the Databricks display() command is the ability to quickly visualize data using built-in visualization options._x000a__x000a_• Click the dropdown next to the displayed table to choose visualization types such as:_x000a_  – Bar_x000a_  – Scatter_x000a_  – Map_x000a_  – Line_x000a_  – Area_x000a_  – Pie_x000a_  – Histogram_x000a_  – Box plot_x000a_  – Q-Q plot_x000a_  – Pivot_x000a__x000a_So, the correct answer is:_x000a_display(df)"/>
    <m/>
    <m/>
    <m/>
    <n v="1"/>
    <n v="1"/>
    <m/>
    <n v="1"/>
    <m/>
  </r>
  <r>
    <x v="0"/>
    <n v="1419"/>
    <x v="7"/>
    <n v="11"/>
    <s v="General"/>
    <s v="Conceptual"/>
    <s v="Easy"/>
    <s v="A data engineer is working on a task to process the data coming from an e-commerce application. He has got two tables called orders and customers whose schema along with the sample data is given below._x000a__x000a_orders:_x000a_order_id bigint, order_customer_id bigint, items array&lt;int&gt;_x000a__x000a_order_id | order_customer_id | items_x000a_101      | 1                 | [17, 2, 59, 768, 46]_x000a_102      | 2                 | [34, 67, 82, 45]_x000a_...      | ...               | ..._x000a__x000a_customers:_x000a_customer_id bigint, customer_name string, customer_email string_x000a__x000a_customer_id | customer_name | customer_email_x000a_1           | Vicky         | vicky@abc.com_x000a_2           | Rahul         | rahul@xyz.com_x000a_...         | ...           | ..._x000a__x000a_He wants to fetch the details of customers along with number of items in each of the orders that they have placed. Which of the following code blocks can be used by the data engineer to complete this task?"/>
    <s v="SELECT c.customer_id, c.customer_name, c.customer_email, o.order_id,_x000a_COUNT(o.item_id) as total_items_x000a_FROM customers c_x000a_INNER JOIN_x000a_(SELECT order_id, order_customer_id, PIVOT(items) as item_id FROM orders) o_x000a_ON c.customer_id = o.order_customer_id_x000a_GROUP BY c.customer_id, c.customer_name, c.customer_email, o.order_id;"/>
    <s v="ELECT c.customer_id, c.customer_name, c.customer_email, o.order_id,_x000a_COUNT(o.item_id) as total_items_x000a_FROM customers c_x000a_INNER JOIN_x000a_(SELECT order_id, order_customer_id, FLATTEN(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COLLECT_SET(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ARRAY_DISTINCT(items) as item_id FROM orders) o_x000a_ON c.customer_id = o.order_customer_id_x000a_GROUP BY c.customer_id, c.customer_name, c.customer_email, o.order_id;"/>
    <m/>
    <s v="C"/>
    <s v="Let’s try to look what is explode function in Databricks SQL._x000a__x000a_explode: table-valued generator function which returns rows by un-nesting expr_x000a__x000a_Syntax_x000a__x000a_explode(expr)_x000a_Arguments_x000a__x000a_expr: An ARRAY or MAP expression._x000a_Returns_x000a__x000a_A set of rows composed of the other expressions in the select list and either the elements of the array or the keys and values of the map. If expr is NULL no rows are produced._x000a_explode can only be placed in the select list or a LATERAL VIEW. When placing the function in the SELECT list there must be no other generator function in the same SELECT list._x000a_The column produced by explode of an array is named col by default, but can be aliased. The columns for a map are by default called key and value. They can also be aliased using an alias tuple such as AS (myKey, myValue)._x000a_Examples_x000a__x000a_&gt; SELECT explode(array(10, 20)) AS elem, ‘Spark’;_x000a_10 Spark_x000a_20 Spark_x000a_&gt; SELECT explode(map(1, ‘a’, 2, ‘b’)) AS (num, val), ‘Spark’;_x000a_1 a Spark_x000a_2 b Spark_x000a_&gt; SELECT explode(array(1, 2)), explode(array(3, 4));_x000a_Error: unsupported generator_x000a_So, the correct answer is:_x000a__x000a_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m/>
    <m/>
    <m/>
    <n v="1"/>
    <m/>
    <m/>
    <m/>
    <m/>
  </r>
  <r>
    <x v="0"/>
    <n v="1420"/>
    <x v="7"/>
    <n v="12"/>
    <s v="General"/>
    <s v="Conceptual"/>
    <s v="Easy"/>
    <s v="As a data engineer, you are working on a task to identify the employees whose salary is greater than USD 500000 within each department in the company. The schema of the company table is given below._x000a__x000a_col_name        | data_type_x000a_department_id  | int_x000a_employees      | array&lt;struct&lt;employee_id:int, employee_name:string, employee_salary:double, employee_age:int&gt;&gt;_x000a__x000a_Which of the following code snippets can be used to complete that task?"/>
    <s v="SELECT_x000a_department_id,_x000a_FETCH(employees, e -&gt; e.employee_salary &gt; 500000) as employees_with_high_salary_x000a_FROM company;"/>
    <s v="SELECT_x000a_department_id,_x000a_TRANSFORM(employees, e -&gt; e.employee_salary &gt; 500000) as employees_with_high_salary_x000a_FROM company;"/>
    <s v="SELECT_x000a_department_id,_x000a_EXIST(employees, e -&gt; e.employee_salary &gt; 500000) as employees_with_high_salary_x000a_FROM company;"/>
    <s v="SELECT_x000a_department_id,_x000a_REDUCE(employees, e -&gt; e.employee_salary &gt; 500000) as employees_with_high_salary_x000a_FROM company;"/>
    <s v="SELECT_x000a_department_id,_x000a_FILTER(employees, e -&gt; e.employee_salary &gt; 500000) as employees_with_high_salary_x000a_FROM company;"/>
    <m/>
    <s v="E"/>
    <s v="Let’s try to find out the correct answer of this question by looking at the Higher Order Function FILTER_x000a__x000a_Filter_x000a__x000a_It filters an array using the given lambda function. We can use the FILTER function to create a new column that satisfies the condition from each array._x000a__x000a_FILTER (employees, e -&gt; e.employee_salary &gt; 500000) as employees_with_high_salary_x000a__x000a_In the statement above:_x000a__x000a_FILTER : the name of the higher-order function_x000a_employees : the name of our input array_x000a_e : the name of the iterator variable. You choose this name and then use it in the lambda function. It iterates over the array, cycling each value into the function one at a time._x000a_-&gt; : Indicates the start of a function_x000a_e.employee_salary &gt; 500000 : This is the function. Each employee_salary value is checked to see if it has value greater than 500000. If it is, it gets filtered into the new column, employees_with_high_salary_x000a_So, the correct answer is:_x000a__x000a_SELECT_x000a_department_id,_x000a_FILTER(employees, e -&gt; e.employee_salary &gt; 500000) as employees_with_high_salary_x000a_FROM company;"/>
    <m/>
    <m/>
    <m/>
    <m/>
    <n v="1"/>
    <m/>
    <m/>
    <m/>
  </r>
  <r>
    <x v="0"/>
    <n v="1421"/>
    <x v="7"/>
    <n v="13"/>
    <s v="General"/>
    <s v="Conceptual"/>
    <s v="Easy"/>
    <s v="A data engineer is working on a task to transform the sales data of each quarter for different geographical regions. The schema and sample data of the sales table is given below._x000a__x000a_col_name | data_type_x000a_year     | int_x000a_quarter  | int_x000a_region   | string_x000a_sales    | double_x000a__x000a_year | quarter | region | sales (in million USD)_x000a_2018 | 1       | east   | 100.67_x000a_2018 | 2       | east   | 20.34_x000a_2018 | 3       | east   | 40.06_x000a_2018 | 4       | east   | 40.52_x000a_2018 | 1       | west   | 105.98_x000a_2018 | 2       | west   | 25.32_x000a_2018 | 3       | west   | 45.76_x000a_2018 | 4       | west   | 45.21_x000a_2019 | 1       | east   | 120.35_x000a_2019 | 2       | east   | 110.51_x000a_2019 | 3       | east   | 80.49_x000a_2019 | 4       | east   | 60.21_x000a_2019 | 1       | west   | 125.42_x000a_2019 | 2       | west   | 115.8_x000a_2019 | 3       | west   | 85.13_x000a_2019 | 4       | west   | 65.77_x000a__x000a_He wants to create a view having different columns for each quarter of every year so that sales can be displayed in different columns for each quarter. Which of the following SQL commands can be used by him to complete this task?"/>
    <s v="CREATE OR REPLACE VIEW sales_across_quarter_x000a_AS_x000a_SELECT year, region, q1, q2, q3, q4_x000a_FROM sales_x000a_TRANSFORM_x000a_(sum(sales) AS sales_x000a_FOR quarter_x000a_IN (1 AS q1, 2 AS q2, 3 AS q3, 4 AS q4)_x000a_);"/>
    <s v="CREATE OR REPLACE VIEW sales_across_quarter_x000a_AS_x000a_SELECT year, region, q1, q2, q3, q4_x000a_FROM sales_x000a_PIVOT_x000a_(sum(sales) AS sales_x000a_FOR quarter_x000a_IN (1 AS q1, 2 AS q2, 3 AS q3, 4 AS q4)_x000a_);"/>
    <s v="CREATE OR REPLACE VIEW sales_across_quarter_x000a_AS_x000a_SELECT year, region, q1, q2, q3, q4_x000a_FROM sales_x000a_REDUCE_x000a_(sum(sales) AS sales_x000a_FOR quarter_x000a_IN (1 AS q1, 2 AS q2, 3 AS q3, 4 AS q4)_x000a_);"/>
    <s v="CREATE OR REPLACE VIEW sales_across_quarter_x000a_AS_x000a_SELECT year, region, q1, q2, q3, q4_x000a_FROM sales_x000a_EXIST_x000a_(sum(sales) AS sales_x000a_FOR quarter_x000a_IN (1 AS q1, 2 AS q2, 3 AS q3, 4 AS q4)_x000a_);"/>
    <s v="CREATE OR REPLACE VIEW sales_across_quarter_x000a_AS_x000a_SELECT year, region, q1, q2, q3, q4_x000a_FROM sales_x000a_ROTATE_x000a_(sum(sales) AS sales_x000a_FOR quarter_x000a_IN (1 AS q1, 2 AS q2, 3 AS q3, 4 AS q4)_x000a_);"/>
    <m/>
    <s v="B"/>
    <s v="PIVOT Clause_x000a__x000a_It transforms the rows of the table_reference by rotating unique values of a specified column list into separate columns._x000a__x000a_Syntax_x000a__x000a_table_reference PIVOT ( { aggregate_expression [ [ AS ] agg_column_alias ] } [, …]_x000a_FOR column_list IN ( expression_list ) )_x000a_column_list_x000a_{ column_name |_x000a_( column_name [, …] ) }_x000a_expression_list_x000a_{ expression [ AS ] [ column_alias ] |_x000a_{ ( expression [, …] ) [ AS ] [ column_alias] } [, …] ) }_x000a_Parameters_x000a__x000a_table_reference_x000a_Identifies the subject of the PIVOT operation._x000a_aggregate_expression_x000a_An expression of any type where all column references table_reference are arguments to aggregate functions._x000a_agg_column_alias_x000a_An optional alias for the result of the aggregation. If no alias is specified, PIVOT generates an alias based on aggregate_xpression._x000a_column_list_x000a_The set of columns to be rotated. _x000a_column_name_x000a_A column from table_reference._x000a_expression_list_x000a_Maps values from column_list to column aliases. _x000a_expression_x000a_A literal expression with a type that shares a least common type with the respective column_name._x000a_The number of expressions in each tuple must match the number of column_names in column_list._x000a_column_alias_x000a_An optional alias specifying the name of the generated column. If no alias is specified PIVOT generates an alias based on the expression._x000a_So, the correct answer is:_x000a__x000a_CREATE OR REPLACE VIEW sales_across_quarter_x000a_AS_x000a_SELECT year, region, q1, q2, q3, q4_x000a_FROM sales_x000a_PIVOT_x000a_(sum(sales) AS sales_x000a_FOR quarter_x000a_IN (1 AS q1, 2 AS q2, 3 AS q3, 4 AS q4)_x000a_);_x000a_Learn More: PIVOT Clause"/>
    <m/>
    <m/>
    <m/>
    <m/>
    <n v="1"/>
    <m/>
    <m/>
    <m/>
  </r>
  <r>
    <x v="0"/>
    <n v="1422"/>
    <x v="7"/>
    <n v="14"/>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
    <s v="trigger(availableNow=True)"/>
    <s v="trigger(once=True)"/>
    <s v="trigger(available_Now=“True“)"/>
    <s v="trigger(processingTime=“now“)"/>
    <s v="trigger(processingTime=“500ms“)"/>
    <m/>
    <s v="A"/>
    <s v="et’s try to understand the answer to this question by first looking at trigger intervals._x000a__x000a_Trigger intervals:_x000a_When defining a streaming write, the trigger method specifies when the system should process the next set of data._x000a__x000a_• Unspecified trigger:_x000a_  This is the default behavior and is equivalent to using processingTime = &quot;500ms&quot;._x000a__x000a_• Fixed interval micro-batches:_x000a_  trigger(processingTime = &quot;2 minutes&quot;)_x000a_  The query executes micro-batches at user-specified time intervals._x000a__x000a_• Triggered micro-batch (once):_x000a_  trigger(once = true)_x000a_  The query executes a single micro-batch to process all available data and then stops._x000a__x000a_• Triggered micro-batches (availableNow):_x000a_  trigger(availableNow = true)_x000a_  The query executes multiple micro-batches to process all available data and then stops automatically._x000a__x000a_Triggers are specified when defining how data is written to a sink and control the frequency of micro-batches. By default, Spark automatically detects and processes all new data in the source._x000a__x000a_Note:_x000a_Trigger.availableNow is a newer trigger type. It is available in DBR 10.1 for Scala only and available in DBR 10.2 and above for both Python and Scala._x000a__x000a_So, the correct answer is:_x000a_trigger(availableNow = true)"/>
    <m/>
    <m/>
    <m/>
    <n v="1"/>
    <m/>
    <m/>
    <n v="1"/>
    <m/>
  </r>
  <r>
    <x v="0"/>
    <n v="1423"/>
    <x v="7"/>
    <n v="15"/>
    <s v="General"/>
    <s v="Conceptual"/>
    <s v="Easy"/>
    <s v="As a data engineer, you are working on the data coming from an e-commerce website and stored in the events table whose schema is given below._x000a__x000a_col_name         | data_type_x000a_user_id          | string_x000a_device           | string_x000a_event_name       | string_x000a_event_timestamp  | bigint_x000a_geo              | struct&lt;city:string, state:string, country:string&gt;_x000a_items            | array&lt;struct&lt;item_id:string, item_name:string, price_in_usd:double, quantity:bigint&gt;&gt;_x000a__x000a_You want to query the data based on country subfield in the geo field which is of struct type. Which of the following queries can be used to accomplish this task?"/>
    <s v="SELECT geo.country FROM events WHERE geo.country = ‘India‘"/>
    <s v="SELECT geo:country FROM events WHERE geo:country = ‘India‘"/>
    <s v="SELECT struct.country FROM events WHERE struct.country = ‘India‘"/>
    <s v="SELECT geo*country FROM events WHERE geo*country = ‘India‘"/>
    <s v="SELECT country FROM events WHERE country = ‘India‘"/>
    <m/>
    <s v="A"/>
    <s v="Let’s try to understand the answer of this question._x000a__x000a_Spark SQL has robust syntax for working with complex and nested data types. We’ll start by looking at the fields in the events table._x000a_Here, the geo field is a struct that contains city, state and country subfields which are of string type._x000a_We can interact with the subfields in this field using standard . syntax. It’s something like field_name.subfield_name_x000a_So, the correct answer is: SELECT geo.country FROM events WHERE geo.country = ‘India’"/>
    <m/>
    <m/>
    <m/>
    <m/>
    <n v="1"/>
    <m/>
    <m/>
    <m/>
  </r>
  <r>
    <x v="0"/>
    <n v="1424"/>
    <x v="7"/>
    <n v="16"/>
    <s v="General"/>
    <s v="Conceptual"/>
    <s v="Easy"/>
    <s v="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
    <s v="Setup two different jobs, run the DLT Pipeline job in triggered mode and once that gets succeeded, then manually run the Notebook job."/>
    <s v="Single job can be used to setup both DLT Pipeline task and Notebook task. So, use two different tasks in same job with a linear dependency."/>
    <s v="Single job cannot have a DLT Pipeline task and Notebook task. So, use two different jobs with a linear dependency."/>
    <s v="Single job can be used to setup both DLT Pipeline task and Notebook task. So, use two different tasks in same job and run them in parallel."/>
    <s v="There is no such way to orchestrate this type of workflow in the Databricks."/>
    <m/>
    <s v="B"/>
    <s v="See Graphic. "/>
    <m/>
    <m/>
    <m/>
    <m/>
    <n v="1"/>
    <m/>
    <n v="1"/>
    <m/>
  </r>
  <r>
    <x v="0"/>
    <n v="1425"/>
    <x v="7"/>
    <n v="17"/>
    <s v="General"/>
    <s v="Conceptual"/>
    <s v="Easy"/>
    <s v="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
    <s v="They can manually execute the code for last 2 tasks to repair the job run"/>
    <s v="They can repair this job so that all the 5 tasks will be re-run"/>
    <s v="They can repair this job so that only the last 2 tasks will be re-run"/>
    <s v="They need to delete the failed job run and trigger a new run for this job"/>
    <s v="They can keep the failed job run and simply start a new run for the job"/>
    <m/>
    <s v="C"/>
    <s v="Repair an unsuccessful job run_x000a__x000a_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_x000a__x000a_You can change job or task settings before repairing the job run. Unsuccessful tasks are re-run with the current job and task settings. For example, if you change the path to a notebook or a cluster setting, the task is re-run with the updated notebook or cluster settings._x000a__x000a_To repair an unsuccessful job run:_x000a__x000a_Click Jobs in the sidebar._x000a_In the Name column, click a job name. The Runs tab shows active runs and completed runs, including any unsuccessful runs._x000a_Click the link for the unsuccessful run in the Start time column of the Completed Runs (past 60 days) table. The Job run details page appears._x000a_Click Repair run. The Repair job run dialog appears, listing all unsuccessful tasks and any dependent tasks that will be re-run._x000a_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_x000a_Click Repair run in the Repair job run dialog._x000a_So, the correct answer is: “They can repair this job so that only the last 2 failed tasks will be re-run”_x000a__x000a_Learn More: Repair an unsuccessful job run | Databricks"/>
    <m/>
    <m/>
    <m/>
    <m/>
    <m/>
    <m/>
    <m/>
    <m/>
  </r>
  <r>
    <x v="0"/>
    <n v="1426"/>
    <x v="7"/>
    <n v="18"/>
    <s v="General"/>
    <s v="Conceptual"/>
    <s v="Easy"/>
    <s v="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
    <s v="Create a view for every state and then query it to get the data directly for that particular state"/>
    <s v="Create a SQL UDF and pass the parameter state at runtime to get the data for that state"/>
    <s v="Use dropdown list with single value select option as query parameter and select any value of State from that list to substitute into query at runtime for getting the desired results"/>
    <s v="Manually provide the value of state in the where clause of query and then run it to get the corresponding data"/>
    <s v="This type of querying to filter the data at runtime is not possible in Databricks"/>
    <m/>
    <s v="C"/>
    <s v="Query parameters_x000a__x000a_A query parameter lets you substitute values into a query at runtime. Any string between double curly braces {{ }} is treated as a query parameter. A widget appears above the results pane where you set the parameter value._x000a__x000a__x000a__x000a_Query parameter types_x000a__x000a_Text_x000a_Number_x000a_Dropdown List_x000a_Query Based Dropdown List_x000a_Date and Time_x000a_Dropdown List_x000a__x000a_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_x000a__x000a_Single value: Single quotes around the parameter are required._x000a_Multi-value: Toggle the Allow multiple values option. In the Quotation drop-down, choose whether or not to wrap the parameters with quotes or use single or double quotes. If you choose quotes, you don’t need to add quotes around the parameter._x000a__x000a_In your query, change your WHERE clause to use the IN keyword._x000a__x000a_SELECT …_x000a_FROM …_x000a_WHERE field IN ( {{ Multi Select Parameter }} )_x000a_The parameter multi-selection widget lets you pass multiple values to the database._x000a__x000a__x000a__x000a_So, the correct answer is: “Use Single value Dropdown List as query parameter and select any value of State from that list to substitute into query at runtime for getting the desired results”_x000a__x000a_Learn More: Query Parameters | Databricks SQL"/>
    <m/>
    <m/>
    <m/>
    <n v="1"/>
    <n v="1"/>
    <m/>
    <m/>
    <m/>
  </r>
  <r>
    <x v="0"/>
    <n v="1427"/>
    <x v="7"/>
    <n v="19"/>
    <s v="General"/>
    <s v="Conceptual"/>
    <s v="Easy"/>
    <s v="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
    <s v="Which of the following commands can be used to grant the appropriate permissions to the new data engineer?"/>
    <s v="GRANT USAGE ON TABLE sales TO new.engineer@company.com;"/>
    <s v="GRANT SELECT, UPDATE TO new.engineer@company.com ON TABLE sales;"/>
    <s v="GRANT SELECT, MODIFY ON TABLE sales TO new.engineer@company.com;"/>
    <s v="GRANT SELECT, UPDATE ON TABLE sales TO new.engineer@company.com;"/>
    <s v="GRANT SELECT, MODIFY TO new.engineer@company.com ON TABLE sales;"/>
    <s v="B"/>
    <s v="Let’s try to find the correct answer for this question by looking at the GRANT command._x000a__x000a_GRANT:_x000a_The GRANT statement is used to grant a privilege on a securable object to a principal._x000a__x000a_Syntax:_x000a_GRANT &lt;privilege_type&gt; ON &lt;securable_object&gt; TO &lt;principal&gt;_x000a__x000a_Privilege types:_x000a_• ALL PRIVILEGES – Grants all privileges applicable to the securable object._x000a_• privilege_type – A specific privilege to be granted on the securable object._x000a__x000a_Parameters:_x000a_• securable_object:_x000a_  The object on which the privileges are granted (for example, a table or schema)._x000a__x000a_• principal:_x000a_  A user, service principal, or group to which the privileges are granted._x000a__x000a_Examples:_x000a_• GRANT CREATE ON SCHEMA &lt;schema_name&gt; TO &lt;user&gt;;_x000a_• GRANT ALL PRIVILEGES ON TABLE forecasts TO finance;_x000a_• GRANT SELECT ON TABLE sample_data TO USERS;_x000a__x000a_Common privileges:_x000a_• ALL PRIVILEGES – Grants all available privileges._x000a_• SELECT – Grants read access to an object._x000a_• MODIFY – Grants the ability to add, delete, and modify data._x000a_• READ_METADATA – Grants the ability to view object metadata._x000a_• USAGE – Required to access a database object but does not grant direct abilities._x000a_• CREATE – Grants the ability to create an object (such as a table in a database)._x000a__x000a_So, the correct answer is:_x000a_GRANT SELECT, MODIFY ON TABLE sales TO new_engineer@company.com;"/>
    <m/>
    <m/>
    <m/>
    <n v="1"/>
    <n v="1"/>
    <m/>
    <n v="1"/>
    <m/>
  </r>
  <r>
    <x v="0"/>
    <n v="1428"/>
    <x v="7"/>
    <n v="20"/>
    <s v="General"/>
    <s v="Conceptual"/>
    <s v="Easy"/>
    <s v="In Spark SQL, which of the following is necessary to perform a PIVOT operation?"/>
    <s v="A DISTINCT clause to ensure unique values"/>
    <s v="An aggregate function to summarize the data"/>
    <s v="A LIMIT clause to restrict the number of rows returned"/>
    <s v="A JOIN clause to merge data from different tables"/>
    <m/>
    <m/>
    <s v="B"/>
    <s v="An aggregate function to summarize the data is necessary to perform a PIVOT operation in Spark SQL._x000a__x000a_Here’s why:_x000a__x000a_Pivoting: This operation transforms data from a tall format (multiple rows, few columns) to a wide format (few rows, many columns)._x000a_Aggregation: To create the new columns, you need to aggregate the values based on a specific criterion. This typically involves functions like SUM, AVG, COUNT, MIN, or MAX._x000a_The other options are not directly required for a PIVOT operation:_x000a__x000a_DISTINCT: While it can be useful to ensure unique values in the column being pivoted, it’s not essential for the operation itself._x000a_LIMIT: This is used to restrict the number of rows returned and is not directly related to pivoting."/>
    <m/>
    <m/>
    <m/>
    <m/>
    <m/>
    <m/>
    <m/>
    <m/>
  </r>
  <r>
    <x v="0"/>
    <n v="1429"/>
    <x v="7"/>
    <n v="21"/>
    <s v="General"/>
    <s v="Conceptual"/>
    <s v="Easy"/>
    <s v="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
    <s v="Databricks Notebooks support commenting and notification comments"/>
    <s v="Databricks Notebooks support real-time coauthoring on a single notebook"/>
    <s v="Databricks Notebooks support automatic change-tracking and versioning"/>
    <s v="Databricks Notebooks support the use of multiple languages in the same notebook"/>
    <s v="Databricks Notebooks support the creation of interactive data visualizations"/>
    <m/>
    <s v="C"/>
    <s v="Let’s try to understand the correct answer for this question._x000a__x000a_Revert or update a Databricks notebook to a version from GitHub._x000a__x000a_Once a notebook is linked to GitHub, Databricks automatically syncs the notebook history with Git every time the history panel is opened. Versions that sync to Git include commit hashes as part of the entry._x000a__x000a_Steps to restore a previous version:_x000a_• Click Revision history at the top-right of the notebook to open the history panel._x000a_• Select an entry in the history panel. Databricks displays that version._x000a_• Click Restore this version._x000a_• Click Confirm to restore the selected version._x000a__x000a_This behavior demonstrates that Databricks notebooks maintain a version history and integrate directly with Git for change tracking._x000a__x000a_So, the correct answer is:_x000a_Databricks Notebooks support automatic change-tracking and versioning."/>
    <m/>
    <m/>
    <m/>
    <m/>
    <m/>
    <m/>
    <n v="1"/>
    <m/>
  </r>
  <r>
    <x v="0"/>
    <n v="1430"/>
    <x v="7"/>
    <n v="22"/>
    <s v="General"/>
    <s v="Conceptual"/>
    <s v="Easy"/>
    <s v="If you need to associate a numerical value with each key in a SQL table, which data type would be most appropriate?"/>
    <s v="STRUCT"/>
    <s v="ARRAY"/>
    <s v="MAP"/>
    <s v="INTEGER"/>
    <m/>
    <m/>
    <s v="D"/>
    <s v="Option D. INTEGER_x000a_An INTEGER data type is used to store numerical values. If each key in a SQL table needs to be associated with a numeric value (for example, counts, IDs, or metrics), an integer column is the most appropriate and straightforward choice._x000a__x000a_Incorrect:_x000a__x000a_Option A. STRUCT_x000a_A STRUCT stores multiple named fields within a single column. It is used for complex, nested data rather than for directly associating a single numeric value with a key._x000a__x000a_Option B. ARRAY_x000a_An ARRAY stores an ordered collection of values. It does not map keys to values and is not suitable for associating one numeric value per key._x000a__x000a_Option C. MAP_x000a_A MAP stores key-value pairs, but it is designed for multiple dynamic keys within a single column. If the requirement is simply to associate a numeric value with each table key (row), a scalar numeric type like INTEGER is more appropriate."/>
    <m/>
    <m/>
    <m/>
    <m/>
    <m/>
    <m/>
    <m/>
    <m/>
  </r>
  <r>
    <x v="0"/>
    <n v="1431"/>
    <x v="7"/>
    <n v="23"/>
    <s v="General"/>
    <s v="Conceptual"/>
    <s v="Easy"/>
    <s v="In Spark SQL, which of the following is necessary to perform a PIVOT operation?"/>
    <s v="An aggregate function to summarize the data"/>
    <s v="A LIMIT clause to restrict the number of rows returned"/>
    <s v="A JOIN clause to merge data from different tables"/>
    <s v="A DISTINCT clause to ensure unique values"/>
    <m/>
    <m/>
    <s v="A"/>
    <s v="Correct answer:_x000a_An aggregate function to summarize the data._x000a__x000a_This is correct because Spark SQL’s PIVOT operation requires an aggregate function (such as SUM, COUNT, or AVG) to summarize values when converting rows into columns._x000a__x000a_• Without an aggregate function, Spark SQL cannot determine how to combine multiple values into a single pivoted cell._x000a__x000a_Example:_x000a_SELECT *_x000a_FROM sales_x000a_PIVOT (_x000a_  SUM(amount)_x000a_  FOR region IN ('East', 'West', 'North', 'South')_x000a_);_x000a__x000a_In this example, SUM(amount) is the required aggregate function used during the pivot operation._x000a__x000a_Incorrect options:_x000a__x000a_Option B: A LIMIT clause to restrict the number of rows returned._x000a_• LIMIT only restricts output rows and does not affect the pivot transformation._x000a__x000a_Option C: A JOIN clause to merge data from different tables._x000a_• Pivoting operates on a single dataset. JOINs are not required for performing a pivot._x000a__x000a_Option D: A DISTINCT clause to ensure unique values._x000a_• Uniqueness is not a requirement for pivoting._x000a_• Spark SQL handles grouping and aggregation internally during the pivot operation."/>
    <m/>
    <m/>
    <m/>
    <m/>
    <m/>
    <m/>
    <m/>
    <m/>
  </r>
  <r>
    <x v="0"/>
    <n v="1432"/>
    <x v="7"/>
    <n v="24"/>
    <s v="General"/>
    <s v="Conceptual"/>
    <s v="Easy"/>
    <s v="In Spark SQL, which of the following is necessary to perform a PIVOT operation?"/>
    <s v="A DISTINCT clause to ensure unique values"/>
    <s v="A JOIN clause to merge data from different tables"/>
    <s v="A LIMIT clause to restrict the number of rows returned"/>
    <s v="An aggregate function to summarize the data"/>
    <m/>
    <m/>
    <s v="D"/>
    <s v="Correct answer:_x000a_An aggregate function to summarize the data._x000a__x000a_This is correct because Spark SQL’s PIVOT operation requires an aggregate function (such as SUM, COUNT, or AVG) to combine values when pivoting rows into columns._x000a__x000a_• Without an aggregate function, Spark SQL cannot determine how to collapse multiple values into a single pivoted cell._x000a__x000a_Example:_x000a_SELECT *_x000a_FROM sales_x000a_PIVOT (_x000a_  SUM(amount)_x000a_  FOR region IN ('East', 'West', 'North', 'South')_x000a_);_x000a__x000a_Here, SUM(amount) is the required aggregate function used during the pivot._x000a__x000a_Incorrect options:_x000a__x000a_Option A: A DISTINCT clause to ensure unique values._x000a_• Incorrect because uniqueness is not required for pivoting._x000a_• Spark SQL handles grouping internally during the pivot operation._x000a__x000a_Option B: A JOIN clause to merge data from different tables._x000a_• Incorrect because pivoting operates on a single dataset._x000a_• JOINs are useful for combining tables but are not required for a pivot._x000a__x000a_Option C: A LIMIT clause to restrict the number of rows returned._x000a_• Incorrect because LIMIT only restricts output rows._x000a_• It does not affect pivot logic or aggregation."/>
    <m/>
    <m/>
    <m/>
    <m/>
    <m/>
    <m/>
    <m/>
    <m/>
  </r>
  <r>
    <x v="0"/>
    <n v="1433"/>
    <x v="7"/>
    <n v="25"/>
    <s v="General"/>
    <s v="Conceptual"/>
    <s v="Easy"/>
    <s v="A new team member Tom Hanks has joined the data analysis team in the organization. He currently has access to read data from the inventory table but he does not have the access to insert and delete rows. Which of the following commands can be used to grant him this access?"/>
    <s v="GRANT INSERT, DELETE ON TABLE inventory TO tom.hanks@organization.com"/>
    <s v="GRANT USAGE ON TABLE inventory TO tom.hanks@organization.com"/>
    <s v="GRANT MODIFY TO tom.hanks@organization.com ON inventory"/>
    <s v="GRANT INSERT, DELETE TO tom.hanks@organization.com ON TABLE inventory"/>
    <s v="GRANT MODIFY ON TABLE inventory TO tom.hanks@organization.com"/>
    <m/>
    <s v="E"/>
    <s v="Correct_x000a_Option E. GRANT MODIFY ON TABLE inventory TO tom.hanks@organization.com_x000a__x000a_Correct because in Databricks SQL, the MODIFY privilege allows a user to insert, update, and delete rows in a table._x000a_This is the most efficient way to grant Tom Hanks the required access without needing to separately assign INSERT and DELETE._x000a_Incorrect_x000a_Option A. GRANT INSERT, DELETE ON TABLE inventory TO tom.hanks@organization.com_x000a__x000a_Incorrect because Databricks SQL does not support granting INSERT and DELETE separately in this syntax._x000a_The correct privilege for row-level modifications is MODIFY._x000a_Option B. GRANT USAGE ON TABLE inventory TO tom.hanks@organization.com_x000a__x000a_Incorrect because USAGE only allows access to the object (e.g., schema or function) but does not grant permission to modify table data._x000a_It is typically used for schemas, catalogs, or functions, not for row-level operations._x000a_Option C. GRANT MODIFY TO tom.hanks@organization.com ON inventory_x000a__x000a_Incorrect because the syntax is wrong. In Databricks SQL, the correct format is GRANT &lt;privilege&gt; ON TABLE &lt;table_name&gt; TO &lt;principal&gt;._x000a_The placement of ON inventory without TABLE makes this invalid._x000a_Option D. GRANT INSERT, DELETE TO tom.hanks@organization.com ON TABLE inventory_x000a__x000a_Incorrect because, again, Databricks SQL does not support INSERT and DELETE as separate privileges._x000a_Only MODIFY covers these operations."/>
    <m/>
    <m/>
    <m/>
    <m/>
    <m/>
    <m/>
    <m/>
    <m/>
  </r>
  <r>
    <x v="0"/>
    <n v="1434"/>
    <x v="7"/>
    <n v="26"/>
    <s v="General"/>
    <s v="Conceptual"/>
    <s v="Easy"/>
    <s v="What would be the output when you run the following query on a table called customers?_x000a__x000a_SELECT COUNT(DISTINCT *) FROM customers;_x000a__x000a_customerID | customerName | customerAge | customerEmail_x000a_1          | Veronica     | 28          | veronica@pb.com_x000a_2          | Harry        | NULL        | harry@hogwarts.com_x000a_3          | Robin        | 24          | robin@himym.com_x000a_4          | Joey         | 32          | NULL"/>
    <s v="SELECT COUNT(DISTINCT *) FROM customers;"/>
    <n v="4"/>
    <n v="3"/>
    <n v="2"/>
    <n v="1"/>
    <m/>
    <s v="C"/>
    <s v="Correct_x000a_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_x000a_Incorrect_x000a_Option A. SELECT COUNT(DISTINCT *) FROM customers; Incorrect because this is the query itself, not the output. The exam asks for the result, not the statement._x000a_Option B. 4 Incorrect because it assumes there are 4 distinct rows, which is not the case in the given dataset._x000a_Option C. 3 Incorrect because it assumes 3 distinct rows, which does not match the dataset._x000a_Option E. 1 Incorrect because it assumes all rows are identical, which is not true."/>
    <m/>
    <m/>
    <m/>
    <n v="1"/>
    <n v="1"/>
    <m/>
    <m/>
    <m/>
  </r>
  <r>
    <x v="0"/>
    <n v="1435"/>
    <x v="7"/>
    <n v="27"/>
    <s v="General"/>
    <s v="Conceptual"/>
    <s v="Easy"/>
    <s v="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
    <s v="map(“delimiter“, “\t“, “header“, “true“))"/>
    <s v="options(“delimiter“, “\t“, “header“, “true“))"/>
    <s v="map(“lineSep“, “\t“, “header“, “true“))"/>
    <s v="options(“lineSep“, “\t“, “header“, “true“))"/>
    <s v="map(“delimiter“, “    “, “header“, “true“))"/>
    <m/>
    <s v="A"/>
    <s v="Correct_x000a_Option A. map(&quot;delimiter&quot;, &quot;\t&quot;, &quot;header&quot;, &quot;true&quot;))_x000a__x000a_Correct because Auto Loader with cloud_files() requires map() to specify file options._x000a_The correct parameters are:_x000a_delimiter = &quot;\t&quot; → ensures the CSV is parsed as tab‑delimited._x000a_header = &quot;true&quot; → ensures the first line is treated as column headers._x000a_This matches the ingestion requirements exactly._x000a_Incorrect_x000a_Option B. options(&quot;delimiter&quot;, &quot;\t&quot;, &quot;header&quot;, &quot;true&quot;))_x000a__x000a_Incorrect because cloud_files() expects map(), not options()._x000a_Using options() would cause a syntax error in Delta Live Tables._x000a_Option C. map(&quot;lineSep&quot;, &quot;\t&quot;, &quot;header&quot;, &quot;true&quot;))_x000a__x000a_Incorrect because lineSep defines line separators (e.g., \n), not field delimiters._x000a_Using \t for lineSep is invalid since tab characters separate fields, not lines._x000a_Option D. options(&quot;lineSep&quot;, &quot;\t&quot;, &quot;header&quot;, &quot;true&quot;))_x000a__x000a_Incorrect for two reasons:_x000a_Wrong function (options() instead of map())._x000a_Wrong parameter (lineSep instead of delimiter)._x000a_Option E. map(&quot;delimiter&quot;, &quot; &quot;, &quot;header&quot;, &quot;true&quot;))_x000a__x000a_Incorrect because the delimiter is set to spaces instead of tabs._x000a_This would fail to parse the tab‑delimited CSV correctly."/>
    <m/>
    <m/>
    <m/>
    <n v="1"/>
    <m/>
    <m/>
    <m/>
    <m/>
  </r>
  <r>
    <x v="0"/>
    <n v="1436"/>
    <x v="7"/>
    <n v="28"/>
    <s v="General"/>
    <s v="Conceptual"/>
    <s v="Easy"/>
    <s v="What is the output of the below function in Python? def my_func(x, y=1): if x &lt; y: x = 2 * x if x == y: x += 1 y -= 2 return (x, y) output = my_func(1, 2)"/>
    <s v="(2, 1)"/>
    <s v="(1, 2)"/>
    <s v="(3, 0)"/>
    <s v="(1, 1)"/>
    <s v="(2, 2)"/>
    <m/>
    <s v="C"/>
    <s v="Correct_x000a__x000a_Option C. (3, 0)_x000a__x000a_Correct._x000a_Matches the actual output of the function when called with (1, 2)._x000a_Incorrect_x000a__x000a_Option A. (2, 1)_x000a__x000a_Incorrect._x000a_This would be the result if the second if condition (x == y) was not executed. But since x == y after the first step, the values are updated further._x000a_Option B. (1, 2)_x000a__x000a_Incorrect._x000a_This is just the initial input values. The function modifies them, so this is not the output._x000a_Option D. (1, 1)_x000a__x000a_Incorrect._x000a_There is no path in the logic that produces (1, 1) with inputs (1, 2)._x000a_Option E. (2, 2)_x000a__x000a_Incorrect._x000a_After the first condition, x becomes 2, but then the second condition also executes, changing both x and y."/>
    <m/>
    <m/>
    <m/>
    <n v="1"/>
    <n v="1"/>
    <m/>
    <m/>
    <m/>
  </r>
  <r>
    <x v="0"/>
    <n v="1437"/>
    <x v="7"/>
    <n v="29"/>
    <s v="General"/>
    <s v="Conceptual"/>
    <s v="Easy"/>
    <s v="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
    <s v="James and Michael both are owners of new table called digital_marketing"/>
    <s v="James is the owner of marketing schema. So, all the tables in this schema will be owned by him."/>
    <s v="Michael is the owner of the digital_marketing table."/>
    <s v="Workspace admin is the owner of new table digital_marketing by default."/>
    <s v="Account admin is the owner of new table digital_marketinng by default."/>
    <m/>
    <s v="C"/>
    <s v="Manage Unity Catalog Object Ownership_x000a_Each securable object in Unity Catalog has an owner. The owner can be any account-level user or group, called a principal._x000a_The principal that creates an object becomes its initial owner. An objects owner has all privileges on the object, such as SELECT and MODIFY on a table, in addition to the permission to grant privileges to other principals._x000a_Object ownership can be transferred to other principals by either the current owner, a metastore admin, or the owner of the catalog or schema that contains the table._x000a_So, the correct answer is: “Michael is the owner of the digital_marketing table.“"/>
    <m/>
    <m/>
    <m/>
    <n v="1"/>
    <m/>
    <m/>
    <m/>
    <m/>
  </r>
  <r>
    <x v="0"/>
    <n v="1438"/>
    <x v="7"/>
    <n v="30"/>
    <s v="General"/>
    <s v="Conceptual"/>
    <s v="Easy"/>
    <s v="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
    <s v="Run REFRESH TABLE command before running COPY INTO again"/>
    <s v="AUTO LOADER should be used as COPY INTO doesn‘t work with incremental data ingestion"/>
    <s v="COPY INTO command is used to ingest data only once into a Delta table"/>
    <s v="COPY INTO command is idempotent and files in the source location that have already been loaded are skipped"/>
    <s v="INSERT OVERWRITE command should be used instead of COPY INTO command"/>
    <m/>
    <s v="D"/>
    <s v="The COPY INTO SQL command lets you load data from a file location into a Delta table. This is a re-triable and idempotent operation. It means files in the source location that have already been loaded are skipped. It helps to avoid duplication of records in our table._x000a_If you want to change this default setting and forcefully want to ingest the files that have already been loaded then you can do so by setting the force parameter to true inside COPY_OPTIONS._x000a_If set to true, idempotency is disabled and files are loaded regardless of whether theyve been loaded before._x000a_COPY INTO my_table_x000a_FROM ‘dbfs:/mnt/retail/bronze/*.csv‘_x000a_FILEFORMAT = CSV_x000a_COPY_OPTIONS (‘force‘ = ‘true‘)"/>
    <m/>
    <m/>
    <m/>
    <n v="1"/>
    <n v="1"/>
    <m/>
    <m/>
    <m/>
  </r>
  <r>
    <x v="0"/>
    <n v="1439"/>
    <x v="7"/>
    <n v="31"/>
    <s v="General"/>
    <s v="Conceptual"/>
    <s v="Easy"/>
    <s v="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
    <s v="try: ... catch:"/>
    <s v="try: ... error:"/>
    <s v="try: ... except:"/>
    <s v="try: ... fail:"/>
    <s v="try: ... exception:"/>
    <m/>
    <s v="C"/>
    <s v="Explanation of the changes:_x000a__x000a_try-except block: We wrap the division operation (result = num1 / num2) inside a try block._x000a_except ZeroDivisionError: Inside the except block, we specify the exception type as ZeroDivisionError. This block will only execute if a division by zero error occurs._x000a_Error message: Within the except block, we print a user-friendly message indicating the error._x000a_Set result to None: We set the result variable to None to indicate an error condition._x000a_Return: The function now returns the calculated result (result) if no error occurs, or None if a division by zero error happens."/>
    <m/>
    <m/>
    <m/>
    <n v="1"/>
    <m/>
    <m/>
    <m/>
    <m/>
  </r>
  <r>
    <x v="0"/>
    <n v="1440"/>
    <x v="7"/>
    <n v="32"/>
    <s v="General"/>
    <s v="Conceptual"/>
    <s v="Easy"/>
    <s v="What are the two types of enforced constraints that are supported on a Delta table in the Databricks?"/>
    <s v="NOT NULL, CHECK"/>
    <s v="PRIMARY KEY, FOREIGN KEY"/>
    <s v="UNIQUE, NOT NULL"/>
    <s v="DEFAULT, CHECK"/>
    <s v="CREATE INDEX, NOT NULL"/>
    <m/>
    <s v="A"/>
    <s v="Constraints on Databricks_x000a_Databricks supports standard SQL constraint management clauses. Constraints fall into two categories:_x000a_Enforced constraints ensure that the quality and integrity of data added to a table is automatically verified._x000a_Informational primary key and foreign key constraints encode relationships between fields in tables and are not enforced._x000a_All constraints on Databricks require Delta Lake._x000a_Enforced constraints on Databricks_x000a_When a constraint is violated, the transaction fails with an error. Two types of constraints are supported:_x000a_NOT NULL: indicates that values in specific columns cannot be null._x000a_CHECK: indicates that a specified boolean expression must be true for each input row._x000a_Set a NOT NULL constraint in Databricks_x000a_You specify NOT NULL constraints in the schema when you create a table. You drop or add NOT NULL constraints using the ALTER TABLE ALTER COLUMN command._x000a_CREATE TABLE people10m (_x000a_id INT NOT NULL,_x000a_firstName STRING,_x000a_middleName STRING NOT NULL,_x000a_lastName STRING,_x000a_gender STRING,_x000a_birthDate TIMESTAMP,_x000a_ssn STRING,_x000a_salary INT_x000a_) USING DELTA;_x000a_ALTER TABLE people10m ALTER COLUMN middleName DROP NOT NULL;_x000a_ALTER TABLE people10m ALTER COLUMN ssn SET NOT NULL;_x000a_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_x000a_Set a CHECK constraint in Databricks_x000a_You manage CHECK constraints using the ALTER TABLE ADD CONSTRAINT and ALTER TABLE DROP CONSTRAINT commands. ALTER TABLE ADD CONSTRAINT verifies that all existing rows satisfy the constraint before adding it to the table._x000a_CREATE TABLE people10m (_x000a_id INT,_x000a_firstName STRING,_x000a_middleName STRING,_x000a_lastName STRING,_x000a_gender STRING,_x000a_birthDate TIMESTAMP,_x000a_ssn STRING,_x000a_salary INT_x000a_) USING DELTA;_x000a_ALTER TABLE people10m ADD CONSTRAINT dateWithinRange CHECK (birthDate &gt; ‘1900-01-01‘);_x000a_ALTER TABLE people10m DROP CONSTRAINT dateWithinRange;_x000a_So, the correct answer is NOT NULL, CHECK"/>
    <m/>
    <m/>
    <m/>
    <n v="1"/>
    <m/>
    <m/>
    <m/>
    <m/>
  </r>
  <r>
    <x v="0"/>
    <n v="1441"/>
    <x v="7"/>
    <n v="33"/>
    <s v="General"/>
    <s v="Conceptual"/>
    <s v="Easy"/>
    <s v="A data engineer is working on a task involving two Delta tables having the same schema. She wants to figure out the records which are common and present in both of these tables. Which of the following SQL commands can be used by her to accomplish this task?"/>
    <s v="MINUS"/>
    <s v="UNION"/>
    <s v="INTERSECT"/>
    <s v="UNION ALL"/>
    <s v="COPY INTO"/>
    <m/>
    <s v="C"/>
    <s v="Let‘s try to understand the concepts given below.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So, the correct answer is: INTERSECT"/>
    <m/>
    <m/>
    <m/>
    <m/>
    <m/>
    <m/>
    <m/>
    <m/>
  </r>
  <r>
    <x v="0"/>
    <n v="1442"/>
    <x v="7"/>
    <n v="34"/>
    <s v="General"/>
    <s v="Conceptual"/>
    <s v="Easy"/>
    <s v="Which of the following data workloads will utilize a Bronze table as its source?"/>
    <s v="A job that ingests raw data from a streaming source into the Lakehouse"/>
    <s v="A job that develops a feature set for a machine learning application"/>
    <s v="A job that aggregates cleaned data to create standard summary statistics"/>
    <s v="A job that cleanses data by removing junk characters from its columns and parse them into a human-readable format"/>
    <s v="A job that queries aggregated data to publish key insights into a dashboard"/>
    <m/>
    <s v="D"/>
    <s v="Let‘s try to understand the answer of this question._x000a_Bronze Tables_x000a_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_x000a_Silver Tables_x000a_Silver tables provide a more refined view of our data. We can cleanse the data by removing unwanted characters from fields, select required fields and join fields from various bronze tables to enrich streaming records, or update account statuses based on recent activity._x000a_So, the correct answer is “A job that cleanses data by removing junk characters from its columns and parse them into a human-readable format“."/>
    <m/>
    <m/>
    <m/>
    <m/>
    <m/>
    <m/>
    <m/>
    <m/>
  </r>
  <r>
    <x v="0"/>
    <n v="1443"/>
    <x v="7"/>
    <n v="35"/>
    <s v="General"/>
    <s v="Conceptual"/>
    <s v="Easy"/>
    <s v="What are the output modes available in the Spark Structured Streaming?"/>
    <s v="Append, Complete, Merge"/>
    <s v="Merge, Overwrite, Append"/>
    <s v="Merge, Update, Complete"/>
    <s v="Overwrite, Append, Update"/>
    <s v="Append, Complete, Update"/>
    <m/>
    <s v="E"/>
    <s v="Let‘s try to find out the correct answer for this question._x000a_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Complete, Update"/>
    <m/>
    <m/>
    <m/>
    <n v="1"/>
    <m/>
    <m/>
    <m/>
    <m/>
  </r>
  <r>
    <x v="0"/>
    <n v="1444"/>
    <x v="7"/>
    <n v="36"/>
    <s v="General"/>
    <s v="Conceptual"/>
    <s v="Easy"/>
    <s v="A data engineer has set up a Delta Live Tables pipeline that updates all the tables once and then stops. The compute resources of the pipeline persist to allow for additional testing. Which of the following options correctly describes the execution modes of this DLT pipeline?"/>
    <s v="DLT pipeline is configured to run in Development mode using the Continuous Pipeline mode."/>
    <s v="DLT pipeline is configured to run in Production mode using the Continuous Pipeline mode."/>
    <s v="DLT pipeline is configured to run in Development mode using the Triggered Pipeline mode."/>
    <s v="DLT pipeline is configured to run in Production mode mode using the Triggered Pipeline mode."/>
    <s v="Cannot infer the execution mode of DLT Pipeline from the above information"/>
    <m/>
    <s v="C"/>
    <s v="Let‘s try to understand the correct answer for this question by looking at different execution modes._x000a_Development Mode: When you run your pipeline in development mode, the Delta Live Tables system does the following._x000a_Reuses a cluster to avoid the overhead of restarts. By default, clusters run for two hours when development mode is enabled. You can change this with the pipelines.clusterShutdown.delay setting in the Cluster configuration._x000a_Disables pipeline retries so you can immediately detect and fix errors._x000a_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_x000a_So, the correct answer is: DLT pipeline is configured to run in Development mode using the Triggered Pipeline mode."/>
    <m/>
    <m/>
    <m/>
    <n v="1"/>
    <n v="1"/>
    <m/>
    <m/>
    <m/>
  </r>
  <r>
    <x v="0"/>
    <n v="1445"/>
    <x v="7"/>
    <n v="37"/>
    <s v="General"/>
    <s v="Conceptual"/>
    <s v="Easy"/>
    <s v="What is the underlying mechanism used by the Auto Loader to incrementally and efficiently process new data files as they arrive in cloud storage?"/>
    <s v="Delta Live Tables"/>
    <s v="Databricks SQL"/>
    <s v="Multi-hop Architecture"/>
    <s v="COPY INTO"/>
    <s v="Structured Streaming"/>
    <m/>
    <s v="E"/>
    <s v="How does Auto Loader work?_x000a_Auto Loader provides a Structured Streaming source called cloudFiles. Given an input directory path on the cloud file storage, the cloudFiles source automatically processes new files as they arrive, with the option of also processing existing files in that directory._x000a_You can use Auto Loader to process billions of files to migrate or backfill a table. Auto Loader scales to support near real-time ingestion of millions of files per hour._x000a_How does Auto Loader track ingestion progress?_x000a_As files are discovered, their metadata is persisted in a scalable key-value store (RocksDB) in the checkpoint location of your Auto Loader pipeline. This key-value store ensures that data is processed exactly once._x000a_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Structured Streaming."/>
    <m/>
    <m/>
    <m/>
    <m/>
    <m/>
    <m/>
    <m/>
    <m/>
  </r>
  <r>
    <x v="0"/>
    <n v="1446"/>
    <x v="7"/>
    <n v="38"/>
    <s v="General"/>
    <s v="Conceptual"/>
    <s v="Easy"/>
    <s v="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
    <s v="Manually reload and process the data which got skipped due to this issue and then trigger the pipeline again."/>
    <s v="Start ingesting the data from scratch and reprocess everything again."/>
    <s v="Auto Loader uses checkpointing and write-ahead logs to allow a terminated stream to be restarted and continue from where it left off to ensure end-to-end, exactly-once semantics under any failure condition."/>
    <s v="Using Auto Loader, create a separate pipeline for the new data files arriving in cloud storage."/>
    <s v="Move the data files that were not processed to another location and manually run the queries on them to process data and then merge into original target location."/>
    <m/>
    <s v="C"/>
    <s v="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Auto Loader uses checkpointing and write-ahead logs to allow a terminated stream to be restarted and continue from where it left off to ensure end-to-end, exactly-once semantics under any failure condition“"/>
    <m/>
    <m/>
    <m/>
    <n v="1"/>
    <n v="1"/>
    <m/>
    <m/>
    <m/>
  </r>
  <r>
    <x v="0"/>
    <n v="1447"/>
    <x v="7"/>
    <n v="39"/>
    <s v="General"/>
    <s v="Conceptual"/>
    <s v="Easy"/>
    <s v="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
    <s v="Manually refresh the dashboard in every 1 hour instead of setting an automatic refresh schedule"/>
    <s v="Temporarily pause scheduled dashboard updates when it has been refreshed recently"/>
    <s v="Increase the cluster size of the SQL endpoint"/>
    <s v="Increase the maximum bound of the SQL endpoints scaling range"/>
    <s v="Stop automatically updating the dashboard after one week to reduce the cost of SQL warehouse"/>
    <m/>
    <s v="E"/>
    <s v="Stop automatically updating a dashboard_x000a_If a dashboard is configured for automatic updates, it has a Scheduled button at the top, rather than a Schedule button. To stop automatically updating the dashboard and remove its subscriptions:_x000a_1. Click Scheduled._x000a_2. In the Refresh every drop-down, select Never._x000a_3. Click Save. The Scheduled button label changes to Schedule."/>
    <m/>
    <m/>
    <m/>
    <m/>
    <m/>
    <m/>
    <m/>
    <m/>
  </r>
  <r>
    <x v="0"/>
    <n v="1448"/>
    <x v="7"/>
    <n v="40"/>
    <s v="General"/>
    <s v="Conceptual"/>
    <s v="Easy"/>
    <s v="What is the normalized unit of processing power on the Databricks Lakehouse Platform used for measurement and pricing purpose of different workloads?"/>
    <s v="Databricks Normalized Unit (DNU)"/>
    <s v="Databricks Lakehouse Platform Unit (DLPU)"/>
    <s v="Databricks Unit (DBU)"/>
    <s v="Databricks Cluster Unit (DCU)"/>
    <s v="Databricks Standard Unit (DSU)"/>
    <m/>
    <s v="C"/>
    <s v="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_x000a_So, the correct answer is: Databricks Unit (DBU)"/>
    <m/>
    <m/>
    <m/>
    <m/>
    <n v="1"/>
    <m/>
    <m/>
    <s v="DBU"/>
  </r>
  <r>
    <x v="0"/>
    <n v="1449"/>
    <x v="7"/>
    <n v="41"/>
    <s v="General"/>
    <s v="Conceptual"/>
    <s v="Easy"/>
    <s v="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
    <s v="David needs to be the owner of regional_sales_vw to access it"/>
    <s v="Ross needs to take the transfer of ownership of sales table from Mike"/>
    <s v="Mike needs to provide SELECT privilege to David on sales table"/>
    <s v="David needs to be the owner of sales table in order to access regional_sales_vw"/>
    <s v="Ross needs to provide SELECT privilege to David on sales table"/>
    <m/>
    <s v="C"/>
    <s v="Let‘s figure out the correct answer for this question._x000a_A user has SELECT privileges on a view of table T, but when that user tries to SELECT from that view, they get the error User does not have privilege SELECT on table._x000a_This common error can occur for one of the following reasons:_x000a_Table T has no registered owner because it was created using a cluster or SQL warehouse for which table access control is disabled._x000a_The grantor of the SELECT privilege on a view of table T is not the owner of table T or the user does not also have select SELECT privilege on table T._x000a_Suppose there is a table T owned by A. A owns view V1 on T and B owns view V2 on T._x000a_A user can select on V1 when A has granted SELECT privileges on view V1._x000a_A user can select on V2 when A has granted SELECT privileges on table T and B has granted SELECT privileges on V2._x000a_In our scenario, Ross has granted SELECT privilege on regional_sales_vw to David but he does not have SELECT privilege on sales table. In order to query the view, David needs SELECT privilege on both table and view._x000a_So, the correct answer is Mike needs to provide SELECT privilege to David on sales table."/>
    <m/>
    <m/>
    <m/>
    <m/>
    <m/>
    <m/>
    <m/>
    <m/>
  </r>
  <r>
    <x v="0"/>
    <n v="1450"/>
    <x v="7"/>
    <n v="42"/>
    <s v="General"/>
    <s v="Conceptual"/>
    <s v="Easy"/>
    <s v="A data engineer has to create a Delta table called students in the format given below._x000a__x000a_id | name             | dateOfBirth | email_x000a_s1 | Sameer Malhotra  | 1999-07-27  | sameer.malhotra@univ.edu_x000a_s2 | Rohan Gavaskar   | 1998-08-30  | rohan.gavaskar@univ.edu_x000a_...| ...              | ...         | ..._x000a__x000a_Which of the following SQL DDL commands can be used by the data engineer to create an empty Delta table in the above format regardless of whether a table already exists with this name?"/>
    <s v="CREATE TABLE IF NOT EXISTS students_x000a_(_x000a_id STRING,_x000a_name STRING,_x000a_dateOfBirth DATE,_x000a_email STRING_x000a_)"/>
    <s v="CREATE OR REPLACE TABLE students_x000a_(_x000a_id STRING,_x000a_name STRING,_x000a_dateOfBirth DATE,_x000a_email STRING_x000a_)"/>
    <s v="CREATE TABLE students_x000a_(_x000a_id STRING,_x000a_name STRING,_x000a_dateOfBirth DATE,_x000a_email STRING_x000a_)"/>
    <s v="CREATE OR REPLACE TABLE IF EXISTS students_x000a_(_x000a_id STRING,_x000a_name STRING,_x000a_dateOfBirth DATE,_x000a_email STRING_x000a_)"/>
    <s v="CREATE OR REPLACE TABLE students AS_x000a_SELECT_x000a_id STRING,_x000a_name STRING,_x000a_dateOfBirth DATE,_x000a_email STRING_x000a_USING DELTA"/>
    <m/>
    <s v="B"/>
    <s v="Correct_x000a_Let’s try to understand the answer of this question._x000a__x000a_CREATE OR REPLACE TABLE can be used to create a table for the first time if it doesn’t exists OR it can used to replace a table if the table already exists. So, all the options which do not use this are incorrect. We’re left 3 options, let’s examine each of them._x000a__x000a_CREATE OR REPLACE TABLE IF EXISTS students_x000a_(_x000a_id STRING,_x000a_name STRING,_x000a_dateOfBirth DATE,_x000a_email STRING_x000a_)_x000a_INCORRECT: It’s because along with CREATE OR REPLACE TABLE, there is IF EXISTS mentioned which is invalid._x000a__x000a_CREATE OR REPLACE TABLE students AS_x000a_SELECT_x000a_id STRING,_x000a_name STRING,_x000a_dateOfBirth DATE,_x000a_email STRING_x000a_USING DELTA_x000a_INCORRECT: It’s wrong because we need to create an empty Delta table and here, it uses CRAS statement which means creating a table using SELECT statement to copy the data from other table or view._x000a__x000a_CREATE OR REPLACE TABLE students_x000a_(_x000a_id STRING,_x000a_name STRING,_x000a_dateOfBirth DATE,_x000a_email STRING_x000a_)_x000a_CORRECT: It’s the right answer. It will create the table it doesn’t exists or replace if it already exists. Moreover, the default table type in Databricks is DELTA which means that adding USING DELTA at the end of the query is optional."/>
    <m/>
    <m/>
    <m/>
    <m/>
    <m/>
    <m/>
    <m/>
    <m/>
  </r>
  <r>
    <x v="0"/>
    <n v="1451"/>
    <x v="7"/>
    <n v="43"/>
    <s v="General"/>
    <s v="Conceptual"/>
    <s v="Easy"/>
    <s v="Which of the following is present in the Control Plane of Databricks Architecture?"/>
    <s v="Databricks Web Application"/>
    <s v="Databricks File System"/>
    <s v="Driver Node"/>
    <s v="Worker Node"/>
    <s v="None of the above"/>
    <m/>
    <s v="B"/>
    <s v="Databricks Control Plane and Data Plane Architecture_x000a__x000a_Databricks operates using two primary architectural components: a control plane and a data plane._x000a__x000a_Control Plane:_x000a_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_x000a__x000a_Data Plane:_x000a_The data plane is where customer data is processed._x000a__x000a_For most Databricks workloads, compute resources run in the customer’s cloud account within the Classic data plane. This includes Databricks notebooks, jobs, and Classic Databricks SQL warehouses._x000a__x000a_When using Serverless compute for Databricks SQL, compute resources run in a shared Serverless data plane managed by Databricks. However, notebooks, jobs, and Classic SQL warehouses continue to run in the customer-managed Classic data plane._x000a__x000a_This separation allows Databricks to manage platform services securely while customers retain control over their data and compute resources."/>
    <m/>
    <m/>
    <m/>
    <n v="1"/>
    <n v="1"/>
    <m/>
    <n v="1"/>
    <m/>
  </r>
  <r>
    <x v="0"/>
    <n v="1452"/>
    <x v="7"/>
    <n v="44"/>
    <s v="General"/>
    <s v="Conceptual"/>
    <s v="Easy"/>
    <s v="Where are the interactive notebook results stored in the Databricks Architecture?"/>
    <s v="Databricks Web Application"/>
    <s v="Control Plane"/>
    <s v="Data Plane"/>
    <s v="Customer Managed Cloud Storage"/>
    <s v="Control Plane &amp; Customer Managed Cloud Storage"/>
    <m/>
    <s v="E"/>
    <s v="Let’s try to understand the answer for this question by looking at the Databricks Architecture._x000a__x000a_Interactive notebook results are stored in a combination of the control plane which are basically the partial results used for presentation in the UI and your Azure or AWS cloud storage._x000a_If you want interactive notebook results stored only in your cloud account storage, you can ask your Databricks representative to enable interactive notebook results in the customer account for your workspace._x000a_Note that some metadata about results, such as chart column names, continues to be stored in the control plane. This feature is in Public Preview._x000a_Learn More: Databricks Architecture"/>
    <m/>
    <m/>
    <m/>
    <n v="1"/>
    <n v="1"/>
    <m/>
    <m/>
    <m/>
  </r>
  <r>
    <x v="0"/>
    <n v="1453"/>
    <x v="7"/>
    <n v="45"/>
    <s v="General"/>
    <s v="Conceptual"/>
    <s v="Easy"/>
    <s v="Which of the following is not a key feature of Databricks Lakehouse Platform?"/>
    <s v="Support for ACID transactions"/>
    <s v="Support for diverse data types ranging from unstructured to structured data"/>
    <s v="Schema enforcement and governance"/>
    <s v="Support for diverse workloads like Machine Learning and SQL analytics"/>
    <s v="Storage is coupled with compute"/>
    <m/>
    <s v="E"/>
    <s v="Lakehouse Key Features_x000a_• Transaction support: In an enterprise lakehouse, many data pipelines read and write data concurrently. Support for ACID transactions ensures consistency when multiple parties read or write data at the same time, typically using SQL._x000a_• Schema enforcement and governance: The lakehouse supports schema enforcement and evolution, enabling data warehouse architectures such as star and snowflake schemas. It can reason about data integrity and provides robust governance and auditing mechanisms._x000a_• BI support: Lakehouses allow BI tools to operate directly on source data, reducing staleness, improving recency, lowering latency, and eliminating the need to maintain duplicate data copies in both a data lake and a warehouse._x000a_• Storage decoupled from compute: Storage and compute use separate clusters, allowing systems to scale to many more concurrent users and larger data sizes. Some modern data warehouses also share this property. See Hyperlink._x000a_• Openness: Lakehouses use open, standardized storage formats such as Parquet and provide APIs for a variety of tools and engines, including machine learning and Python/R libraries, to efficiently access data directly._x000a_• Support for diverse data types: Lakehouses support data ranging from unstructured to structured formats, enabling storage, refinement, analysis, and access to data such as images, video, audio, semi‑structured data, and text._x000a_• Support for diverse workloads: Lakehouses support data science, machine learning, SQL, and analytics workloads, allowing multiple tools to operate on the same shared data repository._x000a_• End‑to‑end streaming: Built‑in support for real‑time streaming eliminates the need for separate systems dedicated to serving real‑time data applications."/>
    <m/>
    <m/>
    <m/>
    <m/>
    <n v="1"/>
    <m/>
    <n v="1"/>
    <m/>
  </r>
  <r>
    <x v="0"/>
    <n v="1454"/>
    <x v="7"/>
    <n v="46"/>
    <s v="General"/>
    <s v="Conceptual"/>
    <s v="Easy"/>
    <s v="What are the two main task orchestration services available in the Databricks?"/>
    <s v="Workflow Jobs (Workflows) and Delta Live Tables (DLT)"/>
    <s v="Auto Loader and Delta Live Tables (DLT)"/>
    <s v="Delta Live Tables (DLT) and Databricks SQL"/>
    <s v="Data Science &amp; Engineering and Machine Learning"/>
    <s v="Databricks SQL and Auto Loader"/>
    <m/>
    <s v="A"/>
    <s v="Correct answer:_x000a_The two main task orchestration services available in Databricks are Workflow Jobs and Delta Live Tables (DLT)._x000a__x000a_Databricks Workflows provides two primary orchestration services:_x000a__x000a_• Workflow Jobs (Workflows):_x000a_  Used to orchestrate and schedule jobs. Workflows allow you to define tasks, dependencies, retries, and scheduling for notebooks, JARs, Python scripts, SQL tasks, and more._x000a__x000a_• Delta Live Tables (DLT):_x000a_  Used to build automated, reliable data pipelines for Delta Lake. DLT manages data ingestion, transformations, data quality, and pipeline execution._x000a__x000a_Additional note:_x000a_A Delta Live Tables (DLT) pipeline can be configured as a task within a Databricks Workflow, allowing DLT pipelines to be orchestrated alongside other job tasks._x000a__x000a_So, the correct answer is:_x000a_Workflow Jobs (Workflows) and Delta Live Tables (DLT)."/>
    <m/>
    <m/>
    <m/>
    <n v="1"/>
    <n v="1"/>
    <m/>
    <m/>
    <m/>
  </r>
  <r>
    <x v="0"/>
    <n v="1455"/>
    <x v="7"/>
    <n v="47"/>
    <s v="General"/>
    <s v="Conceptual"/>
    <s v="Easy"/>
    <s v="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
    <s v="Upgrade the existing SQL warehouse to a serverless SQL warehouse"/>
    <s v="Restart the SQL warehouse and then manually refresh the dashboard"/>
    <s v="Limit the amount of data fetched by the query"/>
    <s v="Use Query History, click the name of the query and then click View Query Profile to see the time spent in each step"/>
    <s v="Perform Optimization and Z-Ordering on the table which is used by the query"/>
    <m/>
    <s v="D"/>
    <s v="Let’s try to understand the correct answer of this question by looking at the concept of Query Profile._x000a__x000a_Query Profile_x000a__x000a_You can use a query profile to visualize the details of a query execution. The query profile helps you troubleshoot performance bottlenecks during the query’s execution. For example:_x000a__x000a_You can visualize each query task and its related metrics, such as the time spent, number of rows processed, rows processed, and memory consumption._x000a_You can identify the slowest part of a query execution at a glance and assess the impacts of modifications to the query._x000a_You can discover and fix common mistakes in SQL statements, such as exploding joins or full table scans._x000a_Requirements_x000a__x000a_To view a query profile, you must either be the owner of the query or you must have the Can Manage permission on the SQL warehouse that executed the query._x000a__x000a_View a query profile_x000a__x000a_To view the profile for a query:_x000a__x000a_View query history._x000a_Click the name of a query._x000a_Click View Query Profile. An overview of basic query metrics appears._x000a__x000a_To view the query profile in tree view (the default), click Tree view. To view the query profile as a graph, click Graph view._x000a_Tree view is optimized for quickly finding issues with the query’s performance, such as identifying the longest-running operator._x000a_Graph view is optimized for visualizing how data flows from one node to another._x000a_In tree view or graph view, you can click one of the tabs at the top of the page to view details about each of the query’s tasks._x000a_Time: The sum of execution time spent by all tasks for each operation._x000a_Rows: The number and size of the rows affected by each of the query’s tasks._x000a_Memory: The peak memory each of the query’s tasks consumed._x000a_In tree view, if a task has sub-tasks, you can click &gt; to expand it. In graph view, click a node to show its details._x000a_Each task’s operation is shown. By default, tasks and metrics for some operations are hidden. These operations are unlikely to be the cause of performance bottlenecks. To see information for all operations, and to see additional metrics, click_x000a__x000a_at the top of the page, then click Enable verbose mode. The most common operations are:_x000a_Scan: Data was read from a datasource and output as rows._x000a_Join: Rows from multiple relations were combined (interleaved) into a single set of rows._x000a_Union: Rows from multiple relations that use the same schema were concatenated into a single set of rows._x000a_Shuffle: Data was redistributed or repartitioned. Shuffle operations are expensive with regard to resources because they move data between executors on the cluster._x000a_Hash / Sort: Rows were grouped by a key and evaluated using an aggregate function such as SUM, COUNT, or MAX within each group._x000a_Filter: Input is filtered according to a criteria, such as by a WHERE clause, and a subset of rows is returned._x000a_(Reused) Exchange: A Shuffle or Broadcast Exchange is used to redistribute the data among the cluster nodes based on the desired partitioning._x000a_Collect Limit: The number of rows returned was truncated by using a LIMIT statement._x000a_Take Ordered And Project: The top N rows of the query result were returned._x000a_To view the query profile in the Apache Spark UI, click_x000a__x000a_at the top of the page, then click Open in Spark UI._x000a_To close the imported query profile, click X at the top of the page._x000a_So, the correct answer is: Use Query History, click the name of the query and then click View Query Profile to see the time spent in each step."/>
    <m/>
    <m/>
    <m/>
    <m/>
    <n v="1"/>
    <m/>
    <n v="1"/>
    <m/>
  </r>
  <r>
    <x v="0"/>
    <n v="1456"/>
    <x v="7"/>
    <n v="48"/>
    <s v="General"/>
    <s v="Conceptual"/>
    <s v="Easy"/>
    <s v="A data engineer has set up a notebook to automatically process it using a Databricks Job. The data engineer’s manager wants to version control the schedule due to its complexity."/>
    <s v="They can download the XML description of the Job from the Jobs page."/>
    <s v="They can submit the Job once on a Job cluster."/>
    <s v="They can link the Job to notebooks that are a part of a Databricks Repo."/>
    <s v="They can download the JSON description of the Job from the Jobs page."/>
    <s v="They can submit the Job once on an all-purpose cluster."/>
    <m/>
    <s v="D"/>
    <s v="We can download the JSON description of the Job from the Job’s page. See the screenshot given below._x000a_See Graphic"/>
    <m/>
    <m/>
    <m/>
    <n v="1"/>
    <n v="1"/>
    <m/>
    <n v="1"/>
    <m/>
  </r>
  <r>
    <x v="0"/>
    <n v="1457"/>
    <x v="7"/>
    <n v="49"/>
    <s v="General"/>
    <s v="Conceptual"/>
    <s v="Easy"/>
    <s v="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
    <s v="(spark.readStream .format(“cloudFiles“) .option(“cloudFiles.format“, “json“) .option(“cloudFiles.enforceSchema“, “time TIMESTAMP“) .option(“cloudFiles.schemaLocation“, “dbfs:/mnt/datalake/bronze/checkpoint“) .load(“dbfs:/mnt/datalake/bronze/recordings“) .createOrReplaceTempView(“recordings_raw_temp“) )"/>
    <s v="(spark.readStream .format(“cloudFiles“) .option(“cloudFiles.format“, “json“) .option(“cloudFiles.inferColumnTypes“, “time TIMESTAMP“) .option(“cloudFiles.schemaLocation“, “dbfs:/mnt/datalake/bronze/checkpoint“) .load(“dbfs:/mnt/datalake/bronze/recordings“) .createOrReplaceTempView(“recordings_raw_temp“) )"/>
    <s v="(spark.readStream .format(“cloudFiles“) .option(“cloudFiles.format“, “json“) .option(“cloudFiles.schemaHints“, “time TIMESTAMP“) .option(“cloudFiles.schemaLocation“, “dbfs:/mnt/datalake/bronze/checkpoint“) .load(“dbfs:/mnt/datalake/bronze/recordings“) .createOrReplaceTempView(“recordings_raw_temp“) )"/>
    <s v="(spark.readStream .format(“cloudFiles“) .option(“cloudFiles.format“, “json“) .option(“cloudFiles.schemaDetails“, “time TIMESTAMP“) .option(“cloudFiles.schemaLocation“, “dbfs:/mnt/datalake/bronze/checkpoint“) .load(“dbfs:/mnt/datalake/bronze/recordings“) .createOrReplaceTempView(“recordings_raw_temp“) )"/>
    <s v="(spark.readStream .format(“cloudFiles“) .option(“cloudFiles.format“, “json“) .option(“cloudFiles.schemaHint“, “time TIMESTAMP“) .option(“cloudFiles.schemaLocation“, “dbfs:/mnt/datalake/bronze/checkpoint“) .load(“dbfs:/mnt/datalake/bronze/recordings“) .createOrReplaceTempView(“recordings_raw_temp“) )"/>
    <m/>
    <s v="C"/>
    <s v="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_x000a__x000a_.option(“cloudFiles.schemaHints”, “tags map&lt;string,string&gt;, version int”)_x000a_If a column is not present at the start of the stream, you can also use schema hints to add that column to the inferred schema. Here is an example of an inferred schema to see the behavior with schema hints._x000a__x000a_Inferred schema:_x000a__x000a_|– date: string_x000a_|– quantity: int_x000a_|– user_info: struct_x000a_| |– id: string_x000a_| |– name: string_x000a_| |– dob: string_x000a_|– purchase_options: struct_x000a_| |– delivery_add_x000a_By specifying the following schema hints:_x000a__x000a_.option(“cloudFiles.schemaHints”, “date DATE, user_info.dob DATE, purchase_options MAP&lt;STRING,STRING&gt;, time TIMESTAMP”)_x000a_you get:_x000a__x000a_|– date: string -&gt; date_x000a_|– quantity: int_x000a_|– user_info: struct_x000a_| |– id: string_x000a_| |– name: string_x000a_| |– dob: string -&gt; date_x000a_|– purchase_options: struct -&gt; map&lt;string,string&gt;_x000a_|– time: timestamp_x000a_So, the correct answer of this question is:_x000a__x000a_(spark.readStream_x000a_.format(“cloudFiles”)_x000a_.option(“cloudFiles.format”, “json”)_x000a_.option(“cloudFiles.schemaHints”, “time TIMESTAMP”)_x000a_.option(“cloudFiles.schemaLocation”, “dbfs:/mnt/datalake/bronze/checkpoint”)_x000a_.load(“dbfs:/mnt/datalake/bronze/recordings”)_x000a_.createOrReplaceTempView(“recordings_raw_temp”)_x000a_)"/>
    <m/>
    <m/>
    <m/>
    <n v="1"/>
    <n v="1"/>
    <m/>
    <n v="1"/>
    <m/>
  </r>
  <r>
    <x v="0"/>
    <n v="1458"/>
    <x v="7"/>
    <n v="50"/>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
    <s v="50 seconds"/>
    <s v="5 minutes"/>
    <s v="500 milliseconds"/>
    <s v="0.5 hours"/>
    <s v="5000 microseconds"/>
    <m/>
    <s v="C"/>
    <s v="Spark Structured Streaming Trigger Intervals_x000a__x000a_When defining a streaming write, the trigger specifies when Spark should process the next batch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then stops._x000a__x000a_Triggered Micro‑Batch (Available Now):_x000a_.trigger(availableNow = true)_x000a_The query executes multiple micro‑batches to process all available data, then stops._x000a__x000a_Triggers control the frequency of micro‑batches. By default, Spark automatically detects and processes all new data since the last trigger._x000a__x000a_Correct Answer Explanation:_x000a_Because no trigger method was specified in the code, Spark uses the default trigger interval, which is equivalent to processingTime = &quot;500ms&quot;._x000a__x000a_Correct Answer: 500 ms"/>
    <m/>
    <m/>
    <m/>
    <n v="1"/>
    <m/>
    <m/>
    <n v="1"/>
    <m/>
  </r>
  <r>
    <x v="0"/>
    <n v="1459"/>
    <x v="7"/>
    <n v="51"/>
    <s v="General"/>
    <s v="Conceptual"/>
    <s v="Easy"/>
    <s v="Which of the following is present in the Control Plane of Databricks Architecture?"/>
    <s v="Databricks Web Application"/>
    <s v="Databricks File System"/>
    <s v="Driver Node"/>
    <s v="Worker Node"/>
    <s v="None of the above"/>
    <m/>
    <s v="E"/>
    <s v="Let’s try to understand the correct answer of this question._x000a__x000a_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_x000a_If you want to use LEFT OUTER JOIN, you can keep the customers table on the LEFT hand side and orders table on the RIGHT hand side._x000a_If you want to perform RIGHT OUTER JOIN, you can use the orders table on the LEFT hand side and customers table on the RIGHT hand side._x000a_Learn More: Joins in Databricks SQL"/>
    <m/>
    <m/>
    <m/>
    <n v="1"/>
    <m/>
    <m/>
    <m/>
    <m/>
  </r>
  <r>
    <x v="0"/>
    <n v="1460"/>
    <x v="7"/>
    <n v="52"/>
    <s v="General"/>
    <s v="Conceptual"/>
    <s v="Easy"/>
    <s v="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
    <s v="GRANT ALL PRIVILEGES ON TABLE products TO peter.parker@mycompany.com;"/>
    <s v="GRANT USAGE TO peter.parker@mycompany.com ON products;"/>
    <s v="GRANT ALL PRIVILEGES TO peter.parker@mycompany.com ON products;"/>
    <s v="GRANT SELECT ON TABLE products TO peter.parker@mycompany.com;"/>
    <s v="GRANT ALL PRIVILEGES ON TABLE peter.parker@mycompany.com TO customers;"/>
    <m/>
    <s v="A"/>
    <s v="Databricks SQL Privileges and GRANT Statements_x000a__x000a_Databricks uses SQL GRANT statements to assign privileges on securable objects such as schemas and tables._x000a__x000a_Examples:_x000a_GRANT CREATE ON SCHEMA &lt;schema-name&gt; TO `user@email.com`;_x000a_GRANT ALL PRIVILEGES ON TABLE forecasts TO finance;_x000a_GRANT SELECT ON TABLE sample_data TO users;_x000a__x000a_Privilege Definitions:_x000a__x000a_ALL PRIVILEGES:_x000a_Grants all available privileges on an object. This is translated into all individual privileges listed below._x000a__x000a_SELECT:_x000a_Grants read access to an object._x000a__x000a_MODIFY:_x000a_Grants the ability to add, delete, and modify data in an object._x000a__x000a_READ_METADATA:_x000a_Grants the ability to view an object and its metadata._x000a__x000a_USAGE:_x000a_Does not grant access by itself, but is required to perform actions on a database object._x000a__x000a_CREATE:_x000a_Grants the ability to create objects (for example, tables within a schema)._x000a__x000a_Correct Answer:_x000a_GRANT ALL PRIVILEGES ON TABLE products TO peter.parker@mycompany.com;"/>
    <m/>
    <m/>
    <m/>
    <m/>
    <n v="1"/>
    <m/>
    <m/>
    <m/>
  </r>
  <r>
    <x v="0"/>
    <n v="1461"/>
    <x v="7"/>
    <n v="53"/>
    <s v="General"/>
    <s v="Conceptual"/>
    <s v="Easy"/>
    <s v="A data engineer has to upgrade a schema called retail from the default Hive metastore to the Unity Catalog metastore. Which of the following options inside Databricks Lakehouse Platform can be used by him to accomplish this task through the UI?"/>
    <s v="Workspace"/>
    <s v="Repos"/>
    <s v="Workflows"/>
    <s v="Compute"/>
    <s v="Data Explorer"/>
    <m/>
    <s v="E"/>
    <s v="Upgrade a schema or multiple tables to Unity Catalog_x000a__x000a_You can copy complete schemas (databases) and multiple external tables from your default Hive metastore to the Unity Catalog metastore using the Data Explorer upgrade wizard._x000a__x000a_Requirements_x000a__x000a_Before you begin, you must have:_x000a__x000a_A storage credential that contains the information about a service principal authorized to access the table’s location path._x000a_An external location that references the storage credential you just created and the path to the data on your cloud tenant._x000a_CREATE EXTERNAL TABLE permission on the external locations of the tables to be upgraded._x000a_Upgrade process_x000a__x000a_Click_x000a__x000a_Data in the sidebar to open the Data Explorer._x000a_Select hive_metastore as your catalog and select the schema (database) that you want to upgrade._x000a__x000a_Click Upgrade at the top right of the schema detail view._x000a_Select all of the tables that you want to upgrade and click Next._x000a_Only external tables in formats supported by Unity Catalog can be upgraded using the upgrade wizard._x000a_Set the destination catalog and schema for each table._x000a_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_x000a_Review the table configurations. To modify them, click the Previous button._x000a_Click Create Query for Upgrade._x000a_A query editor appears with generated SQL statements._x000a_Run the query._x000a_When the query is done, each table’s metadata has been copied from Hive metastore to Unity Catalog. These tables are marked as upgraded in the upgrade wizard._x000a_Define fine-grained access control using the Permissions tab of each new table._x000a_Modify your workloads to use the new table._x000a_So, the correct answer is Data Explorer._x000a__x000a_Learn More: Upgrade tables and views to Unity Catalog"/>
    <m/>
    <m/>
    <m/>
    <m/>
    <n v="1"/>
    <m/>
    <n v="1"/>
    <m/>
  </r>
  <r>
    <x v="0"/>
    <n v="1462"/>
    <x v="7"/>
    <n v="54"/>
    <s v="General"/>
    <s v="Conceptual"/>
    <s v="Easy"/>
    <s v="What is the first level of object hierarchy that is used to reference data by three-level namespace in the Unity Catalog?"/>
    <s v="Schema"/>
    <s v="Table"/>
    <s v="Catalog"/>
    <s v="Metastore"/>
    <s v="View"/>
    <m/>
    <s v="C"/>
    <s v="Unity Catalog Object Model and Namespace Hierarchy_x000a__x000a_Unity Catalog organizes data objects using a hierarchical model that flows from metastore to table._x000a__x000a_Hierarchy (Top → Bottom):_x000a__x000a_Metastore:_x000a_The top‑level container for metadata. Each metastore exposes a three‑level namespace (catalog.schema.table) used to organize data._x000a__x000a_Catalog:_x000a_The first level in the object hierarchy. Catalogs are used to organize data assets and contain schemas._x000a__x000a_Schema:_x000a_Also known as a database. Schemas are the second level of the hierarchy and contain tables and views._x000a__x000a_Table:_x000a_The lowest level in the object hierarchy. Tables can be:_x000a_• External tables (stored in external cloud storage locations)_x000a_• Managed tables (stored in a Databricks‑managed storage location)_x000a_Read‑only views can also be created from tables._x000a__x000a_Additional Unity Catalog Objects:_x000a_Schemas can also contain views, volumes, models, and functions._x000a__x000a_Referencing Data:_x000a_Unity Catalog uses a three‑level namespace notation:_x000a_SELECT * FROM &lt;catalog_name&gt;.&lt;schema_name&gt;.&lt;table_name&gt;;"/>
    <m/>
    <m/>
    <m/>
    <m/>
    <n v="1"/>
    <m/>
    <n v="1"/>
    <m/>
  </r>
  <r>
    <x v="0"/>
    <n v="1463"/>
    <x v="7"/>
    <n v="55"/>
    <s v="General"/>
    <s v="Conceptual"/>
    <s v="Easy"/>
    <s v="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
    <s v="SQL, Alert, Job, Email Address"/>
    <s v="SQL, Alarm, Update, Email Address"/>
    <s v="SQL, Alert, Refresh, Email Address"/>
    <s v="SQL, Alarm, Renew, Email Address"/>
    <s v="SQL, Job, Refresh, Email Address"/>
    <m/>
    <s v="C"/>
    <s v="Databricks SQL Alerts – Required Components and Setup_x000a__x000a_Databricks SQL alerts monitor query results and notify users when defined conditions are met._x000a__x000a_Alert Message Content:_x000a_Alert templates can reference query metadata and results, including:_x000a_• QUERY_NAME – the query name_x000a_• QUERY_URL – the query page URL_x000a_• QUERY_RESULT_VALUE – the query result value (string or number)_x000a_• QUERY_RESULT_ROWS – the result rows (array)_x000a_• QUERY_RESULT_COLS – the result columns (array)_x000a__x000a_HTML Formatting:_x000a_Custom alert messages support limited HTML formatting._x000a_Allowed tags include: &lt;a&gt;, &lt;b&gt;, &lt;i&gt;, &lt;strong&gt;, &lt;em&gt;, &lt;font&gt;, &lt;h1&gt;–&lt;h6&gt;, &lt;p&gt;, &lt;span&gt;, &lt;table&gt;, &lt;tr&gt;, &lt;td&gt;, &lt;th&gt;, &lt;ul&gt;, &lt;ol&gt;, &lt;li&gt;, &lt;br&gt;, &lt;div&gt;_x000a_Preview can be used to verify variable rendering, but it may not exactly match final notification formatting._x000a__x000a_Alert Refresh Behavior:_x000a_An alert’s refresh schedule is independent of the query’s refresh schedule._x000a__x000a_• Run as owner: Query runs using the query owner’s credentials._x000a_• Run as viewer: Query runs using the alert creator’s credentials._x000a__x000a_Alert Creation Requirements:_x000a_To receive notifications, an alert destination must be configured. Skipping this step results in no notifications when the alert is triggered._x000a__x000a_Correct Answer:_x000a_SQL, Alert, Refresh, Email Address"/>
    <m/>
    <m/>
    <m/>
    <n v="1"/>
    <m/>
    <m/>
    <n v="1"/>
    <m/>
  </r>
  <r>
    <x v="0"/>
    <n v="1464"/>
    <x v="7"/>
    <n v="56"/>
    <s v="General"/>
    <s v="Conceptual"/>
    <s v="Easy"/>
    <s v="A data engineer has to join two tables called customers and orders on the condition c.customer_id = o.order_customer_id column._x000a__x000a_He wants to get details of customers along with details of orders which they have placed. Apart from this, he also wants to fetch those customers who have not placed any orders yet._x000a__x000a_The schema of both the tables is given below._x000a__x000a_customers table:_x000a__x000a_col_name          | data_type_x000a_customer_id       | int_x000a_customer_name     | string_x000a_customer_email    | string_x000a_customer_address  | string_x000a_customer_phone    | bigint_x000a__x000a_orders table:_x000a__x000a_col_name            | data_type_x000a_order_id            | int_x000a_order_customer_id   | int_x000a_order_timestamp     | timestamp_x000a_order_item_id       | int_x000a_order_amount        | double_x000a_order_status        | string_x000a__x000a_Which of the following joins can be used to accomplish the task?"/>
    <s v="LEFT OUTER JOIN"/>
    <s v="RIGHT OUTER JOIN"/>
    <s v="INNER JOIN"/>
    <s v="FULL OUTER JOIN"/>
    <s v="Anyone from LEFT OUTER JOIN or RIGHT OUTER JOIN can be used"/>
    <m/>
    <s v="C"/>
    <s v="Spark Structured Streaming Trigger Intervals_x000a__x000a_When defining a streaming write, the trigger method specifies when Spark should process the next set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and then stops._x000a__x000a_Triggered Micro‑Batch (Available Now):_x000a_.trigger(availableNow = true)_x000a_The query executes multiple micro‑batches to process all available data and then stops._x000a__x000a_Triggers control how frequently micro‑batches are executed. By default, Spark automatically detects and processes all new data added since the last trigger._x000a__x000a_Note:_x000a_Trigger.availableNow is supported in DBR 10.1+ (Scala only) and DBR 10.2+ for Python and Scala._x000a__x000a_Correct Answer Explanation:_x000a_The requirement is to process data at a fixed interval of five minutes. Therefore, the correct trigger configuration explicitly sets the processing time._x000a__x000a_Correct Answer:_x000a_.trigger(processingTime = &quot;5 minutes&quot;)"/>
    <m/>
    <m/>
    <m/>
    <m/>
    <n v="1"/>
    <m/>
    <m/>
    <m/>
  </r>
  <r>
    <x v="0"/>
    <n v="1465"/>
    <x v="7"/>
    <n v="57"/>
    <s v="General"/>
    <s v="Conceptual"/>
    <s v="Easy"/>
    <s v="What is the output of below function when executed with input parameters 1, 3 : def check_input(x,y): if x &lt; y: x= x+1 if x&gt;y: x= x+1 if x &lt;y: x = x+1 return x"/>
    <n v="1"/>
    <n v="2"/>
    <n v="3"/>
    <n v="4"/>
    <n v="5"/>
    <m/>
    <s v="C"/>
    <s v="The output of the function check_input(1, 3) will be 3._x000a__x000a_Here’s the breakdown of the function’s execution:_x000a__x000a_Input parameters: The function is called with x = 1 and y = 3._x000a_First if statement: Since 1 &lt; 3 is true, the value of x is incremented to 2._x000a_Second if statement: Since 2 &gt; 3 is false, the value of x remains unchanged._x000a_Third if statement: Since 2 &lt; 3 is true, the value of x is incremented to 3._x000a_Return statement: The function returns the final value of x, which is 3._x000a_Therefore, the output of the function will be 3."/>
    <m/>
    <m/>
    <m/>
    <n v="1"/>
    <m/>
    <m/>
    <m/>
    <m/>
  </r>
  <r>
    <x v="0"/>
    <n v="1466"/>
    <x v="7"/>
    <n v="58"/>
    <s v="General"/>
    <s v="Conceptual"/>
    <s v="Easy"/>
    <s v="You are working to set up two notebooks to run on a schedule, the second notebook is dependent on the first notebook but both notebooks need different types of compute to run in an optimal fashion, what is the best way to set up these notebooks as jobs?"/>
    <s v="Use DELTA LIVE PIPELINES instead of notebook tasks"/>
    <s v="A Job can only use single cluster, setup job for each notebook and use job dependency to link both jobs together"/>
    <s v="Each task can use different cluster, add these two notebooks as two tasks in a single job with linear dependency and modify the cluster as needed for each of the tasks"/>
    <s v="Use a single job to setup both notebooks as individual tasks, but use the cluster API to setup the second cluster before the start of second task"/>
    <s v="Use a very large cluster to run both the tasks in a single job"/>
    <m/>
    <s v="C"/>
    <s v="Each task can use different clusters, add these two notebooks as two tasks in a single job with linear dependency and modify the cluster as needed for each of the tasks._x000a__x000a_This approach offers the best flexibility and efficiency for running two notebooks with different compute requirements on a schedule. Here’s a breakdown of the benefits:_x000a__x000a_1. Task-Based Flexibility:_x000a__x000a_Each notebook can be defined as an individual task within the job._x000a_This allows you to specify different compute clusters for each task, tailored to their specific needs._x000a_2. Linear Dependency:_x000a__x000a_The second notebook task can be made dependent on the first, ensuring that it only runs after the first task completes successfully._x000a_This maintains the correct execution order and prevents potential errors._x000a_3. Cluster Configuration:_x000a__x000a_You can configure the compute cluster for each task within the job definition._x000a_This allows you to optimize resource allocation and cost-effectiveness for each notebook._x000a_4. Scheduling and Monitoring:_x000a__x000a_The job scheduler will handle the execution of both tasks according to the specified schedule._x000a_You can monitor the progress and status of both tasks through the job monitoring tools._x000a_By using this approach, you can effectively manage the execution of your notebooks, ensuring that they run optimally and efficiently, even with different compute requirements."/>
    <m/>
    <m/>
    <m/>
    <m/>
    <m/>
    <m/>
    <m/>
    <m/>
  </r>
  <r>
    <x v="0"/>
    <n v="1467"/>
    <x v="7"/>
    <n v="59"/>
    <s v="General"/>
    <s v="Conceptual"/>
    <s v="Easy"/>
    <s v="What is the output of the below function when executed with input parameters 1, 3  : def check_input(x,y): if x &lt; y: x= x+1 if x&lt;y: x= x+1 if x &lt;y: x = x+1 return x check_input(1,3)"/>
    <n v="1"/>
    <n v="2"/>
    <n v="3"/>
    <n v="4"/>
    <n v="5"/>
    <m/>
    <s v="C"/>
    <s v="Correct_x000a_Option C: 3_x000a_Function execution trace check_input(1,3):_x000a__x000a_text_x000a_1. x=1, y=3 → 1&lt;3 ✓ → x = 1+1 = 2_x000a_2. x=2, y=3 → 2&lt;3 ✓ → x = 2+1 = 3_x000a_3. x=3, y=3 → 3&lt;3 ✗ → no increment_x000a_return x = 3 ✓_x000a_Incorrect_x000a_Option A: 1_x000a_Wrong – ignores all three if conditions executing._x000a__x000a_Option B: 2_x000a_Wrong – stops after second increment, ignores third if x&lt;y check._x000a__x000a_Option D: 4_x000a_Wrong – assumes fourth increment. Only three conditional increments possible._x000a__x000a_Option E: 5_x000a_Wrong – assumes five increments. Function has exactly three if x&lt;y checks."/>
    <m/>
    <m/>
    <m/>
    <m/>
    <m/>
    <m/>
    <m/>
    <m/>
  </r>
  <r>
    <x v="0"/>
    <n v="1468"/>
    <x v="8"/>
    <n v="1"/>
    <s v="General"/>
    <s v="Conceptual"/>
    <s v="Easy"/>
    <s v="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
    <s v="Execute a DELETE FROM statement to remove all records in customer_data before using INSERT INTO to load the entire staging_customer_updates table, ensuring it reflects the most current data."/>
    <s v="se the MERGE INTO statement to compare customer_data and staging_customer_updates on customer_id, applying updates and inserts as needed."/>
    <s v="Manually review staging_customer_updates daily, writing custom SQL scripts to update or insert records into customer_data based on changes observed."/>
    <s v="Implement the APPLY CHANGES INTO statement, specifying customer_id as the key to automatically update existing records and insert new ones from staging_customer_updates into customer_data."/>
    <m/>
    <m/>
    <s v="B"/>
    <s v="Correct_x000a_Option B. Use the MERGE INTO statement to compare customer_data and staging_customer_updates on customer_id, applying updates and inserts as needed._x000a__x000a_MERGE INTO is the standard Delta Lake operation for upserts (update + insert)._x000a_It compares records based on a key (customer_id) and applies updates to existing rows or inserts new rows._x000a_Since deletions are not part of the source data, MERGE handles exactly what is needed: keeping the table current with additions and modifications._x000a_This is the most efficient and least error‑prone approach for continuous synchronization._x000a_Incorrect_x000a_Option A. Execute a DELETE FROM statement to remove all records in customer_data before using INSERT INTO to load the entire staging_customer_updates table._x000a__x000a_This is inefficient and introduces unnecessary overhead._x000a_It reloads the entire dataset instead of applying incremental changes._x000a_Not suitable for near real‑time synchronization._x000a_Option C. Manually review staging_customer_updates daily, writing custom SQL scripts to update or insert records into customer_data based on changes observed._x000a__x000a_Manual review and scripting is not scalable._x000a_It increases operational overhead and delays updates._x000a_Contradicts the requirement for continuous ingestion and near real‑time updates._x000a_Option D. Implement the APPLY CHANGES INTO statement, specifying customer_id as the key to automatically update existing records and insert new ones._x000a__x000a_APPLY CHANGES INTO is part of Delta Live Tables (DLT), used for declarative pipelines._x000a_While powerful, it is not the standard solution for this scenario unless you are explicitly building a DLT pipeline._x000a_The question context points to using Delta Lake directly, making MERGE INTO the correct choice."/>
    <m/>
    <m/>
    <m/>
    <m/>
    <m/>
    <m/>
    <m/>
    <m/>
  </r>
  <r>
    <x v="0"/>
    <n v="1469"/>
    <x v="8"/>
    <n v="2"/>
    <s v="General"/>
    <s v="Conceptual"/>
    <s v="Easy"/>
    <s v="How does the ‘Share‘ functionality within the Catalog framework in Databricks facilitate collaboration?"/>
    <s v="By restricting access to data objects to a single user."/>
    <s v="By creating duplicate copies of data objects for each user."/>
    <s v="By enabling data objects in the Catalog to be shared with designated recipients."/>
    <s v="By preventing any sharing of data objects to maintain data isolation."/>
    <m/>
    <m/>
    <s v="C"/>
    <s v="✅ By enabling data objects in the Catalog to be shared with designated recipients._x000a__x000a_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_x000a__x000a_Incorrect :_x000a__x000a_❌ By restricting access to data objects to a single user. The ‘Share’ functionality is the opposite of restricting access to a single user. It’s about granting access to multiple users or groups._x000a__x000a_❌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_x000a__x000a_❌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
    <m/>
    <m/>
    <m/>
    <m/>
    <m/>
    <m/>
    <m/>
    <m/>
  </r>
  <r>
    <x v="0"/>
    <n v="1470"/>
    <x v="8"/>
    <n v="3"/>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Idempotent Sinks"/>
    <s v="Replayable Sources and Idempotent Sinks"/>
    <s v="Checkpointing and Write-ahead Logs"/>
    <s v="Structured Streaming cannot record the offset range of the data being processed in each trigger."/>
    <s v="Write-ahead Logs and Idempotent Sinks"/>
    <m/>
    <s v="C"/>
    <s v="Correct:_x000a__x000a_C. Checkpointing and Write-ahead Logs_x000a__x000a_Checkpointing in Structured Streaming saves the progress of a streaming query (including processed offsets) to fault-tolerant storage (e.g., DBFS, HDFS). This allows Spark to recover and resume processing from where it left off in case of failures._x000a__x000a_Write-ahead Logs (WAL) ensure that every batch of data is reliably written to a log before processing begins. This prevents data loss if a failure occurs during processing._x000a__x000a_Together, these mechanisms ensure exactly-once processing semantics by tracking offsets and guaranteeing no data is skipped or duplicated after a failure._x000a__x000a_Incorrect:_x000a__x000a_A. Checkpointing and Idempotent Sinks_x000a__x000a_While checkpointing is correct, idempotent sinks (sinks that can handle duplicate writes without side effects) are not part of Spark’s internal offset tracking mechanism._x000a__x000a_Idempotent sinks are useful for ensuring output consistency but are not how Spark records offset ranges._x000a__x000a_B. Replayable Sources and Idempotent Sinks_x000a__x000a_Replayable sources (e.g., Kafka) allow reprocessing of data, but they are not Spark’s mechanism for tracking offsets internally._x000a__x000a_Again, idempotent sinks are about output handling, not offset tracking._x000a__x000a_D. Structured Streaming cannot record the offset range of the data being processed in each trigger._x000a__x000a_This is incorrect. Structured Streaming does track offsets using checkpointing and WALs to ensure fault tolerance._x000a__x000a_E. Write-ahead Logs and Idempotent Sinks_x000a__x000a_Write-ahead Logs (WAL) are correct, but idempotent sinks are not part of the offset tracking mechanism."/>
    <m/>
    <m/>
    <m/>
    <n v="1"/>
    <m/>
    <m/>
    <m/>
    <m/>
  </r>
  <r>
    <x v="0"/>
    <n v="1471"/>
    <x v="8"/>
    <n v="4"/>
    <s v="General"/>
    <s v="Conceptual"/>
    <s v="Easy"/>
    <s v="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TBLPROPERTIES (‘PII‘=‘true‘)"/>
    <s v="“COMMENT ‘PII‘“"/>
    <s v="PII"/>
    <s v="COMMENT “Contains PII“"/>
    <s v="Marking a table as containing PII is not supported."/>
    <m/>
    <s v="A"/>
    <s v="Correct:_x000a__x000a_A. TBLPROPERTIES (‘PII‘=‘true‘): This is the correct way to add table properties in Databricks SQL. TBLPROPERTIES allows you to store metadata as key-value pairs with a table. In this case, it’s used to mark the table as containing PII, which aligns with the company’s guidelines._x000a_Incorrect:_x000a__x000a_B. “COMMENT ‘PII‘“: While COMMENT is used to add a description to a table, it’s not the mechanism for adding custom properties like “PII” in a machine-readable or standardized way for company guidelines. It’s for human-readable descriptions._x000a_C. PII: This is not valid SQL syntax for adding a property or comment to a table creation statement._x000a_D. COMMENT “Contains PII“: Similar to option B, this uses the COMMENT keyword, which is for human-readable descriptions and not for machine-readable table properties that might be used for automated checks or policies._x000a_E. Marking a table as containing PII is not supported.: This statement is incorrect. Databricks SQL fully supports adding custom table properties using TBLPROPERTIES, which can be used for various metadata, including marking PII."/>
    <m/>
    <m/>
    <m/>
    <n v="1"/>
    <m/>
    <m/>
    <m/>
    <m/>
  </r>
  <r>
    <x v="0"/>
    <n v="1472"/>
    <x v="8"/>
    <n v="5"/>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Write-ahead Logs"/>
    <s v="Replayable Sources and Idempotent Sinks"/>
    <s v="Checkpointing and Idempotent Sinks"/>
    <s v="Structured Streaming cannot record the offset range of the data being processed in each trigger."/>
    <s v="Write-ahead Logs and Idempotent Sinks"/>
    <m/>
    <s v="A"/>
    <s v="Correct:_x000a__x000a_Option A. Checkpointing and Write-ahead Logs_x000a_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_x000a__x000a_Incorrect:_x000a__x000a_Option B. Replayable Sources and Idempotent Sinks_x000a_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_x000a__x000a_Option C. Checkpointing and Idempotent Sinks_x000a_Checkpointing is correctly identified, but idempotent sinks are related to safely handling duplicate writes, not to recording offset ranges. Idempotent sinks help prevent incorrect results on retries but do not track streaming progress._x000a__x000a_Option D. Structured Streaming cannot record the offset range of the data being processed in each trigger._x000a_This statement is incorrect. Recording offset ranges per trigger is a core design feature of Structured Streaming and is essential for its fault tolerance and recovery capabilities._x000a__x000a_Option E. Write-ahead Logs and Idempotent Sinks_x000a_Write-ahead logs are relevant to offset durability, but idempotent sinks do not contribute to recording offset ranges. This option omits checkpointing, which is fundamental to how Structured Streaming tracks progress and recovers from failures."/>
    <m/>
    <m/>
    <m/>
    <n v="1"/>
    <m/>
    <m/>
    <m/>
    <m/>
  </r>
  <r>
    <x v="0"/>
    <n v="1473"/>
    <x v="8"/>
    <n v="6"/>
    <s v="General"/>
    <s v="Conceptual"/>
    <s v="Easy"/>
    <s v="How can you use the count_if function to count the number of rows in a table sales where the amount column is greater than 100?"/>
    <s v="SELECT COUNT_IF(amount &gt; 100) FROM sales;"/>
    <s v="SELECT COUNT_IF(amount &gt; 100) AS count_above_100 FROM sales;"/>
    <s v="SELECT COUNT(*) FROM sales WHERE amount &gt; 100;"/>
    <s v="SELECT COUNT(amount &gt; 100) FROM sales;"/>
    <m/>
    <m/>
    <s v="C"/>
    <s v="Correct_x000a_Option C. SELECT COUNT(*) FROM sales WHERE amount &gt; 100;_x000a__x000a_Correct because this is the standard SQL way to count rows that satisfy a condition._x000a_The WHERE clause filters rows where amount &gt; 100, and COUNT(*) counts them._x000a_This works across all SQL engines, including Databricks._x000a_Incorrect_x000a_Option A. SELECT COUNT_IF(amount &gt; 100) FROM sales;_x000a__x000a_Incorrect because while COUNT_IF exists in Databricks SQL, the syntax requires a boolean condition inside the function._x000a_The correct usage would be COUNT_IF(amount &gt; 100)._x000a_However, in practice, Databricks recommends using COUNT(*) with WHERE for clarity._x000a_Option B. SELECT COUNT_IF(amount &gt; 100) AS count_above_100 FROM sales;_x000a__x000a_Incorrect for the same reason as Option A._x000a_Although adding an alias (AS count_above_100) is valid SQL, the function syntax is not properly supported in all contexts._x000a_The exam expects the canonical COUNT(*) ... WHERE form._x000a_Option D. SELECT COUNT(amount &gt; 100) FROM sales;_x000a__x000a_Incorrect because COUNT() does not evaluate boolean expressions._x000a_COUNT(expr) counts non-null values of expr, not conditions._x000a_This would not correctly count rows where amount &gt; 100."/>
    <m/>
    <m/>
    <m/>
    <m/>
    <m/>
    <m/>
    <m/>
    <m/>
  </r>
  <r>
    <x v="0"/>
    <n v="1474"/>
    <x v="8"/>
    <n v="7"/>
    <s v="General"/>
    <s v="Conceptual"/>
    <s v="Easy"/>
    <s v="What prefix is used in Databricks SQL to query data directly from Parquet files?"/>
    <s v="DATA"/>
    <s v="PARQUET"/>
    <s v="parquet"/>
    <s v="FILE"/>
    <m/>
    <m/>
    <s v="C"/>
    <s v="Correct_x000a__x000a_Option C. parquet_x000a__x000a_Correct because in Databricks SQL, the prefix parquet. is used to query data directly from Parquet files. For example:_x000a__x000a_sql_x000a_SELECT * FROM parquet.`/mnt/data/users.parquet`_x000a_This syntax tells Databricks SQL to read the file directly from the specified location without needing to create a table first._x000a__x000a_Incorrect_x000a__x000a_Option A. DATA_x000a__x000a_Incorrect because DATA is not a recognized prefix in Databricks SQL for querying Parquet files._x000a__x000a_Option B. PARQUET_x000a__x000a_Incorrect because although it looks similar, Databricks SQL requires the lowercase form parquet. SQL in Databricks is case-sensitive for these file format prefixes._x000a__x000a_Option D. FILE_x000a__x000a_Incorrect because FILE is not a valid prefix in Databricks SQL. The supported prefixes include parquet, delta, csv, etc., but not FILE."/>
    <m/>
    <m/>
    <m/>
    <m/>
    <m/>
    <m/>
    <m/>
    <m/>
  </r>
  <r>
    <x v="0"/>
    <n v="1475"/>
    <x v="8"/>
    <n v="8"/>
    <s v="General"/>
    <s v="Conceptual"/>
    <s v="Easy"/>
    <s v="What prefix is used in Databricks SQL to query data directly from Parquet files?"/>
    <s v="PARQUET"/>
    <s v="FILE"/>
    <s v="DATA"/>
    <s v="parquet"/>
    <m/>
    <m/>
    <s v="D"/>
    <s v="Correct_x000a__x000a_Option D. parquet because in Databricks SQL, the correct prefix to query data directly from Parquet files is lowercase parquet. For example:_x000a__x000a_sql_x000a_SELECT * FROM parquet.`/mnt/data/sensor_readings.parquet`_x000a_This syntax allows direct access to Parquet files without needing to create a table first._x000a__x000a_Incorrect_x000a__x000a_Option A. PARQUET because Databricks SQL requires lowercase parquet as the prefix. Using uppercase PARQUET will result in an error._x000a__x000a_Option B. FILE because FILE is not a valid prefix in Databricks SQL. Queries must specify the file format (e.g., parquet, csv, json) rather than a generic keyword like FILE._x000a__x000a_Option C. DATA because DATA is not recognized as a file format prefix in Databricks SQL. It does not provide direct access to Parquet files."/>
    <m/>
    <m/>
    <m/>
    <m/>
    <m/>
    <m/>
    <m/>
    <m/>
  </r>
  <r>
    <x v="0"/>
    <n v="1476"/>
    <x v="8"/>
    <n v="9"/>
    <s v="General"/>
    <s v="Conceptual"/>
    <s v="Easy"/>
    <s v="A data engineer needs to normalize text data within a Databricks notebook by creating a User-Defined Function (UDF) that converts all strings to lowercase and removes spaces. Which approach should they take to achieve this within Databricks?"/>
    <s v="tilize a Databricks built-in function for string normalization in a Spark SQL query."/>
    <s v="Manually edit each string in the dataset before loading it into Databricks."/>
    <s v="Implement a UDF in Databricks that lowercases and trims spaces from strings, applying it via a Spark SQL query."/>
    <s v="Export the dataset, process it with a script outside of Databricks, and then re-import the cleaned data."/>
    <m/>
    <m/>
    <s v="A"/>
    <s v="Correct_x000a__x000a_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_x000a__x000a_Incorrect_x000a__x000a_Option B. Manually edit each string in the dataset before loading it into Databricks because manually editing strings outside Databricks is inefficient, error-prone, and not scalable for large datasets. Databricks is designed to handle such transformations programmatically._x000a__x000a_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_x000a__x000a_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
    <m/>
    <m/>
    <m/>
    <n v="1"/>
    <m/>
    <m/>
    <m/>
    <m/>
  </r>
  <r>
    <x v="0"/>
    <n v="1477"/>
    <x v="8"/>
    <n v="10"/>
    <s v="General"/>
    <s v="Conceptual"/>
    <s v="Easy"/>
    <s v="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
    <s v="Check the directory manually to figure out new files, create a temporary view on it and then load data into the actual table"/>
    <s v="Drop and recreate the table on a daily basis"/>
    <s v="Refresh the table to invalidate cache before running next query"/>
    <s v="Table should be converted to the Delta format"/>
    <s v="Table should be stored in a cloud-based external system"/>
    <m/>
    <s v="C"/>
    <s v="Refresh the table to invalidate cache before running next query_x000a_This is the most efficient solution to the problem. When new files are added to the directory, the external table’s metadata needs to be refreshed to reflect the changes. This can be done using the REFRESH command in SQL._x000a__x000a_Here’s the basic syntax:_x000a__x000a_SQL_x000a_REFRESH EXTERNAL TABLE sales;_x000a_After refreshing the table, the next query will accurately reflect the updated data. This approach avoids the overhead of dropping and recreating the table or creating temporary views, making it more efficient and scalable."/>
    <m/>
    <m/>
    <m/>
    <n v="1"/>
    <m/>
    <m/>
    <m/>
    <m/>
  </r>
  <r>
    <x v="0"/>
    <n v="1478"/>
    <x v="8"/>
    <n v="11"/>
    <s v="General"/>
    <s v="Conceptual"/>
    <s v="Easy"/>
    <s v="A dataset has been defined using Delta Live Tables and includes an expectations clause:_x000a_CONSTRAINT valid_order EXPECT (order_amount &gt;= 0)_x000a_What is the expected behavior when a batch of data containing records that violates these constraints is processed?"/>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s v="Records that violate the expectation are added to the target dataset and recorded as invalid in the event log."/>
    <s v="ecords that violate the expectation are dropped from the target dataset and recorded as invalid in the event log."/>
    <m/>
    <s v="D"/>
    <s v="Correct_x000a_Option D. Records that violate the expectation are added to the target dataset and recorded as invalid in the event log._x000a__x000a_In Delta Live Tables (DLT), expectations act as data quality rules._x000a_By default, records that fail an expectation are still written to the target dataset, but they are flagged as invalid in the event log._x000a_This allows monitoring and auditing of data quality without halting the pipeline._x000a_This is the correct behavior for expectations unless explicitly configured to drop or fail._x000a_Incorrect_x000a_Option A. Records that violate the expectation are added to the target dataset and flagged as invalid in a field added to the target dataset_x000a__x000a_Incorrect because DLT does not add a special “invalid” field to the dataset itself._x000a_Violations are tracked in the event log, not directly in the dataset schema._x000a_Option B. Records that violate the expectation cause the job to fail_x000a__x000a_Incorrect because expectations do not fail the pipeline by default._x000a_They are designed to log violations, not stop execution._x000a_Only assertions (a stricter form of constraint) can fail the job._x000a_Option C. Records that violate the expectation are dropped from the target dataset and loaded into a quarantine table_x000a__x000a_Incorrect because DLT does not automatically move invalid records into a quarantine table._x000a_Dropping/quarantining requires explicit configuration, not the default expectation behavior._x000a_Option E. Records that violate the expectation are dropped from the target dataset and recorded as invalid in the event log_x000a__x000a_Incorrect because expectations do not drop records by default._x000a_Violations are logged, but the records remain in the dataset."/>
    <m/>
    <m/>
    <m/>
    <n v="1"/>
    <m/>
    <m/>
    <m/>
    <m/>
  </r>
  <r>
    <x v="0"/>
    <n v="1479"/>
    <x v="8"/>
    <n v="12"/>
    <s v="General"/>
    <s v="Conceptual"/>
    <s v="Easy"/>
    <s v="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
    <s v="They can turn on the Serverless feature for the SQL endpoint and change the Spot Instance Policy to &quot;Reliability Optimized.&quot;"/>
    <s v="They can increase the maximum bound of the SQL endpoints scaling range."/>
    <s v="They can turn on the Serverless feature for the SQL endpoint."/>
    <s v="They can increase the cluster size of the SQL endpoint."/>
    <s v="They can turn on the Auto Stop feature for the SQL endpoint."/>
    <m/>
    <s v="B"/>
    <s v="Correct_x000a_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n v="1"/>
    <m/>
    <m/>
    <m/>
  </r>
  <r>
    <x v="0"/>
    <n v="1480"/>
    <x v="8"/>
    <n v="13"/>
    <s v="General"/>
    <s v="Conceptual"/>
    <s v="Easy"/>
    <s v="Consider a column of JSON strings that needs to be converted to structs. Which SQL command creates a new table to store these structs with no null fields, based on a schema generated from an example JSON string?"/>
    <s v="CREATE TABLE parsed_data AS SELECT FROM_JSON(json_column) AS struct_column FROM original_table;"/>
    <s v="REATE OR REPLACE TABLE parsed_events AS SELECT FROM_JSON(json_column, schema_of_json('')) AS struct_column FROM original_table;"/>
    <s v="CREATE TABLE parsed_data AS SELECT TO_STRUCT(json_column) FROM original_table;"/>
    <s v="CREATE TABLE parsed_data AS SELECT CAST(json_column AS STRUCT) FROM original_table;"/>
    <m/>
    <m/>
    <s v="B"/>
    <s v="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m/>
    <m/>
    <m/>
    <m/>
  </r>
  <r>
    <x v="0"/>
    <n v="1481"/>
    <x v="8"/>
    <n v="14"/>
    <s v="General"/>
    <s v="Conceptual"/>
    <s v="Easy"/>
    <s v="Which of the following is not a Higher Order Function in Spark SQL?"/>
    <s v="FILTER"/>
    <s v="EXIST"/>
    <s v="TRANSFORM"/>
    <s v="MAP"/>
    <s v="REDUCE"/>
    <m/>
    <s v="B"/>
    <s v="Correct_x000a_Option B. EXIST_x000a__x000a_Explanation:_x000a_In Spark SQL, the recognized Higher Order Functions include FILTER, TRANSFORM, MAP, and REDUCE._x000a_These functions operate on arrays or maps and take lambda functions as arguments, enabling functional-style transformations._x000a_EXIST is not a valid Higher Order Function in Spark SQL. The correct function is EXISTS, which checks if a condition holds for at least one element in an array, but it is not categorized as a Higher Order Function in Spark SQL._x000a_Therefore, EXIST is the incorrect option._x000a_Incorrect_x000a_Option A. FILTER_x000a__x000a_Incorrect because FILTER is a valid Higher Order Function in Spark SQL._x000a_It allows filtering elements of an array or map based on a condition._x000a_Option C. TRANSFORM_x000a__x000a_Incorrect because TRANSFORM is a valid Higher Order Function._x000a_It applies a lambda function to each element of an array and returns a new array._x000a_Option D. MAP_x000a__x000a_Incorrect because MAP is a valid Higher Order Function._x000a_It transforms key-value pairs in a map using a lambda function._x000a_Option E. REDUCE_x000a__x000a_Incorrect because REDUCE is a valid Higher Order Function._x000a_It reduces the elements of an array to a single value using a binary function."/>
    <m/>
    <m/>
    <m/>
    <m/>
    <n v="1"/>
    <m/>
    <m/>
    <m/>
  </r>
  <r>
    <x v="0"/>
    <n v="1482"/>
    <x v="8"/>
    <n v="15"/>
    <s v="General"/>
    <s v="Conceptual"/>
    <s v="Easy"/>
    <s v="A table named customers contains Kafka data where the value column holds JSON data encoded as a STRING. To access individual JSON fields for processing, the STRING must be parsed into a structured format._x000a__x000a_Example Source Data:_x000a_key | value_x000a_101 | {&quot;name&quot;:&quot;John Snow&quot;,&quot;email&quot;:&quot;johnsnow@abc.com&quot;,&quot;country&quot;:&quot;USA&quot;,&quot;age&quot;:&quot;32&quot;}_x000a_102 | {&quot;name&quot;:&quot;Harry Potter&quot;,&quot;email&quot;:&quot;harrypotter@xyz.com&quot;,&quot;country&quot;:&quot;UK&quot;,&quot;age&quot;:&quot;28&quot;}_x000a__x000a_Desired Output:_x000a_key | name          | email                  | country | age_x000a_101 | John Snow     | johnsnow@abc.com       | USA     | 32_x000a_102 | Harry Potter  | harrypotter@xyz.com    | UK      | 28_x000a__x000a_Correct Approach:_x000a_Use from_json to parse the STRING column into a STRUCT, then select individual fields._x000a__x000a_Correct SQL Statement:_x000a__x000a_SELECT_x000a_  key,_x000a_  parsed_value.name    AS name,_x000a_  parsed_value.email   AS email,_x000a_  parsed_value.country AS country,_x000a_  parsed_value.age     AS age_x000a_FROM (_x000a_  SELECT_x000a_    key,_x000a_    from_json(_x000a_      value,_x000a_      'STRUCT&lt;name:STRING, email:STRING, country:STRING, age:INT&gt;'_x000a_    ) AS parsed_value_x000a_  FROM customers_x000a_);"/>
    <s v="SELECT key, value.* FROM customers"/>
    <s v="SELECT key, value.name, value.email, value.country, value.age FROM customers"/>
    <s v="SELECT key, EXPLODE(value) FROM customers"/>
    <s v="SELECT key, value:name, value:email, value:country, value:age FROM customers"/>
    <s v="ELECT key, value:* FROM customers"/>
    <m/>
    <s v="B"/>
    <s v="Correct_x000a_Option B. SELECT key, value.name, value.email, value.country, value.age FROM customers_x000a__x000a_Correct because the value column contains JSON data stored as a string. By referencing fields like value.name, value.email, etc., Databricks SQL can parse the JSON string into structured columns. This allows direct access to individual attributes within the JSON payload._x000a_Incorrect_x000a_These do not fit the scenario:_x000a__x000a_Option A. SELECT key, value.* FROM customers_x000a__x000a_Incorrect because value is a string column, not a struct. You cannot directly expand it with .*._x000a_Option C. SELECT key, EXPLODE(value) FROM customers_x000a__x000a_Incorrect because EXPLODE is used for arrays, not for parsing JSON strings. The value column here is a JSON string, not an array._x000a_Option D. SELECT key, value:name, value:email, value:country, value:age FROM customers_x000a__x000a_Incorrect because the syntax value:field is not valid in Databricks SQL for JSON parsing. Proper dot notation (value.field) or functions like from_json must be used._x000a_Option E. SELECT key, value:* FROM customers_x000a__x000a_Incorrect for the same reason as Option A. value is a string, so you cannot expand it with :*."/>
    <m/>
    <m/>
    <m/>
    <n v="1"/>
    <m/>
    <m/>
    <m/>
    <m/>
  </r>
  <r>
    <x v="0"/>
    <n v="1483"/>
    <x v="8"/>
    <n v="16"/>
    <s v="General"/>
    <s v="Conceptual"/>
    <s v="Easy"/>
    <s v="Which syntax is used in Spark SQL to access subfields in JSON strings?"/>
    <s v="Semicolon (;)"/>
    <s v="Colon (:)"/>
    <s v="Comma (,)"/>
    <s v="Dot (.)"/>
    <m/>
    <m/>
    <s v="D"/>
    <s v="Correct_x000a_This is the appropriate syntax for accessing subfields:_x000a__x000a_Option D. Dot (.)_x000a__x000a_Correct because Spark SQL uses dot notation to access subfields in JSON strings once they are parsed into a struct type. For example, if the JSON contains { &quot;name&quot;: &quot;Alice&quot;, &quot;age&quot;: 30 }, you can access value.name or value.age using dot notation._x000a_Incorrect_x000a_These do not represent valid syntax in Spark SQL for accessing JSON subfields:_x000a__x000a_Option A. Semicolon (;)_x000a__x000a_Incorrect because semicolons are used to terminate SQL statements, not to access subfields._x000a_Option B. Colon (:)_x000a__x000a_Incorrect because colons are not valid syntax in Spark SQL for field access. They are sometimes used in other contexts (like JSON itself), but not in SQL queries._x000a_Option C. Comma (,)_x000a__x000a_Incorrect because commas separate columns in a SELECT statement. They cannot be used to access subfields."/>
    <m/>
    <m/>
    <m/>
    <m/>
    <m/>
    <m/>
    <m/>
    <m/>
  </r>
  <r>
    <x v="0"/>
    <n v="1484"/>
    <x v="8"/>
    <n v="17"/>
    <s v="General"/>
    <s v="Conceptual"/>
    <s v="Easy"/>
    <s v="When a data engineer needs to monitor the performance and status of Delta Live Tables (DLT) pipelines, which option allows them to query the event log for detailed metrics and update history?"/>
    <s v="Directly accessing the DLT UI for real-time metrics without querying."/>
    <s v="Querying the Delta Lake table directly for pipeline metrics without using the event log."/>
    <s v="Using the SELECT * FROM event_log command to retrieve all event log entries."/>
    <s v="Creating a temporary view on the event log path and querying this view for specific metrics."/>
    <m/>
    <m/>
    <s v="D"/>
    <s v="Correct_x000a_Option D. Creating a temporary view on the event log path and querying this view for specific metrics_x000a__x000a_This is correct. In Databricks, the DLT event log is stored as a Delta table._x000a_To analyze pipeline metrics and update history, engineers typically create a temporary view on the event log path (e.g., CREATE TEMP VIEW event_log USING DELTA LOCATION '&lt;path&gt;')._x000a_Once the view is created, SQL queries can be run against it to retrieve detailed information such as pipeline progress, errors, and performance metrics._x000a_This is the recommended way to monitor DLT pipelines programmatically._x000a_Incorrect_x000a_Option A. Directly accessing the DLT UI for real-time metrics without querying_x000a__x000a_Incorrect. The DLT UI does provide monitoring dashboards, but the question specifically asks about querying the event log for detailed metrics. The UI alone does not fulfill that requirement._x000a_Option B. Querying the Delta Lake table directly for pipeline metrics without using the event log_x000a__x000a_Incorrect. While Delta Lake tables store pipeline output data, they do not contain event log information such as execution history, errors, or performance metrics. The event log is the correct source._x000a_Option C. Using the SELECT * FROM event_log command to retrieve all event log entries_x000a__x000a_Incorrect. Simply running SELECT * FROM event_log assumes the event log is already available as a table, but in practice, you must first create a temporary view on the event log path. Without that step, the query will fail."/>
    <m/>
    <m/>
    <m/>
    <n v="1"/>
    <m/>
    <m/>
    <m/>
    <m/>
  </r>
  <r>
    <x v="0"/>
    <n v="1485"/>
    <x v="8"/>
    <n v="18"/>
    <s v="General"/>
    <s v="Conceptual"/>
    <s v="Easy"/>
    <s v="Which of the following commands you can use to revoke all the privileges from the group former_employees on the schema retail?"/>
    <s v="REVOKE ALL PRIVILEGES FROM former_employees ON SCHEMA retail;"/>
    <s v="REMOVE ALL PRIVILEGES ON SCHEMA retail FROM former_employees;"/>
    <s v="REVOKE ALL PRIVILEGES ON SCHEMA retail FROM former_employees;"/>
    <s v="REMOVE ALL PRIVILEGES FROM ′former_employees′ ON SCHEMA retail ;"/>
    <s v="DELETE ALL PRIVILEGES ON SCHEMA retail FROM ‘former_employees‘;"/>
    <m/>
    <s v="C"/>
    <s v="Correct_x000a_Option C. REVOKE ALL PRIVILEGES ON SCHEMA retail FROM former_employees;_x000a__x000a_This is the correct SQL syntax supported in Databricks (and ANSI SQL)._x000a_The REVOKE command is used to remove privileges previously granted to a role or group._x000a_The correct order is: REVOKE [privileges] ON [object] FROM [role/group]._x000a_Here, the object is the schema retail, and the group is former_employees._x000a_This matches exam expectations for proper privilege management._x000a_Incorrect_x000a_Option A. REVOKE ALL PRIVILEGES FROM former_employees ON SCHEMA retail;_x000a__x000a_Incorrect because the clause order is wrong._x000a_The correct syntax requires ON SCHEMA retail before FROM former_employees._x000a_Option B. REMOVE ALL PRIVILEGES ON SCHEMA retail FROM former_employees;_x000a__x000a_Incorrect because REMOVE is not a valid SQL keyword for privilege management._x000a_Only REVOKE is supported._x000a_Option D. REMOVE ALL PRIVILEGES FROM 'former_employees' ON SCHEMA retail;_x000a__x000a_Incorrect because it uses REMOVE (invalid keyword) and quotes around the group name unnecessarily._x000a_Group names should not be quoted unless they contain special characters._x000a_Option E. DELETE ALL PRIVILEGES ON SCHEMA retail FROM 'former_employees';_x000a__x000a_Incorrect because DELETE is not valid for privilege management._x000a_DELETE is used for removing rows from tables, not privileges."/>
    <m/>
    <m/>
    <m/>
    <m/>
    <m/>
    <m/>
    <m/>
    <m/>
  </r>
  <r>
    <x v="0"/>
    <n v="1486"/>
    <x v="8"/>
    <n v="19"/>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correct answer is Pull request and review process._x000a__x000a_Explanation:_x000a__x000a_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_x000a_Why the other options are incorrect:_x000a__x000a_Commit and push to feature branch: This can be done directly within Databricks using Git integration without needing the Git provider for the actual push/commit._x000a_Create a new branch based on the main branch: This can be done in Databricks as part of its Git integration and does not require the Git provider for creating branches._x000a_Create and edit code: This can also be done directly within Databricks as part of the development workflow._x000a_Clone remote repository to user folder: This is an operation that can be done through Databricks itself, utilizing the Git integration to clone a repository into a user’s workspace._x000a__x000a__x000a__x000a__x000a_So, the correct answer is “Pull request and review process”_x000a_See Graphic._x000a_"/>
    <m/>
    <m/>
    <m/>
    <n v="1"/>
    <m/>
    <m/>
    <m/>
    <m/>
  </r>
  <r>
    <x v="0"/>
    <n v="1487"/>
    <x v="8"/>
    <n v="20"/>
    <s v="General"/>
    <s v="Conceptual"/>
    <s v="Easy"/>
    <s v="A data engineer needs to run the last part of a Python script only if the variable day_of_week is 1 and review_period is True. Which line of code should they use to start this part of the script?"/>
    <s v="if day_of_week = 1 &amp; review_period: = “True“"/>
    <s v="if day_of_week = 1 and review_period = “True“"/>
    <s v="if day_of_week = 1 and review_period"/>
    <s v="if day_of_week == 1 and review_period"/>
    <s v="if day_of_week == 1 and review_period == “True“"/>
    <m/>
    <s v="D"/>
    <s v="The correct line of code is:_x000a__x000a_if day_of_week == 1 and review_period_x000a_Here’s why:_x000a__x000a_== for comparison: In Python, == is used for equality comparison, while = is used for assignment. Therefore, day_of_week == 1 correctly checks if the day_of_week variable is equal to 1._x000a_and for logical conjunction: The and operator is used to combine multiple conditions. Both conditions must be true for the entire if statement to be true._x000a_Boolean check: if review_period is a boolean, it is not required to write review_period == True. Using review_period alone will evaluate to true if the variable is true._x000a_Incorrect usage of quotation marks: If review_period is a boolean, it should not be compared to the string “True”._x000a_Therefore, if day_of_week == 1 and review_period is the most accurate and Pythonic way to express the required condition."/>
    <m/>
    <m/>
    <m/>
    <m/>
    <m/>
    <m/>
    <m/>
    <s v="=="/>
  </r>
  <r>
    <x v="0"/>
    <n v="1488"/>
    <x v="8"/>
    <n v="21"/>
    <s v="General"/>
    <s v="Conceptual"/>
    <s v="Easy"/>
    <s v="What SQL data type should be used to store an ordered collection of multiple names in a table?"/>
    <s v="Global Temporary View"/>
    <s v="View"/>
    <s v="Temporary View"/>
    <s v="Table"/>
    <s v="All of the above"/>
    <m/>
    <s v="D"/>
    <s v="The correct answer is Table._x000a__x000a_Here’s why:_x000a__x000a_Tables: In Databricks, tables are persistent data structures. They store data in a storage location (like cloud storage) and are available even after a cluster is restarted. They are designed for long-term storage and retrieval. _x000a__x000a_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_x000a__x000a_Temporary Views: Temporary views are session-bound. They only exist within the context of a specific Spark session. When the cluster restarts (which creates a new session), temporary views are lost.  _x000a__x000a_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_x000a__x000a_Therefore, only tables are persisted across Databricks cluster restarts."/>
    <m/>
    <m/>
    <m/>
    <m/>
    <m/>
    <m/>
    <m/>
    <m/>
  </r>
  <r>
    <x v="0"/>
    <n v="1489"/>
    <x v="8"/>
    <n v="22"/>
    <s v="General"/>
    <s v="Conceptual"/>
    <s v="Easy"/>
    <s v="Which statement accurately describes the relationship between Bronze tables and raw data?"/>
    <s v="Bronze tables contain more accurate data than raw data."/>
    <s v="Bronze tables contain less data than raw data files."/>
    <s v="Bronze tables contain a less refined view of data than raw data."/>
    <s v="Bronze tables contain raw data with a schema applied."/>
    <s v="Bronze tables contain aggregates while raw data is unaggregated."/>
    <m/>
    <s v="D"/>
    <s v="The most accurate statement is:_x000a__x000a_Bronze tables contain raw data with a schema applied._x000a_Explanation:_x000a__x000a_Raw Data: Raw data is typically unstructured or semi-structured and may contain inconsistencies or errors._x000a_Bronze Tables: Bronze tables are the first stop in the data lakehouse. They:_x000a_Store raw data as is: They aim to preserve the original data format and integrity._x000a_Apply a basic schema: A minimal schema is applied to the raw data to ensure data type consistency and enable basic querying. This schema may not be fully refined or optimized._x000a_Key Points:_x000a__x000a_Data Transformation: Subsequent steps (like Silver and Gold tables) involve data transformation, cleaning, and refinement._x000a_Data Integrity: Bronze tables help maintain the original data integrity for auditing, debugging, and data recovery purposes._x000a_Therefore, Bronze tables represent the initial landing zone for raw data with a basic schema applied, forming the foundation for further data processing and analysis within the data lakehouse."/>
    <m/>
    <m/>
    <m/>
    <m/>
    <m/>
    <m/>
    <m/>
    <m/>
  </r>
  <r>
    <x v="0"/>
    <n v="1490"/>
    <x v="8"/>
    <n v="23"/>
    <s v="General"/>
    <s v="Conceptual"/>
    <s v="Easy"/>
    <s v="What does ACID stand for in the context of Delta Lake transactions on Databricks?"/>
    <s v="Atomic, Consistent, Isolated, Durable"/>
    <s v="Atomicity, Consistency, Isolation, Durability"/>
    <s v="Automatic, Consistent, Integrated, Durable"/>
    <s v="Automated, Consistency, Isolation, Dynamic"/>
    <m/>
    <m/>
    <s v="E"/>
    <s v="He can schedule the dashboard to refresh every 1 day from the Dashboards page in Databricks SQL._x000a__x000a_Here’s why:_x000a__x000a_Dashboards in Databricks have built-in scheduling capabilities. This allows you to automate the refresh process, eliminating the need for manual intervention._x000a_Scheduling within the Dashboards page is the most direct and efficient way to manage the refresh frequency of a specific dashboard._x000a_Other options and why they are less suitable:_x000a__x000a_Alerts page: Primarily used for notifications related to data quality, security, or other critical events. Not designed for scheduling dashboard refreshes._x000a_SQL Warehouses: Manage the compute resources used by your queries and jobs. Not directly related to scheduling dashboards._x000a_Queries page: Deals with individual SQL queries, not the overall dashboard refresh._x000a_Workflows UI: A more advanced feature for orchestrating complex data pipelines and jobs. While it can be used for scheduling, it might be overkill for a simple daily dashboard refresh._x000a_By scheduling the dashboard refresh directly from the Dashboards page, the manager saves time and ensures the data is always up-to-date for their daily review."/>
    <m/>
    <m/>
    <m/>
    <n v="1"/>
    <m/>
    <m/>
    <m/>
    <m/>
  </r>
  <r>
    <x v="0"/>
    <n v="1491"/>
    <x v="8"/>
    <n v="24"/>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_x000a_They can be manually terminated or restarted._x000a_They can be created using the UI, CLI, or REST API._x000a_They can be shared for collaborative interactive analysis by multiple users."/>
    <m/>
    <m/>
    <m/>
    <m/>
    <n v="1"/>
    <m/>
    <m/>
    <m/>
  </r>
  <r>
    <x v="0"/>
    <n v="1492"/>
    <x v="8"/>
    <n v="25"/>
    <s v="General"/>
    <s v="Conceptual"/>
    <s v="Easy"/>
    <s v="Which of the following statements is incorrect about an all-purpose cluster in Databricks?"/>
    <s v="An all-purpose cluster can be manually terminated when not in use"/>
    <s v="An all-purpose cluster can be created using the UI, CLI or REST API"/>
    <s v="An all-purpose cluster can be shared by multiple users to do collaborative interactive analysis"/>
    <s v="An all-purpose cluster can be used to run fast and robust automated jobs"/>
    <s v="An all-purpose cluster can be manually restarted when required"/>
    <m/>
    <s v="B"/>
    <s v="The correct statement is:_x000a__x000a_CREATE TABLE AS SELECT statements derive schema details from the query and you must not specify a column_specification._x000a_Explanation:_x000a__x000a_CTAS (CREATE TABLE AS SELECT) is a powerful SQL command used to create a new table based on the results of a SELECT query._x000a_Schema Inference: The CTAS statement automatically infers the schema (column names and data types) of the new table from the data returned by the SELECT query._x000a_No Explicit Column Definition: You do not need to explicitly define the columns and their data types in the CTAS statement. The schema is derived dynamically from the query’s output._x000a_Key Points:_x000a__x000a_Flexibility: CTAS simplifies table creation by automatically determining the schema from the data._x000a_Data-Driven Schema: The table structure is directly based on the data, ensuring accurate and up-to-date schema definitions"/>
    <m/>
    <m/>
    <m/>
    <n v="1"/>
    <m/>
    <m/>
    <m/>
    <m/>
  </r>
  <r>
    <x v="0"/>
    <n v="1493"/>
    <x v="8"/>
    <n v="26"/>
    <s v="General"/>
    <s v="Conceptual"/>
    <s v="Easy"/>
    <s v="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
    <s v="He can schedule the dashboard to refresh every 1 day from the Alerts page in Databricks SQL"/>
    <s v="He can schedule the dashboard to refresh every 1 day from the Workflows UI"/>
    <s v="He can schedule the dashboard to refresh every 1 day from the SQL Warehouses page in Databricks SQL"/>
    <s v="He can schedule the dashboard to run every 1 day from the Queries page in Databricks SQL"/>
    <s v="He can schedule the dashboard to refresh every 1 day from the Dashboards page in Databricks SQL"/>
    <m/>
    <s v="A"/>
    <s v="The SQL data type that should be used to store an ordered collection of multiple names in a table is ARRAY._x000a__x000a_Here’s why:_x000a__x000a_ARRAY: An array is specifically designed to store an ordered list of elements of the same data type. This is perfect for storing multiple names in a specific order._x000a_Here’s why the other options are not suitable:_x000a__x000a_MAP: A map stores key-value pairs, which is not appropriate for a simple ordered list of names._x000a_STRUCT: A struct stores a collection of named fields with different data types, which is more complex than needed for a list of names._x000a_VARCHAR: VARCHAR is used to store a single string value, not a collection of values."/>
    <m/>
    <m/>
    <m/>
    <m/>
    <n v="1"/>
    <m/>
    <m/>
    <m/>
  </r>
  <r>
    <x v="0"/>
    <n v="1494"/>
    <x v="8"/>
    <n v="27"/>
    <s v="General"/>
    <s v="Conceptual"/>
    <s v="Easy"/>
    <s v="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
    <s v="CREATE TABLE AS SELECT statements result in tables where schemas are optional."/>
    <s v="CREATE TABLE AS SELECT statements derive schema details from the query and you must not specify a column_specification"/>
    <s v="CREATE TABLE AS SELECT statements result in tables that do not support schemas."/>
    <s v="CREATE TABLE AS SELECT statements infer the schema by scanning the data."/>
    <s v="CREATE TABLE AS SELECT statements assign all columns the type STRING by default."/>
    <m/>
    <s v="B"/>
    <s v="ACID stands for:_x000a__x000a_Atomicity: All operations within a transaction are treated as a single unit. Either all operations complete successfully, or none of them do.  _x000a_Consistency: Transactions preserve the integrity of the database. Data is always in a consistent state before and after a transaction. _x000a_Isolation: Concurrent transactions do not interfere with each other. Each transaction sees a consistent view of the database, as if it were the only one executing.  _x000a_Durability: Once a transaction is committed, its changes are permanent and will survive system failures. _x000a_Delta Lake leverages these ACID properties to ensure data reliability, consistency, and durability in a data lake environment. "/>
    <m/>
    <m/>
    <m/>
    <m/>
    <n v="1"/>
    <m/>
    <m/>
    <m/>
  </r>
  <r>
    <x v="0"/>
    <n v="1495"/>
    <x v="8"/>
    <n v="28"/>
    <s v="General"/>
    <s v="Conceptual"/>
    <s v="Easy"/>
    <s v="You are currently working on storing data you received from different customer surveys, this data is highly unstructured and changes over time,  why Lakehouse is a better choice compared to a Data warehouse?"/>
    <s v="Lakehouse supports schema enforcement and evolution, traditional data warehouses lack schema evolution."/>
    <s v="Lakehouse supports SQL"/>
    <s v="Lakehouse supports ACID"/>
    <s v="Lakehouse enforces data integrity"/>
    <s v="Lakehouse supports primary and foreign keys like a data warehouse"/>
    <m/>
    <s v="A"/>
    <s v="✅ A. Lakehouse supports schema enforcement and evolution, traditional data warehouses lack schema evolution._x000a__x000a_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_x000a_❌ B. Lakehouse supports SQL_x000a__x000a_While Lakehouses do support SQL for querying and analysis (often through engines like Spark SQL), modern data warehouses also extensively support SQL. This is not a differentiating factor that makes a Lakehouse better for handling unstructured and evolving data._x000a_❌ C. Lakehouse supports ACID_x000a__x000a_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_x000a_❌ D. Lakehouse enforces data integrity_x000a__x000a_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_x000a_❌ E. Lakehouse supports primary and foreign keys like a data warehouse_x000a__x000a_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
    <m/>
    <m/>
    <m/>
    <m/>
    <n v="1"/>
    <m/>
    <m/>
    <m/>
  </r>
  <r>
    <x v="0"/>
    <n v="1496"/>
    <x v="8"/>
    <n v="29"/>
    <s v="General"/>
    <s v="Conceptual"/>
    <s v="Easy"/>
    <s v="A newly joined team member John Smith in the Marketing team currently has access read access to sales tables but does not have access to update the table, which of the following commands help you accomplish this?"/>
    <s v="GRANT UPDATE ON TABLE table_name TO john.smith@marketing.com"/>
    <s v="GRANT USAGE ON TABLE table_name TO john.smith@marketing.com"/>
    <s v="GRANT MODIFY ON TABLE table_name TO john.smith@marketing.com"/>
    <s v="GRANT UPDATE TO TABLE table_name ON john.smith@marketing.com"/>
    <s v="GRANT MODIFY TO TABLE table_name ON john.smith@marketing.com"/>
    <m/>
    <s v="C"/>
    <s v="Correct:_x000a__x000a_C. GRANT MODIFY ON TABLE table_name TO john.smith@marketing.com_x000a_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_x000a_The syntax is also correct according to Unity Catalog conventions._x000a__x000a_Incorrect:_x000a__x000a_A. GRANT UPDATE ON TABLE table_name TO john.smith@marketing.com_x000a_While UPDATE is a common SQL privilege, in Databricks Unity Catalog, the comprehensive privilege for making changes to data within a table (including updates) is MODIFY. UPDATE by itself is not the standard or correct syntax for this purpose in Unity Catalog._x000a_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_x000a__x000a_Although some SQL dialects like standard ANSI SQL or other databases support UPDATE as a standalone privilege, in Unity Catalog, MODIFY is the appropriate privilege for all write operations._x000a__x000a_UPDATE is not a valid privilege in Unity Catalog’s permission model._x000a__x000a_B. GRANT USAGE ON TABLE table_name TO john.smith@marketing.com_x000a_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_x000a_D. GRANT UPDATE TO TABLE table_name ON john.smith@marketing.com_x000a_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_x000a_E. GRANT MODIFY TO TABLE table_name ON john.smith@marketing.com_x000a_This command also uses incorrect syntax. Similar to option D, the TO and ON keywords are misplaced. The correct order is GRANT MODIFY ON TABLE table_name TO john.smith@marketing.com._x000a_Reference:_x000a_https://docs.microsoft.com/en-us/azure/databricks/security/access-control/table-acls/object-privileges#privileges"/>
    <m/>
    <m/>
    <m/>
    <n v="1"/>
    <n v="1"/>
    <m/>
    <m/>
    <m/>
  </r>
  <r>
    <x v="0"/>
    <n v="1497"/>
    <x v="8"/>
    <n v="30"/>
    <s v="General"/>
    <s v="Conceptual"/>
    <s v="Easy"/>
    <s v="Which of the statement is correct about the cluster pools?"/>
    <s v="Cluster pools allow you to perform load balancing"/>
    <s v="Cluster pools allow you to create a cluster"/>
    <s v="Cluster pools allow you to save time when starting a new cluster"/>
    <s v="Cluster pools are used to share resources among multiple teams"/>
    <s v="Cluster pools allow you to have all the nodes in the cluster from single physical server rack"/>
    <m/>
    <s v="C"/>
    <s v="✅ C. Cluster pools allow you to save time when starting a new cluster_x000a__x000a_Cluster pools in Databricks are a set of idle, ready-to-use instances. When a new cluster is created and configured to use a pool, Databricks allocates nodes from the pool instead of provisioning them from scratch. This significantly reduces the cluster start-up time._x000a_❌ A. Cluster pools allow you to perform load balancing_x000a__x000a_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_x000a_❌ B. Cluster pools allow you to create a cluster_x000a__x000a_Cluster pools do not create clusters. They provide a pool of resources that are used when creating a new cluster. You still need to go through the cluster creation process and configure it to utilize an existing pool._x000a_❌ D. Cluster pools are used to share resources among multiple teams_x000a__x000a_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_x000a_❌ E. Cluster pools allow you to have all the nodes in the cluster from single physical server rack_x000a__x000a_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
    <m/>
    <m/>
    <m/>
    <n v="1"/>
    <n v="1"/>
    <m/>
    <m/>
    <m/>
  </r>
  <r>
    <x v="0"/>
    <n v="1498"/>
    <x v="8"/>
    <n v="31"/>
    <s v="General"/>
    <s v="Conceptual"/>
    <s v="Easy"/>
    <s v="Once a cluster is deleted, below additional actions need to performed by the administrator"/>
    <s v="Remove virtual machines but storage and networking are automatically dropped"/>
    <s v="Drop storage disks but Virtual machines and networking are automatically dropped"/>
    <s v="Remove networking but Virtual machines and storage disks are automatically dropped"/>
    <s v="Remove logs"/>
    <s v="No action needs to be performed. All resources are automatically removed."/>
    <m/>
    <s v="E"/>
    <s v="Correct_x000a_Option E. No action needs to be performed. All resources are automatically removed_x000a__x000a_This is the correct answer._x000a_In Databricks, when a cluster is terminated or deleted, all associated resources (VMs, networking, and storage disks) are automatically cleaned up by the platform._x000a_Administrators do not need to manually remove infrastructure components._x000a_This ensures simplicity and reduces operational overhead, which is a key exam concept._x000a_Incorrect_x000a_Option A. Remove virtual machines but storage and networking are automatically dropped_x000a__x000a_Incorrect because Databricks automatically removes VMs along with other resources._x000a_No manual removal of VMs is required._x000a_Option B. Drop storage disks but Virtual machines and networking are automatically dropped_x000a__x000a_Incorrect because storage disks are also automatically cleaned up._x000a_Administrators do not need to manually drop disks._x000a_Option C. Remove networking but Virtual machines and storage disks are automatically dropped_x000a__x000a_Incorrect because networking resources are also automatically removed._x000a_No manual networking cleanup is needed._x000a_Option D. Remove logs_x000a__x000a_Incorrect because logs are retained in the workspace or external storage (like DBFS or cloud storage) depending on configuration._x000a_Cluster deletion does not require manual log removal; logs are managed separately."/>
    <m/>
    <m/>
    <m/>
    <m/>
    <n v="1"/>
    <m/>
    <m/>
    <m/>
  </r>
  <r>
    <x v="0"/>
    <n v="1499"/>
    <x v="8"/>
    <n v="32"/>
    <s v="General"/>
    <s v="Conceptual"/>
    <s v="Easy"/>
    <s v="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
    <s v="Create BLOOM FLTER index on the transactionId"/>
    <s v="Perform Optimize with Zorder on transactionId"/>
    <s v="transactionId has high cardinality, you cannot enable any optimization."/>
    <s v="Increase the cluster size and enable delta optimization"/>
    <s v="Increase the driver size and enable delta optimization"/>
    <m/>
    <s v="B"/>
    <s v="Correct_x000a_option A. Create BLOOM FILTER index on the transactionId_x000a__x000a_Bloom filters are designed for high-cardinality columns like IDs or auto-incrementing numbers._x000a_They allow efficient data skipping by quickly checking whether a file contains the requested value._x000a_This directly improves query performance when filtering on transactionId._x000a_ Incorrect_x000a_option B. Perform Optimize with ZORDER on transactionId_x000a__x000a_ZORDER works best for low- to medium-cardinality columns (e.g., region, date)._x000a_With high cardinality and sequential IDs, ZORDER provides little benefit._x000a_option C. transactionId has high cardinality, you cannot enable any optimization_x000a__x000a_Misleading: Bloom filters are an optimization specifically for high-cardinality columns._x000a_option D. Increase the cluster size and enable delta optimization_x000a__x000a_Scaling hardware does not solve the filtering problem._x000a_Delta optimizations are about data layout and indexing, not cluster size._x000a_option E. Increase the driver size and enable delta optimization_x000a__x000a_Similar to option D, increasing driver size is a hardware tweak._x000a_It does not address the data skipping/filtering issue."/>
    <m/>
    <m/>
    <m/>
    <n v="1"/>
    <m/>
    <m/>
    <m/>
    <m/>
  </r>
  <r>
    <x v="0"/>
    <n v="1500"/>
    <x v="8"/>
    <n v="33"/>
    <s v="General"/>
    <s v="Conceptual"/>
    <s v="Easy"/>
    <s v="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
    <s v="Databricks notebooks should be copied to a local machine and setup source control locally to version the notebooks"/>
    <s v="Databricks notebooks support automatic change tracking and versioning"/>
    <s v="Databricks Notebooks support real-time coauthoring on a single notebook"/>
    <s v="Databricks notebooks can be exported into dbc archive files and stored in data lake"/>
    <s v="Databricks notebook can be exported as HTML and imported at a later time"/>
    <m/>
    <s v="C"/>
    <s v="Answer is Databricks Notebooks support real-time coauthoring on a single notebook_x000a_Every change is saved, and a notebook can be changed my multiple users._x000a__x000a__x000a__x000a_ _x000a__x000a_✅ c: Databricks Notebooks support real-time coauthoring on a single notebook_x000a__x000a_○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_x000a__x000a_Let’s look at why the other options are incorrect:_x000a__x000a_❌ a: Databricks notebooks should be copied to a local machine and setup source control locally to version the notebooks_x000a__x000a_○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_x000a__x000a_❌ b: Databricks notebooks support automatic change tracking and versioning_x000a__x000a_○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_x000a__x000a_❌ d: Databricks notebooks can be exported into dbc archive files and stored in data lake_x000a__x000a_○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_x000a__x000a_❌ e: Databricks notebook can be exported as HTML and imported at a later time_x000a__x000a_○ Exporting notebooks as HTML is primarily for sharing a static view of the notebook content. Importing an HTML file back into Databricks doesn’t preserve the interactive nature of the notebook and doesn’t enable collaborative editing._x000a_See Graphic"/>
    <m/>
    <m/>
    <m/>
    <m/>
    <n v="1"/>
    <m/>
    <m/>
    <m/>
  </r>
  <r>
    <x v="0"/>
    <n v="1501"/>
    <x v="8"/>
    <n v="34"/>
    <s v="General"/>
    <s v="Conceptual"/>
    <s v="Easy"/>
    <s v="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
    <s v="You currently do not have access to view historical data"/>
    <s v="By default, historical data is cleaned every 180 days in DELTA"/>
    <s v="A command VACUUM table_name RETAIN 0 was ran on the table"/>
    <s v="Time travel is disabled"/>
    <s v="Time travel must be enabled before you query previous data"/>
    <m/>
    <s v="C"/>
    <s v="The most likely reason why you can’t access yesterday’s version of the table using time travel is:_x000a__x000a_A command VACUUM table_name RETAIN 0 was ran on the table._x000a__x000a_Here’s why:_x000a__x000a_VACUUM Command: This command is used to reclaim disk space by deleting old files that are no longer needed._x000a_RETAIN 0: The RETAIN 0 option instructs the command to delete all files that are not referenced by the current version of the table. This includes files from older versions, effectively removing the ability to access historical data using time travel._x000a_Other less likely possibilities:_x000a__x000a_Time travel disabled: While possible, it’s less likely in this scenario since you can see the table’s history using DESCRIBE HISTORY table_name. This command would not be available if time travel were completely disabled._x000a_Default data cleaning in Delta: Delta Lake doesn’t have a default setting to automatically clean historical data every 180 days. Data retention is typically managed through the VACUUM command._x000a_Insufficient permissions: It’s possible that you don’t have the necessary permissions to access historical data, even if it exists. However, this wouldn’t explain why you can see the table’s history using DESCRIBE HISTORY._x000a_To confirm the cause:_x000a__x000a_Check for recent VACUUM operations: Review the table’s history using DESCRIBE HISTORY table_name to see if a VACUUM operation was recently performed._x000a_Check data retention settings: If applicable, review any specific data retention policies or configurations that might be affecting the table’s history._x000a_By investigating these points, you should be able to determine the exact reason why you can’t access the historical data and take appropriate action to restore access or adjust your data retention strategy."/>
    <m/>
    <m/>
    <m/>
    <m/>
    <n v="1"/>
    <m/>
    <m/>
    <m/>
  </r>
  <r>
    <x v="0"/>
    <n v="1502"/>
    <x v="8"/>
    <n v="35"/>
    <s v="General"/>
    <s v="Conceptual"/>
    <s v="Easy"/>
    <s v="Identify one of the below statements that can query a delta table in PySpark Dataframe API"/>
    <s v="Spark.read.mode(“delta“).table(“table_name“)"/>
    <s v="Spark.read.table.delta(“table_name“)"/>
    <s v="Spark.read.table(“table_name“)"/>
    <s v="Spark.read.format(“delta“).LoadTableAs(“table_name“)"/>
    <s v="Spark.read.format(“delta“).TableAs(“table_name“)"/>
    <m/>
    <s v="C"/>
    <s v="Spark.read.table(“table_name”)_x000a__x000a_Explanation:_x000a_Spark.read.table(“table_name”) is the correct syntax for querying a Delta table using PySpark’s DataFrame API. The method .table() allows you to read a table by name, and it works with Delta tables as well as other types of tables registered in Spark."/>
    <m/>
    <m/>
    <m/>
    <n v="1"/>
    <m/>
    <m/>
    <m/>
    <m/>
  </r>
  <r>
    <x v="0"/>
    <n v="1503"/>
    <x v="8"/>
    <n v="36"/>
    <s v="General"/>
    <s v="Conceptual"/>
    <s v="Easy"/>
    <s v="When you drop an external DELTA table using the SQL Command DROP TABLE table_name, how does it impact metadata(delta log, history), and data stored in the storage?"/>
    <s v="Drops table from metastore, metadata(delta log, history)and data in storage"/>
    <s v="Drops table from metastore, data but keeps metadata(delta log, history) in storage"/>
    <s v="Drops table from metastore, metadata(delta log, history)but keeps the data in storage"/>
    <s v="Drops table from metastore, but keeps metadata(delta log, history)and data in storage"/>
    <s v="Drops table from metastore and data in storage but keeps metadata(delta log, history)"/>
    <m/>
    <s v="D"/>
    <s v="When you drop an external DELTA table using the SQL command DROP TABLE table_name, here’s how it impacts metadata and data:_x000a__x000a_Drops table from metastore, but keeps metadata(delta log, history)and data in storage_x000a_Here’s why:_x000a__x000a_Metastore: The DROP TABLE command removes the table’s definition from the metastore. This means the table is no longer registered in the system._x000a_Data and Metadata: Because it’s an external table, the actual data files and Delta Lake metadata (delta log, history) reside in external storage (like S3, ADLS, or GCS). The DROP TABLE command does not delete these files._x000a_Therefore, the data and its associated delta logs remain in the storage location._x000a_See Graphic"/>
    <m/>
    <m/>
    <m/>
    <n v="1"/>
    <m/>
    <m/>
    <n v="1"/>
    <m/>
  </r>
  <r>
    <x v="0"/>
    <n v="1504"/>
    <x v="8"/>
    <n v="37"/>
    <s v="General"/>
    <s v="Conceptual"/>
    <s v="Easy"/>
    <s v="Which of the following commands can be used to query a delta table?"/>
    <s v="%python spark.sql(“select * from table_name“)"/>
    <s v="%sql Select * from table_name"/>
    <s v="Both A &amp; B"/>
    <s v="%python execute.sql(“select * from table“)"/>
    <s v="%python delta.sql(“select * from table“)"/>
    <m/>
    <s v="C"/>
    <s v="✅ Both A &amp; B_x000a__x000a_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_x000a_Incorrect:_x000a__x000a_❌ %python&amp;lt;br&gt;spark.sql(“select * from table_name”)&amp;lt;br&gt;: This option is a correct way to query a Delta table using Spark SQL within a Python cell in a Databricks notebook. It’s marked incorrect because option C correctly identifies that both A and B are valid._x000a__x000a_❌ %sql &amp;lt;br&gt;Select * from table_name &amp;lt;br&gt;: This option is a correct way to query a Delta table using a SQL cell in a Databricks notebook. It’s marked incorrect because option C correctly identifies that both A and B are valid._x000a__x000a_❌ %python &amp;lt;br&gt;execute.sql(“select * from table”) &amp;lt;br&gt;: There is no standard execute.sql() method directly available under the spark object in PySpark for executing SQL queries. You should use spark.sql()._x000a__x000a_❌ %python &amp;lt;br&gt;delta.sql(“select * from table”) &amp;lt;br&gt;: While there is a delta package in Databricks for working with Delta Lake features, there isn’t a direct delta.sql() method for executing general SQL queries against Delta tables. You would still use spark.sql()."/>
    <m/>
    <m/>
    <m/>
    <m/>
    <n v="1"/>
    <m/>
    <m/>
    <m/>
  </r>
  <r>
    <x v="0"/>
    <n v="1505"/>
    <x v="8"/>
    <n v="38"/>
    <s v="General"/>
    <s v="Conceptual"/>
    <s v="Easy"/>
    <s v="How do you check the location of an existing schema in Delta Lake?"/>
    <s v="Run SQL command SHOW LOCATION schema_name"/>
    <s v="Check unity catalog UI"/>
    <s v="Use Data explorer"/>
    <s v="Run SQL command DESCRIBE SCHEMA EXTENDED schema_name"/>
    <s v="Schemas are internally in-store external hive meta stores like MySQL or SQL Server"/>
    <m/>
    <s v="C"/>
    <s v="2_x000a_See Graphic"/>
    <m/>
    <m/>
    <m/>
    <n v="1"/>
    <m/>
    <m/>
    <n v="1"/>
    <m/>
  </r>
  <r>
    <x v="0"/>
    <n v="1506"/>
    <x v="8"/>
    <n v="39"/>
    <s v="General"/>
    <s v="Conceptual"/>
    <s v="Easy"/>
    <s v="What could be the expected output of query SELECT COUNT(DISTINCT *) FROM user on this table_x000a__x000a_userId | username      | email_x000a_1      | john.smith    | john.smith@com_x000a_2      | NULL          | david.clear@com_x000a_3      | kevin.smith   | kevin.smith@com"/>
    <n v="3"/>
    <n v="2"/>
    <n v="1"/>
    <s v="NULL"/>
    <m/>
    <m/>
    <s v="D"/>
    <s v="Correct_x000a__x000a_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_x000a__x000a_Incorrect_x000a__x000a_Option A. SUM, COUNT, SIZE because COUNT works on rows, not on elements inside an array. It cannot filter or count individual readings within the deviceTemp array._x000a__x000a_Option B. SUM, SIZE, SLICE because SLICE extracts a subset of an array based on index ranges, not based on a condition. It cannot isolate values greater than 100.00._x000a__x000a_Option C. SUM, SIZE, ARRAY_CONTAINS because ARRAY_CONTAINS only checks if a specific value exists in the array, returning a boolean. It cannot count multiple exceedances or apply a condition across all elements._x000a__x000a_Option E. SUM, SIZE, FILTER because FILTER is not a valid array function in Spark SQL/Databricks SQL. The correct function is ARRAY_FILTER."/>
    <m/>
    <m/>
    <m/>
    <n v="1"/>
    <m/>
    <m/>
    <m/>
    <m/>
  </r>
  <r>
    <x v="0"/>
    <n v="1507"/>
    <x v="8"/>
    <n v="40"/>
    <s v="General"/>
    <s v="Conceptual"/>
    <s v="Easy"/>
    <s v="You were asked to identify number of times a temperature sensor exceed threshold temperature (100.00) by each device, each row contains 5 readings collected every 5 minutes. Fill in the blank with the appropriate functions._x000a__x000a_Schema:_x000a_deviceId INT, deviceTemp ARRAY, dateTimeCollected TIMESTAMP_x000a__x000a_Sample data:_x000a__x000a_deviceId | deviceTemp                         | dateTimeCollected_x000a_1        | [99.00,99.00,99.00,100.10,100.9]   | 10-10-2021 10:00_x000a_1        | [99.00,99.00,100.00,100.15,102]    | 10-10-2021 10:15_x000a_1        | [99.00,99.00,100.00,100.20,101]    | 10-10-2021 10:20_x000a__x000a_Output data:_x000a__x000a_deviceId | Count_x000a_1        | 6_x000a__x000a_SELECT deviceId, __ ( __ (deviceTemp), i -&gt; i &gt; 100.00))_x000a_FROM devices_x000a_GROUP BY deviceId"/>
    <s v="SUM, COUNT, SIZE"/>
    <s v="SUM, SIZE, SLICE"/>
    <s v="SUM, SIZE, ARRAY_CONTAINS"/>
    <s v="SUM, SIZE, ARRAY_FILTER"/>
    <s v="SUM, SIZE, FILTER"/>
    <m/>
    <s v="A"/>
    <s v="Correct_x000a__x000a_Option A. 3_x000a__x000a_Correct because SELECT COUNT(DISTINCT *) FROM user in Databricks SQL counts the number of distinct rows in the table. If the table has 3 unique rows, the output will be 3. This matches the expected behavior of DISTINCT *, which considers all columns together to determine uniqueness._x000a__x000a_Incorrect_x000a__x000a_Option B. 2_x000a__x000a_Incorrect because this would mean only 2 distinct rows exist in the table. Since the query is designed to count all unique rows, if the table has 3 distinct rows, 2 is not the correct output._x000a__x000a_Option C. 1_x000a__x000a_Incorrect because this would imply that all rows in the table are identical. If there are multiple distinct rows, the result cannot be 1._x000a__x000a_Option D. NULL_x000a__x000a_Incorrect because aggregate functions like COUNT never return NULL. They return an integer value (including 0 if no rows exist). Therefore, NULL is not a valid output for this query._x000a_Review. Not sure on this one."/>
    <m/>
    <m/>
    <m/>
    <m/>
    <n v="1"/>
    <m/>
    <m/>
    <m/>
  </r>
  <r>
    <x v="0"/>
    <n v="1508"/>
    <x v="8"/>
    <n v="41"/>
    <s v="General"/>
    <s v="Conceptual"/>
    <s v="Easy"/>
    <s v="Which of the following is correct for the global temporary view?"/>
    <s v="global temporary views cannot be accessed once the notebook is detached and attached"/>
    <s v="global temporary views can be accessed across many clusters"/>
    <s v="global temporary views can be still accessed even if the notebook is detached and attached"/>
    <s v="global temporary views can be still accessed even if the cluster is restarted"/>
    <s v="global temporary views are created in a database called temp database"/>
    <m/>
    <s v="C"/>
    <s v="Correct_x000a_Option C. Global temporary views can be still accessed even if the notebook is detached and attached_x000a__x000a_This is correct. In Databricks, global temporary views are tied to the lifetime of the Spark application, not to a specific notebook session._x000a_They are stored in a system database called global_temp and can be accessed across notebooks as long as the Spark application is running._x000a_Detaching and reattaching a notebook does not destroy the Spark application, so the global temporary view remains accessible._x000a_Incorrect_x000a_Option A. Global temporary views cannot be accessed once the notebook is detached and attached_x000a__x000a_Incorrect. This describes the behavior of local temporary views, which are session‑scoped. Global temporary views persist beyond notebook detachment._x000a_Option B. Global temporary views can be accessed across many clusters_x000a__x000a_Incorrect. They are scoped to the Spark application on a single cluster. They cannot be shared across multiple clusters._x000a_Option D. Global temporary views can be still accessed even if the cluster is restarted_x000a__x000a_Incorrect. Restarting the cluster ends the Spark application, which destroys global temporary views. They do not persist beyond cluster restarts._x000a_Option E. Global temporary views are created in a database called temp database_x000a__x000a_Incorrect. They are created in a special system database called global_temp, not temp."/>
    <m/>
    <m/>
    <m/>
    <n v="1"/>
    <m/>
    <m/>
    <m/>
    <m/>
  </r>
  <r>
    <x v="0"/>
    <n v="1509"/>
    <x v="8"/>
    <n v="42"/>
    <s v="General"/>
    <s v="Conceptual"/>
    <s v="Easy"/>
    <s v="Which of the following python statement can be used to replace the schema name and table name in the query statement?"/>
    <s v="table_name = “sales“ schema_name = “bronze“ query = f”select * from schema_name.table_name”"/>
    <s v="table_name = “sales“ schema_name = “bronze“ query = “select * from {schema_name}.{table_name}“"/>
    <s v="table_name = “sales“ schema_name = “bronze“ query = f“select * from { schema_name}.{table_name}“"/>
    <s v="table_name = “sales“ schema_name = “bronze“ query = f“select * from + schema_name +“.“+table_name“"/>
    <m/>
    <m/>
    <s v="C"/>
    <s v="Correct_x000a_Option C._x000a_python_x000a_query = f&quot;select * from {schema_name}.{table_name}&quot;_x000a_✅ Correct because this uses a Python f-string with proper variable interpolation._x000a__x000a_schema_name and table_name are dynamically inserted into the query string._x000a_This is the cleanest and most Pythonic way to construct SQL queries with variables in Databricks._x000a_Incorrect_x000a_Option A._x000a_python_x000a_query = f&quot;select * from schema_name.table_name&quot;_x000a_❌ Incorrect because schema_name and table_name are treated as literal strings, not variables._x000a__x000a_The query would literally be &quot;select * from schema_name.table_name&quot; instead of &quot;select * from bronze.sales&quot;._x000a_Option B._x000a_python_x000a_query = &quot;select * from {schema_name}.{table_name}&quot;_x000a_❌ Incorrect because without the f prefix, Python does not interpolate variables inside curly braces._x000a__x000a_The query remains &quot;select * from {schema_name}.{table_name}&quot; instead of replacing with actual values._x000a_Option D._x000a_python_x000a_query = f&quot;select * from &quot; + schema_name + &quot;.&quot; + table_name_x000a_❌ Incorrect because while concatenation works, the f prefix is unnecessary here and makes the syntax confusing._x000a__x000a_It would still produce the correct string, but this is not the recommended or clean approach for exams — Option C is the proper answer."/>
    <m/>
    <m/>
    <m/>
    <m/>
    <n v="1"/>
    <m/>
    <m/>
    <m/>
  </r>
  <r>
    <x v="0"/>
    <n v="1510"/>
    <x v="8"/>
    <n v="43"/>
    <s v="General"/>
    <s v="Conceptual"/>
    <s v="Easy"/>
    <s v="You are looking to process the data based on two variables, one to check if the department is supply chain and second to check if process flag is set to True"/>
    <s v="if department = “supply chain” &amp; process:"/>
    <s v="if department == “supply chain” &amp;&amp; process:"/>
    <s v="if department == “supply chain” and process == TRUE:"/>
    <s v="if department == “supply chain” &amp; if process == TRUE:"/>
    <s v="if department == “supply chain“ and process:"/>
    <m/>
    <s v="E"/>
    <s v="if department == “supply chain“ and process: ✅Explanation:In Python, when you want to evaluate two conditions together:_x000a_Checking equality_x000a_Use == for comparison._x000a_department == &quot;supply chain&quot;_x000a_Logical AND_x000a_Use the and keyword (not &amp;) for combining boolean conditions._x000a_condition1 and condition2_x000a_Checking a boolean variable_x000a_If process is already a boolean (True/False), you can simply write:_x000a_if process:_x000a_You don’t need == True. Writing if process: is sufficient and more Pythonic._x000a_Putting it together:_x000a_if department == &quot;supply chain&quot; and process:_x000a_# do something_x000a_Note:_x000a__x000a_Writing process == True is also syntactically correct, but it’s redundant._x000a_Using &amp; instead of and works only for bitwise operations, not for general boolean logic on non-integer types."/>
    <m/>
    <m/>
    <m/>
    <n v="1"/>
    <m/>
    <m/>
    <m/>
    <s v="&amp;&amp;"/>
  </r>
  <r>
    <x v="0"/>
    <n v="1511"/>
    <x v="8"/>
    <n v="44"/>
    <s v="General"/>
    <s v="Conceptual"/>
    <s v="Easy"/>
    <s v="Which of the following techniques structured streaming uses to ensure recovery of failures during stream processing?"/>
    <s v="Checkpointing and Watermarking"/>
    <s v="Write ahead logging and watermarking"/>
    <s v="Checkpointing and write-ahead logging"/>
    <s v="Delta time travel"/>
    <s v="The stream will failover to available nodes in the cluster"/>
    <s v="Checkpointing and Idempotent sinks"/>
    <s v="C"/>
    <s v="Correct_x000a_Option C. Checkpointing and Write‑ahead logging_x000a_Reasoning:_x000a_Structured Streaming ensures fault tolerance and recovery by using checkpointing (to persist progress information such as offsets and state) and write‑ahead logs (to record incoming data before processing)._x000a_Together, these mechanisms allow the system to restart from the last consistent state after a failure without data loss or duplication._x000a_This is the exam‑relevant correct answer._x000a_Incorrect_x000a_Option A. Checkpointing and Watermarking_x000a_Incorrect because watermarking is used for handling late data in event‑time processing, not for recovery from failures._x000a_Option B. Write‑ahead logging and Watermarking_x000a_Incorrect because while write‑ahead logging is part of recovery, watermarking is unrelated to fault tolerance._x000a_Option D. Delta time travel_x000a_Incorrect because Delta time travel allows querying historical versions of Delta tables, but it is not a mechanism for stream failure recovery._x000a_Option E. The stream will failover to available nodes in the cluster_x000a_Incorrect because failover alone does not guarantee recovery of state or offsets. Without checkpointing and WAL, data consistency cannot be ensured._x000a_Option F. Checkpointing and Idempotent sinks_x000a_Incorrect because idempotent sinks help avoid duplicate writes but are not the primary mechanisms for recovery. Checkpointing must be paired with WAL for full fault tolerance."/>
    <m/>
    <m/>
    <m/>
    <n v="1"/>
    <n v="1"/>
    <m/>
    <m/>
    <m/>
  </r>
  <r>
    <x v="0"/>
    <n v="1512"/>
    <x v="8"/>
    <n v="45"/>
    <s v="General"/>
    <s v="Conceptual"/>
    <s v="Easy"/>
    <s v="Which of the following statements can successfully read the notebook widget and pass the python variable to a SQL statement in a Python notebook cell?"/>
    <s v="order_date = dbutils.widgets.get(“widget_order_date“) spark.sql(f“SELECT * FROM sales WHERE orderDate = ‘f{order_date }‘“)"/>
    <s v="order_date = dbutils.widgets.get(“widget_order_date“) spark.sql(f“SELECT * FROM sales WHERE orderDate = ‘order_date‘ “)"/>
    <s v="order_date = dbutils.widgets.get(“widget_order_date“) spark.sql(f”SELECT * FROM sales WHERE orderDate = ‘${order_date }‘ “)"/>
    <s v="order_date = dbutils.widgets.get(“widget_order_date“) spark.sql(f“SELECT * FROM sales WHERE orderDate = ‘{order_date}‘ “)"/>
    <s v="order_date = dbutils.widgets.get(“widget_order_date“) spark.sql(“SELECT * FROM sales WHERE orderDate = order_date“)"/>
    <m/>
    <s v="D"/>
    <s v="Python_x000a_order_date = dbutils.widgets.get(&quot;widget_order_date&quot;)_x000a_spark.sql(f&quot;SELECT * FROM sales WHERE orderDate = '{order_date}'&quot;)_x000a_Retrieving the Widget Value:_x000a__x000a_dbutils.widgets.get(&quot;widget_order_date&quot;) correctly fetches the value from the notebook widget named “widget_order_date”._x000a_Constructing the SQL Query:_x000a__x000a_f-string: The f before the string literal indicates an f-string. This allows you to embed Python expressions directly into the string._x000a_Curly Braces: The curly braces {} within the f-string are used to insert the value of the order_date variable into the SQL query._x000a_Single Quotes: The order_date variable is enclosed in single quotes '' to ensure it’s treated as a string value within the SQL query._x000a_By using this approach, you effectively pass the widget value into the SQL query, allowing you to dynamically filter your data based on user input."/>
    <m/>
    <m/>
    <m/>
    <m/>
    <n v="1"/>
    <m/>
    <m/>
    <m/>
  </r>
  <r>
    <x v="0"/>
    <n v="1513"/>
    <x v="8"/>
    <n v="46"/>
    <s v="General"/>
    <s v="Conceptual"/>
    <s v="Easy"/>
    <s v="You are working on a process to query the table based on batch date, and batch date is an input parameter and expected to change every time the program runs, what is the best way to we can parameterize the query to run without manually changing the batch date?"/>
    <s v="Create a notebook parameter for batch date and assign the value to a python variable and use a spark data frame to filter the data based on the python variable"/>
    <s v="Create a dynamic view that can calculate the batch date automatically and use the view to query the data"/>
    <s v="There is no way we can combine python variable and spark code"/>
    <s v="Manually edit code every time to change the batch date"/>
    <s v="Store the batch date in the spark configuration and use a spark data frame to filter the data based on the spark configuration."/>
    <m/>
    <s v="D"/>
    <s v="Recommended Trigger: trigger(processingTime = &quot;15 minutes&quot;)_x000a__x000a_In Structured Streaming, triggers control the execution behavior of streaming queries. Below are the supported trigger types and their descriptions:_x000a__x000a_Trigger Types_x000a__x000a_Unspecified (Default)_x000a__x000a_Equivalent to: .trigger(processingTime = &quot;500 milliseconds&quot;)_x000a__x000a_The query runs in micro-batches as quickly as possible, with minimal delay between executions._x000a__x000a_Fixed Interval Micro-Batches_x000a__x000a_Syntax: .trigger(processingTime = &quot;2 minutes&quot;)_x000a__x000a_The query runs at the specified interval regardless of data availability._x000a__x000a_Suitable for predictable and controlled execution timing._x000a__x000a_One-Time Micro-Batch_x000a__x000a_Syntax: .trigger(once = True)_x000a__x000a_Executes a single micro-batch that processes all available data, then stops automatically._x000a__x000a_Ideal for backfilling or one-time processing needs._x000a__x000a_Available-Now Trigger (Recommended over once=True)_x000a__x000a_Syntax: .trigger(availableNow = True)_x000a__x000a_New feature available in Databricks Runtime 10.2 and above._x000a__x000a_Enhances the once=True trigger by enabling:_x000a__x000a_Multiple parallelized batches for improved performance._x000a__x000a_Configurable batch sizing for more efficient file generation._x000a__x000a_Works with Delta Lake and Auto Loader sources._x000a__x000a_✅ Recommended for This Use Case:_x000a__x000a_.trigger(processingTime = &quot;15 minutes&quot;)_x000a_This configuration executes the query every 15 minutes, making it suitable for use cases where periodic batch processing of new data is preferred."/>
    <m/>
    <m/>
    <m/>
    <n v="1"/>
    <m/>
    <m/>
    <m/>
    <m/>
  </r>
  <r>
    <x v="0"/>
    <n v="1514"/>
    <x v="8"/>
    <n v="47"/>
    <s v="General"/>
    <s v="Conceptual"/>
    <s v="Easy"/>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append"/>
    <s v="cloudfiles.format, cloudfiles.schemalocation, checkpointlocation, overwrite"/>
    <m/>
    <s v="A"/>
    <s v="✅ A. Create a notebook parameter for batch date and assign the value to a python variable and use a spark data frame to filter the data based on the python variable_x000a__x000a_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quot;batch_date&quot;)), assigned to a Python variable, and subsequently used in a Spark DataFrame’s where clause for filtering. This approach is flexible, clean, and well-integrated with Databricks job scheduling._x000a_❌ B. Create a dynamic view that can calculate the batch date automatically and use the view to query the data_x000a__x000a_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_x000a_❌ C. There is no way we can combine python variable and spark code_x000a__x000a_This statement is incorrect. Databricks notebooks seamlessly integrate Python and Spark. You can define Python variables and use them within Spark code, including filtering Spark DataFrames as suggested in the correct option._x000a_❌ D. Manually edit code every time to change the batch date_x000a__x000a_This option directly contradicts the requirement of running the query without manually changing the batch date. It is inefficient, error-prone, and not a programmatic solution._x000a_❌ E. Store the batch date in the spark configuration and use a spark data frame to filter the data based on the spark configuration._x000a__x000a_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
    <m/>
    <m/>
    <m/>
    <m/>
    <m/>
    <m/>
    <m/>
    <m/>
  </r>
  <r>
    <x v="0"/>
    <n v="1515"/>
    <x v="8"/>
    <n v="48"/>
    <s v="General"/>
    <s v="Conceptual"/>
    <s v="Easy"/>
    <s v="You would like to build a spark streaming process to read from a Kafka queue and write to a Delta table every 15 minutes, what is the correct trigger option"/>
    <s v="trigger(“15 minutes“)"/>
    <s v="trigger(process “15 minutes“)"/>
    <s v="trigger(processingTime = 15)"/>
    <s v="trigger(processingTime = “15 Minutes“)"/>
    <s v="trigger(15)"/>
    <m/>
    <s v="C"/>
    <s v="Correct:_x000a_Option C. cloudFiles.format, cloudFiles.schemalocation, checkpointlocation, mergeSchema_x000a__x000a_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_x000a__x000a_Incorrect:_x000a_Option A. format, checkpointlocation, schemalocation, overwrite_x000a__x000a_Missing cloudFiles. prefix required for Auto Loader options; overwrite drops existing data, unsuitable for incremental append processing._x000a__x000a_Option B. cloudfiles.format, checkpointlocation, cloudfiles.schemalocation, overwrite_x000a__x000a_cloudfiles. prefix incorrect (case-sensitive cloudFiles.); overwrite incompatible with incremental streaming._x000a__x000a_Option D. cloudFiles.format, cloudFiles.schemalocation, checkpointlocation, append_x000a__x000a_append is default write mode; mergeSchema explicitly required for automatic schema evolution across file versions._x000a__x000a_Option E. cloudFiles.format, cloudFiles.schemalocation, checkpointlocation, overwrite_x000a__x000a_overwrite destroys incremental history, preventing continuous processing of new inventory files."/>
    <m/>
    <m/>
    <m/>
    <m/>
    <n v="1"/>
    <m/>
    <m/>
    <m/>
  </r>
  <r>
    <x v="0"/>
    <n v="1516"/>
    <x v="8"/>
    <n v="49"/>
    <s v="General"/>
    <s v="Conceptual"/>
    <s v="Easy"/>
    <s v="Which of the following techniques structured streaming uses to create an end-to-end fault tolerance?"/>
    <s v="Checkpointing and Water marking"/>
    <s v="Write ahead logging and water marking"/>
    <s v="Checkpointing and idempotent sinks"/>
    <s v="Write ahead logging and idempotent sinks"/>
    <s v="Stream will failover to available nodes in the cluster"/>
    <m/>
    <s v="C"/>
    <s v="Checkpointing and idempotent sinks is the correct answer._x000a__x000a_Here’s a breakdown of how Structured Streaming achieves end-to-end fault tolerance using these techniques:_x000a__x000a_Checkpointing:_x000a__x000a_Structured Streaming periodically checkpoints the current state of the streaming query, including the offsets of the input streams._x000a_In case of a failure, the query can be restarted from the last checkpoint, ensuring no data loss.  _x000a_Idempotent Sinks:_x000a__x000a_Idempotent sinks are sinks that can process the same data multiple times without causing duplicate results.   _x000a_This ensures that even if a batch of data is processed multiple times due to failures or retries, the final result will remain consistent._x000a_Why other options are incorrect:_x000a__x000a_Watermarking: Watermarking is a technique used to control late data and trigger micro-batch processing. It doesn’t directly contribute to fault tolerance. _x000a_Write-ahead logging: While write-ahead logging can be used for fault tolerance in some systems, it’s not a primary mechanism used by Structured Streaming._x000a_Stream will failover to available nodes in the cluster: While this is true, it’s not the only mechanism used for fault tolerance. Checkpointing and idempotent sinks are crucial for ensuring data consistency and preventing data loss._x000a_By combining checkpointing and idempotent sinks, Structured Streaming can achieve end-to-end fault tolerance, ensuring that data is processed exactly once even in the face of failures."/>
    <m/>
    <m/>
    <m/>
    <n v="1"/>
    <m/>
    <m/>
    <m/>
    <m/>
  </r>
  <r>
    <x v="0"/>
    <n v="1517"/>
    <x v="8"/>
    <n v="50"/>
    <s v="General"/>
    <s v="Conceptual"/>
    <s v="Easy"/>
    <s v="You had AUTO LOADER to process millions of files a day and noticed slowness in load process, so you scaled up the Databricks cluster but realized the performance of the Auto loader is still not improving, what is the best way to resolve this."/>
    <s v="AUTO LOADER is not suitable to process millions of files a day"/>
    <s v="Setup a second AUTO LOADER process to process the data"/>
    <s v="Increase the maxFilesPerTrigger option to a sufficiently high number"/>
    <s v="Copy the data from cloud storage to local disk on the cluster for faster access"/>
    <s v="Merge files to one large file"/>
    <m/>
    <s v="C"/>
    <s v="The default value of maxFilesPerTrigger is 1000 it can be increased to a much higher number but will require a much larger compute to process._x000a__x000a__x000a__x000a_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_x000a__x000a_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_x000a__x000a_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_x000a__x000a_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_x000a__x000a_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_x000a__x000a_https://docs.databricks.com/ingestion/auto-loader/options.html_x000a_See Graphic"/>
    <m/>
    <m/>
    <m/>
    <m/>
    <n v="1"/>
    <m/>
    <n v="1"/>
    <m/>
  </r>
  <r>
    <x v="0"/>
    <n v="1518"/>
    <x v="8"/>
    <n v="51"/>
    <s v="General"/>
    <s v="Conceptual"/>
    <s v="Easy"/>
    <s v="Which of the following two options are supported in identifying the arrival of new files, and incremental data from Cloud object storage using Auto Loader?"/>
    <s v="Directory listing, File notification"/>
    <s v="Checking pointing, watermarking"/>
    <s v="Writing ahead logging, read head logging"/>
    <s v="File hashing, Dynamic file lookup"/>
    <s v="Checkpointing and Write ahead logging"/>
    <m/>
    <s v="A,B"/>
    <s v="Correct_x000a_Option A. Directory listing, File notification_x000a_Databricks Auto Loader uses directory listing mode (periodic scans of cloud storage) and file notification mode (cloud-native event notifications like S3 events) to detect new files and incremental data._x000a_Option B. Checking pointing, watermarking_x000a_Checkpointing tracks stream progress and watermarking handles late data in streaming, but neither identifies new files in cloud storage._x000a__x000a_Incorrect_x000a_Option C. Writing ahead logging, read head logging_x000a_These are not Auto Loader file detection mechanisms; WAL is for databases/transactions._x000a_Option D. File hashing, Dynamic file lookup_x000a_File hashing verifies integrity but doesn’t detect new arrivals; dynamic lookup isn’t an Auto Loader feature._x000a_Option E. Checkpointing and Write ahead logging_x000a_Checkpointing is internal state management, not file detection; WAL unrelated to cloud file ingestion."/>
    <m/>
    <m/>
    <m/>
    <m/>
    <m/>
    <m/>
    <m/>
    <m/>
  </r>
  <r>
    <x v="0"/>
    <n v="1519"/>
    <x v="8"/>
    <n v="52"/>
    <s v="General"/>
    <s v="Conceptual"/>
    <s v="Easy"/>
    <s v="What is the purpose of the silver layer in a Multi hop architecture?"/>
    <s v="Replaces a traditional data lake"/>
    <s v="Efficient storage and querying of full, unprocessed history of data"/>
    <s v="Eliminates duplicate data, quarantines bad data"/>
    <s v="Refined views with aggregated data"/>
    <s v="Optimized query performance for business-critical data"/>
    <m/>
    <s v="C"/>
    <s v="✅ C. Eliminates duplicate data, quarantines bad data_x000a__x000a_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_x000a_❌ A. Replaces a traditional data lake_x000a__x000a_A multi-hop architecture is a way of organizing and processing data within a data lake (often on platforms like Databricks). The layers (bronze, silver, gold) define stages of data refinement within the data lake, not a replacement for the data lake itself._x000a_❌ B. Efficient storage and querying of full, unprocessed history of data_x000a__x000a_This description aligns more closely with the bronze layer (also known as the raw layer). The bronze layer typically stores the data in its original format, preserving the full history without significant transformations. This allows for auditing and reprocessing if needed._x000a_❌ D. Refined views with aggregated data_x000a__x000a_Creating refined views and aggregations is the primary purpose of the gold layer. The gold layer focuses on providing business-ready data that has been further transformed, joined, and aggregated to meet specific analytical or reporting requirements._x000a_❌ E. Optimized query performance for business-critical data_x000a__x000a_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
    <m/>
    <m/>
    <m/>
    <m/>
    <m/>
    <m/>
    <m/>
    <m/>
  </r>
  <r>
    <x v="0"/>
    <n v="1520"/>
    <x v="8"/>
    <n v="53"/>
    <s v="General"/>
    <s v="Conceptual"/>
    <s v="Easy"/>
    <s v="The Delta Live Tables Pipeline is configured to run in Development mode using the Triggered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development and testing"/>
    <s v="All datasets will be updated once and the pipeline will shut down. The compute resources will persist to allow for additional development and testing"/>
    <s v="All datasets will be updated continuously and the pipeline will not shut down. The compute resources will persist with the pipeline"/>
    <m/>
    <s v="C"/>
    <s v="The answer is All datasets will be updated once and the pipeline will shut down. The compute resources will persist to allow for additional testing._x000a_DLT pipeline supports two modes Development and Production, you can switch between the two based on the stage of your development and deployment lifecycle._x000a_Development and production modes_x000a_When you run your pipeline in development mode, the Delta Live Tables system:_x000a_Reuses a cluster to avoid the overhead of restarts._x000a_Disables pipeline retries so you can immediately detect and fix errors._x000a_In production mode, the Delta Live Tables system:_x000a_Restarts the cluster for specific recoverable errors, including memory leaks and stale credentials._x000a_Retries execution in the event of specific errors, for example, a failure to start a cluster._x000a_Use the _x000a__x000a_buttons in the Pipelines UI to switch between development and production modes. By default, pipelines run in development mode._x000a_Switching between development and production modes only controls cluster and pipeline execution behavior. Storage locations must be configured as part of pipeline settings and are not affected when switching between modes._x000a__x000a_✅ D. All datasets will be updated once and the pipeline will shut down. The compute resources will persist to allow for additional development and testing_x000a__x000a_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_x000a_Triggered Mode Behavior: In Triggered pipeline mode, an update processes the available data exactly once, from the current state of the input data sources. After this single pass of processing all defined datasets, the pipeline run concludes._x000a_❌ A. All datasets will be updated once and the pipeline will shut down. The compute resources will be terminated_x000a__x000a_Development Mode Persistence: This option correctly describes the single update in Triggered mode but incorrectly states that compute resources will be terminated in Development mode. Persistence of compute is a key characteristic of Development mode for easier iteration._x000a_❌ B. All datasets will be updated at set intervals until the pipeline is shut down. The compute resources will be deployed for the update and terminated when the pipeline is stopped_x000a__x000a_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_x000a_❌ C. All datasets will be updated at set intervals until the pipeline is shut down. The compute resources will persist after the pipeline is stopped to allow for additional development and testing_x000a__x000a_Continuous vs. Triggered: Similar to option B, this describes Continuous mode regarding the interval-based updates. Triggered mode updates only once per start. The persistence of compute is correct for Development mode._x000a_❌ E. All datasets will be updated continuously and the pipeline will not shut down. The compute resources will persist with the pipeline_x000a__x000a_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_x000a_Please review additional DLT concepts using below link_x000a_https://docs.databricks.com/data-engineering/delta-live-tables/delta-live-tables-concepts.html#delta-live-tables-concepts_x000a__x000a_See Graphic."/>
    <m/>
    <m/>
    <m/>
    <n v="1"/>
    <m/>
    <m/>
    <m/>
    <m/>
  </r>
  <r>
    <x v="0"/>
    <n v="1521"/>
    <x v="8"/>
    <n v="54"/>
    <s v="General"/>
    <s v="Conceptual"/>
    <s v="Easy"/>
    <s v="The Delta Live Table Pipeline is configured to run in Production mode using the continuous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testing"/>
    <s v="All datasets will be updated once and the pipeline will shut down. The compute resources will persist to allow for additional testing"/>
    <s v="All datasets will be updated continuously and the pipeline will not shut down. The compute resources will persist with the pipeline"/>
    <m/>
    <s v="B"/>
    <s v="Correct:_x000a__x000a_B. All datasets will be updated at set intervals until the pipeline is shut down. The compute resources will be deployed for the update and terminated when the pipeline is stopped._x000a_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_x000a_Incorrect:_x000a__x000a_A. All datasets will be updated once and the pipeline will shut down. The compute resources will be terminated._x000a_Incorrect: This describes triggered mode, not continuous mode. Continuous mode updates datasets repeatedly and does not shut down automatically._x000a_C. All datasets will be updated at set intervals until the pipeline is shut down. The compute resources will persist after the pipeline is stopped to allow for additional testing._x000a_Incorrect: While the dataset update behavior is correct, compute resources do not persist in Production mode after the pipeline stops, as this is typical for Development mode._x000a_D. All datasets will be updated once and the pipeline will shut down. The compute resources will persist to allow for additional testing._x000a_Incorrect: This combines incorrect dataset update behavior (triggered mode) with incorrect compute resource behavior (persisting in Production mode)._x000a_E. All datasets will be updated continuously and the pipeline will not shut down. The compute resources will persist with the pipeline._x000a_Incorrect: The phrase “updated continuously” is less precise than “at set intervals,” and the option does not clarify that compute resources terminate when the pipeline is stopped, which is expected in Production mode._x000a_“Updated continuously” is correct_x000a__x000a_“Compute resources will persist” is wrong – they only persist while pipeline is running"/>
    <m/>
    <m/>
    <m/>
    <n v="1"/>
    <m/>
    <m/>
    <m/>
    <m/>
  </r>
  <r>
    <x v="0"/>
    <n v="1522"/>
    <x v="8"/>
    <n v="55"/>
    <s v="General"/>
    <s v="Conceptual"/>
    <s v="Easy"/>
    <s v="What are the different ways you can schedule a job in Databricks workspace?"/>
    <s v="Continuous, Incremental"/>
    <s v="On-Demand runs, File notification from Cloud object storage"/>
    <s v="Cron, On Demand runs,File notification from Cloud object storage"/>
    <s v="Cron, File notification from Cloud object storage"/>
    <s v="Once, Continuous"/>
    <m/>
    <s v="C"/>
    <s v="The different ways you can schedule a job in a Databricks workspace are:_x000a__x000a_Cron:_x000a__x000a_This allows you to define a schedule using a flexible time-based expression (Cron expression) to specify the frequency and timing of job runs.  _x000a_For example, you can schedule a job to run every hour, daily at a specific time, weekly, monthly, or even more complex schedules. _x000a_On-Demand Runs:_x000a__x000a_These are manual runs triggered by a user._x000a_You can run a job immediately or schedule it for a specific future time. _x000a_File Notification from Cloud Object Storage:_x000a__x000a_This triggers a job run whenever a new file or data is added to a specified location in your cloud storage (like AWS S3, Azure Blob Storage, or Google Cloud Storage).  _x000a_This is useful for event-driven data processing pipelines._x000a_Key Points:_x000a__x000a_Continuous: While the term “Continuous” might be used in some contexts, it’s not a standard scheduling method in Databricks itself._x000a_Incremental: Incremental processing is a data processing technique, not a scheduling method. However, you can combine incremental processing logic within your jobs scheduled using Cron or file notifications._x000a_By effectively utilizing these scheduling methods, you can automate your data processing tasks, improve efficiency, and ensure timely data analysis and insights."/>
    <m/>
    <m/>
    <m/>
    <n v="1"/>
    <m/>
    <m/>
    <m/>
    <m/>
  </r>
  <r>
    <x v="0"/>
    <n v="1523"/>
    <x v="8"/>
    <n v="56"/>
    <s v="General"/>
    <s v="Conceptual"/>
    <s v="Easy"/>
    <s v="You are working on a dashboard that takes a long time to load in the browser, due to the fact that each visualization contains a lot of data to populate, which of the following approaches can be taken to address this issue?"/>
    <s v="Increase size of the SQL endpoint cluster"/>
    <s v="Increase the scale of maximum range of SQL endpoint cluster"/>
    <s v="Use Databricks SQL Query filter to limit the amount of data in each visualization"/>
    <s v="Remove data from Delta Lake"/>
    <s v="Use Delta cache to store the intermediate results"/>
    <m/>
    <s v="C"/>
    <s v="✅ C. Use Databricks SQL Query filter to limit the amount of data in each visualization_x000a__x000a_This is the most direct and often the most effective way to improve dashboard loading times when visualizations are processing too much data._x000a_Filtering the data: By applying filters directly within the Databricks SQL query that powers each visualization, you reduce the volume of data that needs to be processed and rendered in the browser._x000a_Improved performance: Less data means faster query execution and quicker rendering of the visualizations, leading to a faster loading dashboard._x000a_User experience: Users often don’t need to see all the raw data at once. Filters allow them to focus on specific subsets of interest, improving the usability of the dashboard._x000a_❌ A. Increase size of the SQL endpoint cluster_x000a__x000a_Increasing the size of the SQL endpoint cluster (by adding more nodes or using larger instance types) can improve the performance of the underlying SQL queries._x000a_Resource scaling: A larger cluster can process more data in parallel._x000a_Cost implications: However, increasing the cluster size will also increase the cost of the Databricks SQL endpoint._x000a_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_x000a_❌ B. Increase the scale of maximum range of SQL endpoint cluster_x000a__x000a_Increasing the maximum range of the SQL endpoint cluster primarily affects its ability to auto-scale based on workload._x000a_Scalability: It allows the cluster to grow to a larger size when there’s high concurrency or demanding queries._x000a_Cost implications: Similar to increasing the cluster size, increasing the maximum range can lead to higher costs if the cluster frequently scales up._x000a_Indirect impact: Like option A, this addresses the resource capacity but not the fundamental issue of each visualization trying to display too much data._x000a_❌ D. Remove data from Delta Lake_x000a__x000a_Removing data from Delta Lake might reduce the overall storage cost and potentially speed up some queries that scan the entire dataset._x000a_Data reduction: Less data can lead to faster scans._x000a_Loss of information: However, removing data might also mean losing valuable information needed for analysis and the purpose of the dashboard._x000a_Not a targeted solution: This is a broad approach that doesn’t specifically address the issue of individual visualizations being overloaded with data. Filtering within the queries is a more precise way to control what is displayed._x000a_❌ E. Use Delta cache to store the intermediate results_x000a__x000a_Delta cache is a local disk cache on the compute nodes that can improve the performance of repeated reads of Delta Lake tables._x000a_Caching benefits: It can significantly speed up queries that access the same data frequently._x000a_Not a solution for initial load: The Delta cache helps with subsequent access to the same data. The initial loading of a visualization with a large amount of data will still be slow, as the data needs to be read from storage and processed for the first time._x000a_Memory limitations: The amount of data that can be cached is limited by the local disk space on the compute nodes. Filtering the data is a more scalable and direct way to reduce the processing load."/>
    <m/>
    <m/>
    <m/>
    <n v="1"/>
    <m/>
    <m/>
    <m/>
    <m/>
  </r>
  <r>
    <x v="0"/>
    <n v="1524"/>
    <x v="8"/>
    <n v="57"/>
    <s v="General"/>
    <s v="Conceptual"/>
    <s v="Easy"/>
    <s v="John Smith is a newly joined team member in the Marketing team who currently has access read access to sales tables but does not have access to delete rows from the table, which of the following commands help you accomplish this?"/>
    <s v="GRANT USAGE ON TABLE table_name TO john.smith@marketing.com"/>
    <s v="GRANT DELETE ON TABLE table_name TO john.smith@marketing.com"/>
    <s v="GRANT DELETE TO TABLE table_name ON john.smith@marketing.com"/>
    <s v="GRANT MODIFY TO TABLE table_name ON john.smith@marketing.com"/>
    <s v="GRANT MODIFY ON TABLE table_name TO john.smith@marketing.com"/>
    <m/>
    <s v="B"/>
    <s v="E. GRANT MODIFY ON TABLE table_name TO john.smith@marketing.com_x000a__x000a_✅ CORRECT_x000a_MODIFY is a composite privilege that includes:_x000a__x000a_INSERT_x000a__x000a_UPDATE_x000a__x000a_DELETE_x000a__x000a_Therefore, granting MODIFY does include the ability to delete rows._x000a__x000a_The syntax is valid and follows the correct structure in Databricks SQL:_x000a__x000a_sql_x000a_GRANT MODIFY ON TABLE table_name TO 'john.smith@marketing.com';_x000a_Why this is preferable over just DELETE:_x000a__x000a_In Databricks Unity Catalog and legacy Table ACLs, MODIFY is the standard privilege used when granting data modification rights._x000a__x000a_Some Databricks environments (especially legacy ones) don’t support DELETE as a standalone privilege—only MODIFY._x000a__x000a_A. GRANT USAGE ON TABLE table_name TO john.smith@marketing.com_x000a__x000a_❌ Incorrect_x000a__x000a_USAGE is not valid on TABLES._x000a__x000a_It applies to catalogs, schemas, functions, not to data-level actions like DELETE._x000a__x000a_B. GRANT DELETE ON TABLE table_name TO john.smith@marketing.com_x000a__x000a_⚠️ Technically valid in some SQL engines, but:_x000a__x000a_❌ Not supported in Databricks Table ACLs (per documentation)._x000a__x000a_Databricks uses MODIFY to grant delete-like permissions._x000a__x000a_DELETE is not listed as a grantable privilege in the Databricks ACL privileges table._x000a__x000a_Therefore, this may fail or be ignored in real use on Databricks._x000a__x000a_C. GRANT DELETE TO TABLE table_name ON john.smith@marketing.com_x000a__x000a_❌ Incorrect_x000a__x000a_Invalid SQL syntax. The correct order is GRANT &lt;privilege&gt; ON TABLE &lt;table_name&gt; TO &lt;user&gt;._x000a__x000a_D. GRANT MODIFY TO TABLE table_name ON john.smith@marketing.com_x000a__x000a_❌ Incorrect_x000a__x000a_Syntax is invalid. Should be GRANT MODIFY ON TABLE ... TO ..._x000a__x000a_✅ Final Answer:_x000a__x000a_E. GRANT MODIFY ON TABLE table_name TO john.smith@marketing.com"/>
    <m/>
    <m/>
    <m/>
    <n v="1"/>
    <m/>
    <m/>
    <m/>
    <m/>
  </r>
  <r>
    <x v="0"/>
    <n v="1525"/>
    <x v="8"/>
    <n v="58"/>
    <s v="General"/>
    <s v="Conceptual"/>
    <s v="Easy"/>
    <s v="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
    <s v="ALTER TABLE table_name OWNER to ‘group‘"/>
    <s v="TRANSFER OWNER table_name to ‘group‘"/>
    <s v="GRANT OWNER table_name to ‘group‘"/>
    <s v="ALTER OWNER ON table_name to ‘group‘"/>
    <s v="GRANT OWNER On table_name to ‘group‘"/>
    <m/>
    <s v="A"/>
    <s v="SQL_x000a_ALTER TABLE table_name OWNER TO 'group_name';_x000a_Explanation:_x000a__x000a_ALTER TABLE: This clause is used to modify the structure or properties of an existing table._x000a_OWNER: This keyword specifically targets the owner of the table._x000a_TO ‘group_name’;: This specifies the new owner of the table, which in this case is a group._x000a_Key Points:_x000a__x000a_This command directly transfers ownership of the table to the specified group._x000a_Any user within the group will then have the necessary privileges to manage permissions on the table._x000a_This approach promotes better team collaboration and reduces the risk of single points of failure in managing table ownership._x000a_Other options and why they are incorrect:_x000a__x000a_TRANSFER OWNER: This is not a standard SQL command._x000a_GRANT OWNER: The GRANT statement is typically used to grant specific privileges (like SELECT, INSERT, UPDATE, DELETE) to users or roles, not to transfer ownership._x000a_By using the ALTER TABLE command with the OWNER clause, you can effectively transfer table ownership to a group within your database, ensuring better team collaboration and improved security."/>
    <m/>
    <m/>
    <m/>
    <n v="1"/>
    <m/>
    <m/>
    <m/>
    <m/>
  </r>
  <r>
    <x v="0"/>
    <n v="1526"/>
    <x v="8"/>
    <n v="59"/>
    <s v="General"/>
    <s v="Conceptual"/>
    <s v="Easy"/>
    <s v="The data engineering team is using a SQL query to review data completeness every day to monitor the ETL job, and query output is being used in multiple dashboards which of the following approaches can be used to set up a schedule and automate this process?"/>
    <s v="They can schedule the query to run every day from the Jobs UI."/>
    <s v="They can schedule the query to refresh every day from the query’s page in Databricks SQL"/>
    <s v="They can schedule the query to run every 12 hours from the Jobs UI."/>
    <s v="They can schedule the query to refresh every day from the SQL endpoint’s page in Databricks SQL."/>
    <s v="They can schedule the query to refresh every 12 hours from the SQL endpoint’s page in Databricks SQL"/>
    <m/>
    <s v="B"/>
    <s v="The best approach for scheduling a SQL query for daily data completeness checks in Databricks SQL, especially when the output is used in multiple dashboards, is:_x000a__x000a_They can schedule the query to refresh every day from the query’s page in Databricks SQL._x000a__x000a_Here’s why:_x000a__x000a_Directly from the Query Page: Scheduling refreshes directly from the query’s page in Databricks SQL is the most straightforward and integrated method. It’s designed specifically for this purpose._x000a__x000a_Integration with Dashboards: When you schedule a query refresh, the results are automatically updated. Since your dashboards are based on this query, they will reflect the new data after each scheduled refresh. This maintains consistency across all dashboards._x000a__x000a_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_x000a__x000a_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_x000a__x000a_Frequency: “Every day” aligns directly with the requirement of daily data completeness checks, making it the most suitable frequency. While “every 12 hours” might be possible, it’s not necessary given the requirement and might lead to unnecessary load._x000a__x000a_Therefore, scheduling the query refresh directly from the query’s page in Databricks SQL every day is the most efficient and recommended approach for this use case._x000a__x000a_1. Click the query info tab._x000a__x000a__x000a_2. Click the link to the right of Refresh Schedule to open a picker with schedule intervals._x000a__x000a__x000a_3. Set the schedule._x000a_The picker scrolls and allows you to choose: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
    <m/>
    <m/>
    <m/>
    <n v="1"/>
    <m/>
    <m/>
    <m/>
    <m/>
  </r>
  <r>
    <x v="0"/>
    <n v="1527"/>
    <x v="9"/>
    <n v="1"/>
    <s v="General"/>
    <s v="Conceptual"/>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IME TRAVEL feature was utilized on the table."/>
    <s v="The HISTORY command was run on the table"/>
    <s v="The OPTIMIZE command was applied to the table."/>
    <s v="The table was cleaned using the VACUUM command."/>
    <s v="The DELETE HISTORY command was executed on the table."/>
    <m/>
    <s v="D"/>
    <s v="Option 4 — The table was cleaned using the VACUUM command ✅_x000a__x000a_Explanation:_x000a__x000a_Delta Lake’s time travel feature allows you to query a table as of a previous version or timestamp._x000a_Delta Lake keeps historical versions of data files to support time travel._x000a_The VACUUM command permanently deletes files that are older than a specified retention period (default: 7 days)._x000a_If the VACUUM command has deleted files older than three days, time travel to that point will fail because the data files no longer exist._x000a_Other options:_x000a__x000a_TIME TRAVEL feature itself does not delete files._x000a_HISTORY shows metadata about table changes, does not affect data files._x000a_OPTIMIZE reorganizes data for performance, does not delete old files required for time travel._x000a_DELETE HISTORY is not a Delta Lake command."/>
    <m/>
    <m/>
    <m/>
    <m/>
    <m/>
    <m/>
    <m/>
    <m/>
  </r>
  <r>
    <x v="0"/>
    <n v="1528"/>
    <x v="9"/>
    <n v="2"/>
    <s v="General"/>
    <s v="Conceptual"/>
    <s v="Easy"/>
    <s v="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
    <s v="All datasets will be updated once and the pipeline will persist without any processing. The compute resources will persist but go unused."/>
    <s v="All datasets will be updated at set intervals until the pipeline is shut down. The compute resources will be deployed for the update and terminated when the pipeline is stopped."/>
    <s v="All datasets will be updated once and the pipeline will shut down. The compute resources will be terminated."/>
    <s v="All datasets will be updated once and the pipeline will shut down. The compute resources will persist to allow for additional testing."/>
    <s v="All datasets will be updated at set intervals until the pipeline is shut down. The compute resources will persist to allow for additional testing."/>
    <m/>
    <s v="B"/>
    <s v="On Start, both STREAMING LIVE TABLEs and LIVE TABLEs begin processing._x000a_Streaming tables continuously process new data._x000a_Batch tables are refreshed at defined intervals._x000a_The pipeline keeps running until you stop it, not just once._x000a_Compute resources are active while the pipeline runs, and released when stopped."/>
    <m/>
    <m/>
    <m/>
    <m/>
    <n v="1"/>
    <m/>
    <m/>
    <m/>
  </r>
  <r>
    <x v="0"/>
    <n v="1529"/>
    <x v="9"/>
    <n v="3"/>
    <s v="General"/>
    <s v="Conceptual"/>
    <s v="Easy"/>
    <s v="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
    <s v="Setup an alert using the custom template and include the information in built-in template variable called QUERY_RESULT_ROWS"/>
    <s v="Setup an alert using the default template and include the specific information in that."/>
    <s v="Setup an alert using the custom template and include the information in built-in template variable called QUERY_RESULT_COLS"/>
    <s v="Use Python‘s libraries to send the email when alert is triggered and customize the details in that."/>
    <s v="Setup an alert using the custom template and include the information in built-in template variable called QUERY_RESULT_VALUE"/>
    <m/>
    <s v="E"/>
    <s v="Setup an alert using a custom template and include the information in QUERY_RESULT_VALUE ✅_x000a__x000a_Explanation:_x000a__x000a_In Databricks SQL, alerts can be set on queries, and you can use template variables in email notifications._x000a_The key built-in template variables are:_x000a_QUERY_RESULT_VALUE: Returns the specific value from the query result, which in this case can be the number of duplicate records._x000a_QUERY_RESULT_ROWS: Returns all rows from the query result._x000a_QUERY_RESULT_COLS: Returns all columns from the query result._x000a_Since the requirement is to send the number of duplicate records, QUERY_RESULT_VALUE is the correct choice._x000a_You must use a custom alert template to include this variable in the email._x000a_Options 1 and 3 return multiple rows/columns, which are not suitable for directly sending a single count value._x000a_Option 2 uses the default template, which does not allow including the required variable._x000a_Option 4 (Python) is possible but unnecessary; Databricks built-in alerts with template variables handle this without extra code."/>
    <m/>
    <m/>
    <m/>
    <m/>
    <n v="1"/>
    <m/>
    <m/>
    <s v="Alerts"/>
  </r>
  <r>
    <x v="0"/>
    <n v="1530"/>
    <x v="9"/>
    <n v="4"/>
    <s v="General"/>
    <s v="Conceptual"/>
    <s v="Easy"/>
    <s v="Which of the following statements is incorrect about a job cluster in Databricks?"/>
    <s v="Databricks job scheduler creates a job cluster when you run a job"/>
    <s v="Job cluster can be created using the UI, CLI or REST API"/>
    <s v="Job cluster terminates when the job is completed"/>
    <s v="Job cluster cannot be restarted"/>
    <s v="Job cluster is used to run fast and robust automated jobs"/>
    <m/>
    <s v="D"/>
    <s v="Option D. Job cluster cannot be restarted_x000a__x000a_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_x000a__x000a_Incorrect_x000a__x000a_Option A. Databricks job scheduler creates a job cluster when you run a job_x000a__x000a_Correct statement. When you configure a job to use a job cluster, Databricks automatically provisions the cluster at runtime._x000a_Option B. Job cluster can be created using the UI, CLI or REST API_x000a__x000a_Correct statement. You can define job clusters through the Databricks web UI, the command-line interface, or programmatically via the REST API._x000a_Option C. Job cluster terminates when the job is completed_x000a__x000a_Correct statement. Job clusters are temporary and automatically shut down after the job finishes, which helps optimize resource usage and cost._x000a_Option E. Job cluster is used to run fast and robust automated jobs_x000a__x000a_Correct statement. Job clusters are designed for automation, ensuring efficient execution of scheduled or triggered jobs without requiring manual cluster management."/>
    <m/>
    <m/>
    <m/>
    <n v="1"/>
    <n v="1"/>
    <m/>
    <m/>
    <m/>
  </r>
  <r>
    <x v="0"/>
    <n v="1531"/>
    <x v="9"/>
    <n v="5"/>
    <s v="General"/>
    <s v="Conceptual"/>
    <s v="Easy"/>
    <s v="Which of the following operations is done through the Databricks Repos?"/>
    <s v="Merge into main branch"/>
    <s v="Git automation calls Databricks Repos API"/>
    <s v="Pull request and review process"/>
    <s v="Create a new branch based on main branch"/>
    <s v="Databricks Repos API call to bring Repo in Production folder to the latest version"/>
    <m/>
    <s v="A"/>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m/>
    <n v="1"/>
    <m/>
    <m/>
    <m/>
  </r>
  <r>
    <x v="0"/>
    <n v="1532"/>
    <x v="9"/>
    <n v="6"/>
    <s v="General"/>
    <s v="Conceptual"/>
    <s v="Easy"/>
    <s v="A data engineer needs to create an unmanaged table called inventory using an existing directory path ‘dbfs:/user/username/retail‘ where the data files are stored. Which of the following SQL statements can be used to create this external table?"/>
    <s v="CREATE OR REPLACE TABLE inventory USING DELTA LOCATION ‘dbfs:/user/username/retail‘"/>
    <s v="CREATE TABLE inventory USING DELTA LOCATION ‘dbfs:/user/username/retail‘"/>
    <s v="CREATE TABLE inventory AS DELTA LOCATION ‘dbfs:/user/username/retail‘"/>
    <s v="CREATE UNMANAGED TABLE inventory USING DELTA LOCATION ‘dbfs:/user/username/retail‘"/>
    <s v="CREATE inventory LOCATION ‘dbfs:/user/username/retail‘"/>
    <m/>
    <s v="B"/>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n v="1"/>
    <n v="1"/>
    <m/>
    <m/>
    <m/>
  </r>
  <r>
    <x v="0"/>
    <n v="1533"/>
    <x v="9"/>
    <n v="7"/>
    <s v="General"/>
    <s v="Conceptual"/>
    <s v="Easy"/>
    <s v="Which of the following statements is incorrect about autoscaling a cluster in the Databricks?"/>
    <s v="Workloads can run faster compared to a constant-sized under-provisioned cluster"/>
    <s v="Autoscaling clusters can reduce overall costs compared to a statically-sized cluster"/>
    <s v="You need to configure the Min Workers and Max Workers to enable autoscaling for a cluster"/>
    <s v="Autoscaling makes it easier to achieve high cluster utilization, because you dont need to provision the cluster to match a workload"/>
    <s v="Cluster size cannot go below the minimum number of workers selected while enabling autoscaling"/>
    <m/>
    <s v="E"/>
    <s v="Correct_x000a_Option E: “Cluster size cannot go below the minimum number of workers selected while enabling autoscaling”_x000a__x000a_This is the incorrect statement._x000a_In Databricks, autoscaling always respects the minimum and maximum worker limits you configure._x000a_The statement is misleading because it suggests autoscaling could ignore the minimum, but in reality, the minimum is enforced._x000a_Therefore, this option is marked as the incorrect statement in the exam._x000a_Incorrect_x000a_Option A:_x000a__x000a_True. Autoscaling allows workloads to run faster compared to an under-provisioned fixed cluster because resources can scale up when demand increases._x000a_Option B:_x000a__x000a_True. Autoscaling can reduce costs since clusters scale down when demand is low, avoiding unnecessary resource usage compared to a statically-sized cluster._x000a_Option C:_x000a__x000a_True. To enable autoscaling, you must configure both Min Workers and Max Workers. This defines the scaling range._x000a_Option D:_x000a__x000a_True. Autoscaling improves utilization because you don’t need to manually size the cluster for peak workloads; it adjusts dynamically."/>
    <m/>
    <m/>
    <m/>
    <n v="1"/>
    <m/>
    <m/>
    <m/>
    <m/>
  </r>
  <r>
    <x v="0"/>
    <n v="1534"/>
    <x v="9"/>
    <n v="8"/>
    <s v="General"/>
    <s v="Conceptual"/>
    <s v="Easy"/>
    <s v="How do you create a permanent view in Databricks SQL that references data from a CSV file stored in DBFS?"/>
    <s v="Use the CREATE VIEW statement followed by a SELECT query that uses the csv prefix to reference the CSV file."/>
    <s v="Permanent views cannot reference CSV files directly; they must be loaded into a table first."/>
    <s v="Use the CREATE VIEW statement with the USING csv option followed by the path to the CSV file."/>
    <s v="Use the CREATE PERMANENT VIEW statement and specify the CSV file path directly after the FROM keyword."/>
    <m/>
    <m/>
    <s v="A"/>
    <s v="Correct_x000a_Option A. Use the CREATE VIEW statement followed by a SELECT query that uses the csv prefix to reference the CSV file._x000a__x000a_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_x000a_Incorrect_x000a_Option B. Permanent views cannot reference CSV files directly; they must be loaded into a table first._x000a__x000a_Incorrect because Databricks SQL does allow views to directly reference external files (like CSVs) via the appropriate data source syntax. Loading into a table first is not mandatory._x000a_Option C. Use the CREATE VIEW statement with the USING csv option followed by the path to the CSV file._x000a__x000a_Incorrect because the USING clause is used in CREATE TABLE statements, not CREATE VIEW. Views are defined with SELECT queries, not USING._x000a_Option D. Use the CREATE PERMANENT VIEW statement and specify the CSV file path directly after the FROM keyword._x000a__x000a_Incorrect because there is no CREATE PERMANENT VIEW syntax in Databricks SQL. The correct syntax is CREATE VIEW (or CREATE OR REPLACE VIEW)."/>
    <m/>
    <m/>
    <m/>
    <n v="1"/>
    <m/>
    <m/>
    <m/>
    <m/>
  </r>
  <r>
    <x v="0"/>
    <n v="1535"/>
    <x v="9"/>
    <n v="9"/>
    <s v="General"/>
    <s v="Conceptual"/>
    <s v="Easy"/>
    <s v="The default threshold of VACUUM is 7 days, internal audit team asked to certain tables to maintain at least 365 days as part of compliance requirement, which of the below setting is needed to implement."/>
    <s v="ALTER TABLE table_name set TBLPROPERTIES (delta.deletedFileRetentionDuration= ‘interval 365 days’)"/>
    <s v="MODIFY TABLE table_name set TBLPROPERTY (delta.maxRetentionDays = ‘interval 365 days’)"/>
    <s v="ALTER TABLE table_name set EXTENDED TBLPROPERTIES (delta.deletedFileRetentionDuration= ‘interval 365 days’)"/>
    <s v="ALTER TABLE table_name set EXTENDED TBLPROPERTIES (delta.vaccum.duration= ‘interval 365 days’)"/>
    <m/>
    <m/>
    <s v="A"/>
    <s v="ALTER TABLE table_name SET TBLPROPERTIES ( property_key [ = ] property_val [, …] )_x000a_TBLPROPERTIES allow you to set key-value pairs_x000a_Table properties and table options (Databricks SQL) | Databricks on AWS"/>
    <m/>
    <m/>
    <m/>
    <n v="1"/>
    <m/>
    <m/>
    <m/>
    <m/>
  </r>
  <r>
    <x v="0"/>
    <n v="1536"/>
    <x v="9"/>
    <n v="10"/>
    <s v="General"/>
    <s v="Conceptual"/>
    <s v="Easy"/>
    <s v="Which of the following functions can be used to convert JSON string to Struct data type?"/>
    <s v="TO_STRUCT (json value)"/>
    <s v="FROM_JSON (json value)"/>
    <s v="FROM_JSON (json value, schema of json)"/>
    <s v="CONVERT (json value, schema of json)"/>
    <s v="CAST (json value as STRUCT)"/>
    <m/>
    <s v="C"/>
    <s v="FROM_JSON(json value, schema of json)_x000a__x000a_Explanation:_x000a__x000a_from_json parses a JSON string into a StructType or other Spark SQL types._x000a_You must provide the schema so Spark knows the structure of the resulting data._x000a_Example in PySpark:_x000a_from pyspark.sql.functions import from_json_x000a_from pyspark.sql.types import StructType, StructField, StringType, IntegerType_x000a_schema = StructType([_x000a_StructField(&quot;name&quot;, StringType(), True),_x000a_StructField(&quot;age&quot;, IntegerType(), True)_x000a_])_x000a__x000a_df = spark.createDataFrame([('{&quot;name&quot;:&quot;Alice&quot;,&quot;age&quot;:30}',)], [&quot;json_str&quot;])_x000a_df = df.withColumn(&quot;data&quot;, from_json(&quot;json_str&quot;, schema))_x000a_df.show(truncate=False)_x000a__x000a_https://docs.microsoft.com/en-us/azure/databricks/sql/language-manual/functions/from_json"/>
    <m/>
    <m/>
    <m/>
    <n v="1"/>
    <m/>
    <m/>
    <m/>
    <m/>
  </r>
  <r>
    <x v="0"/>
    <n v="1537"/>
    <x v="9"/>
    <n v="11"/>
    <s v="General"/>
    <s v="Conceptual"/>
    <s v="Easy"/>
    <s v="You were asked to write python code to stop all running streams, which of the following command can be used to get a list of all active streams currently running so we can stop them, fill in the blank. for s in _______________: s.stop()"/>
    <s v="Spark.getActiveStreams()"/>
    <s v="spark.streams.active"/>
    <s v="activeStreams()"/>
    <s v="getActiveStreams()"/>
    <s v="spark.streams.getActive"/>
    <m/>
    <s v="B"/>
    <s v="✅ B. spark.streams.active_x000a__x000a_In PySpark, the entry point for interacting with Spark Streaming is through the spark.streams attribute of the SparkSession object (spark)._x000a_spark.streams.active returns a list of all the currently active StreamingQuery objects. You can then iterate through this list and call the .stop() method on each StreamingQuery to stop the corresponding streaming job._x000a__x000a_❌ A. Spark.getActiveStreams()_x000a__x000a_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_x000a__x000a_❌ C. activeStreams()_x000a__x000a_This option is missing the necessary context of the SparkSession object. The activeStreams() method is not a standalone function available directly. It needs to be accessed through the spark.streams object._x000a__x000a_❌ D. getActiveStreams()_x000a__x000a_Similar to option C, this lacks the necessary SparkSession context. It should be accessed as an attribute (active) of spark.streams, not as a method call._x000a__x000a_❌ E. spark.streams.getActive_x000a__x000a_This option is incomplete. spark.streams.getActive does not represent a valid attribute or method to retrieve the list of active streams. The correct way is to access the active attribute of spark.streams."/>
    <m/>
    <m/>
    <m/>
    <n v="1"/>
    <m/>
    <m/>
    <m/>
    <m/>
  </r>
  <r>
    <x v="0"/>
    <n v="1538"/>
    <x v="9"/>
    <n v="12"/>
    <s v="General"/>
    <s v="Conceptual"/>
    <s v="Easy"/>
    <s v="You have noticed the Data scientist team is using the notebook versioning feature with git integration, you have recommended them to switch to using Databricks Repos, which of the below reasons could be the reason the why the team needs to switch to Databricks Repos."/>
    <s v="Databricks Repos allows multiple users to make changes"/>
    <s v="Databricks Repos allows merge and conflict resolution"/>
    <s v="Databricks Repos has a built-in version control system"/>
    <s v="Databricks Repos automatically saves changes"/>
    <s v="Databricks Repos allow you to add comments and select the changes you want to commit."/>
    <m/>
    <s v="A,E"/>
    <s v="“Databricks Repos allows multiple users to make changes”_x000a_Not fully correct. Git notebooks can also be collaborated on by multiple users. ✅ Partially true but not the key advantage._x000a_“Databricks Repos allows merge and conflict resolution”_x000a_Merge and conflict resolution is a feature of Git, not Repos specifically. ❌_x000a_“Databricks Repos has a built-in version control system”_x000a_Not correct. Repos integrates with external Git repos, it doesn’t provide its own VCS. ❌_x000a_“Databricks Repos automatically saves changes”_x000a_Not the distinguishing feature. Regular notebooks also autosave. ❌_x000a_“Databricks Repos allow you to add comments and select the changes you want to commit” ✅_x000a_Correct. Repos provides a UI to stage, commit, and comment on changes directly in Databricks, improving workflow compared to notebook-only Git integration._x000a_This is the main practical advantage of switching to Repos."/>
    <m/>
    <m/>
    <m/>
    <n v="1"/>
    <m/>
    <m/>
    <m/>
    <m/>
  </r>
  <r>
    <x v="0"/>
    <n v="1539"/>
    <x v="9"/>
    <n v="13"/>
    <s v="General"/>
    <s v="Conceptual"/>
    <s v="Easy"/>
    <s v="Which technique can be used to implement fine-grained access control to rows and columns of a Delta table based on the user’s access?"/>
    <s v="Use Unity catalog to grant access to rows and columns"/>
    <s v="Row and column access control lists"/>
    <s v="Use dynamic view functions"/>
    <s v="Data access control lists"/>
    <s v="Dynamic Access control lists with Unity Catalog"/>
    <m/>
    <s v="C"/>
    <s v="Use dynamic view functions ✅_x000a__x000a_Explanation:_x000a__x000a_Dynamic view functions in Databricks allow you to filter rows or mask columns dynamically based on the querying user._x000a_Example: A view can show only data for a user’s region or mask sensitive columns._x000a_Other methods like Unity Catalog or ACLs manage table- or column-level access but cannot enforce row-level security dynamically._x000a_https://docs.microsoft.com/en-us/azure/databricks/security/access-control/table-acls/object-privileges#dynamic-view-functions"/>
    <m/>
    <m/>
    <m/>
    <n v="1"/>
    <m/>
    <m/>
    <m/>
    <m/>
  </r>
  <r>
    <x v="0"/>
    <n v="1540"/>
    <x v="9"/>
    <n v="14"/>
    <s v="General"/>
    <s v="Conceptual"/>
    <s v="Easy"/>
    <s v="Kevin owns both the sales table and the regional_sales_vw view (which uses the sales table as its source). He wants to grant SELECT privilege on the view to Steven, a new team member. Which statement is true?"/>
    <s v="Kevin can not grant access to Steven since he does not have security admin privilege"/>
    <s v="Kevin although is the owner but does not have ALL PRIVILEGES permission"/>
    <s v="Kevin can grant access to the view, because he is the owner of the view and the underlying table"/>
    <s v="Kevin can not grant access to Steven since he does have workspace admin privilege"/>
    <s v="Steve will also require SELECT access on the underlying table"/>
    <m/>
    <s v="C"/>
    <s v="Correct_x000a_Option C. Kevin can grant access to the view, because he is the owner of the view and the underlying table._x000a__x000a_Correct because in Databricks, the object owner (Kevin) has full control over granting privileges._x000a_Since Kevin owns both the view and the underlying table, he can grant Steven access to the view without requiring additional admin privileges._x000a_This ensures Steven can query the view while respecting Databricks’ permission model._x000a_Incorrect_x000a_Option A. Kevin can not grant access to Steven since he does not have security admin privilege._x000a__x000a_Incorrect because ownership of the object (view and table) is sufficient to grant privileges._x000a_Security admin role is not required in this scenario._x000a_Option B. Kevin although is the owner but does not have ALL PRIVILEGES permission._x000a__x000a_Incorrect because ownership inherently provides full privileges on the object._x000a_Kevin does not need an explicit ALL PRIVILEGES grant to share access._x000a_Option D. Kevin can not grant access to Steven since he does have workspace admin privilege._x000a__x000a_Incorrect because workspace admin is not required for granting privileges on objects you own._x000a_Object ownership is enough._x000a_Option E. Steve will also require SELECT access on the underlying table._x000a__x000a_Incorrect because granting SELECT on the view is sufficient._x000a_Steven does not need direct access to the underlying table unless he wants to query it directly."/>
    <m/>
    <m/>
    <m/>
    <m/>
    <m/>
    <m/>
    <m/>
    <m/>
  </r>
  <r>
    <x v="0"/>
    <n v="1541"/>
    <x v="10"/>
    <n v="1"/>
    <s v="General"/>
    <s v="Conceptual"/>
    <s v="Easy"/>
    <s v="Which cluster configuration is most suitable for a pipeline that includes data union operations across multiple large datasets, where minimizing data shuffle is a priority?"/>
    <s v="Configure a cluster with a large number of small instances."/>
    <s v="Use a single-node cluster with a very large node type."/>
    <s v="Select storage-optimized instances with local storage and disk caching enabled."/>
    <s v="Increase instance size and decrease the number of workers."/>
    <m/>
    <m/>
    <s v="A"/>
    <s v="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
    <m/>
    <m/>
    <m/>
    <m/>
    <n v="1"/>
    <m/>
    <m/>
    <m/>
  </r>
  <r>
    <x v="0"/>
    <n v="1542"/>
    <x v="10"/>
    <n v="2"/>
    <s v="General"/>
    <s v="Conceptual"/>
    <s v="Easy"/>
    <s v="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
    <s v="Enable Liquid Clustering on customer_id and transaction_date together as clustering keys."/>
    <s v="Enable Liquid Clustering only on customer_id."/>
    <s v="Enable Liquid Clustering only on transaction_date."/>
    <s v="Use no clustering and rely on Z-Ordering with periodic OPTIMIZE commands."/>
    <m/>
    <m/>
    <s v="A"/>
    <s v="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
    <m/>
    <m/>
    <m/>
    <m/>
    <n v="1"/>
    <m/>
    <m/>
    <m/>
  </r>
  <r>
    <x v="0"/>
    <n v="1543"/>
    <x v="10"/>
    <n v="3"/>
    <s v="General"/>
    <s v="Conceptual"/>
    <s v="Easy"/>
    <s v="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
    <s v=".option(“cloudFiles.schemaEvolutionMode“, “none“)"/>
    <s v=".option(“cloudFiles.schemaEvolutionMode“, “failOnNewColumn“)"/>
    <s v=".option(“cloudFiles.inferColumnChanges“, “true“)"/>
    <s v=".option(“mergeSchema“, “false“)"/>
    <m/>
    <m/>
    <s v="B"/>
    <s v="Auto Loader can handle schema evolution automatically by adding new columns, but sometimes you need strict schema enforcement._x000a_Below setting, ensures that if any new column appears in the source files, the pipeline fails immediately, allowing data engineers to investigate before allowing ingestion to continue. This is useful for data quality and governance in production ETL pipelines._x000a_.option(“cloudFiles.schemaEvolutionMode“, “failOnNewColumn“)"/>
    <m/>
    <m/>
    <m/>
    <n v="1"/>
    <m/>
    <m/>
    <m/>
    <m/>
  </r>
  <r>
    <x v="0"/>
    <n v="1544"/>
    <x v="10"/>
    <n v="4"/>
    <s v="General"/>
    <s v="Conceptual"/>
    <s v="Easy"/>
    <s v="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
    <s v="Use an all-purpose cluster with Photon enabled and on-demand instances"/>
    <s v="Use a job cluster with Photon enabled and on-demand instances"/>
    <s v="Use a job cluster with spot instances, without Photon, for cost savings"/>
    <s v="Use an all-purpose cluster with spot instances, without Photon"/>
    <m/>
    <m/>
    <s v="C"/>
    <s v="For simple, lightweight processing of large files, the most cost-effective approach is to use a job cluster with spot instances._x000a_This ensures:_x000a_The cluster is temporary, incurring cost only for the duration of the job._x000a_Spot pricing significantly lowers compute cost._x000a_Photon is unnecessary here because there are no CPU-intensive queries or heavy aggregations, so enabling it wouldnt provide measurable benefit."/>
    <m/>
    <m/>
    <m/>
    <n v="1"/>
    <m/>
    <m/>
    <m/>
    <m/>
  </r>
  <r>
    <x v="0"/>
    <n v="1545"/>
    <x v="10"/>
    <n v="5"/>
    <s v="General"/>
    <s v="Conceptual"/>
    <s v="Easy"/>
    <s v="A data engineering team wants to develop and test Databricks code locally using their preferred IDEs (such as PyCharm, VS Code, or IntelliJ) and then deploy the code to Databricks. Which of the following statements best describes Databricks Connect requirements and capabilities?"/>
    <s v="Databricks Connect can only be used with the online Databricks notebook interface provided in the Databricks workspace."/>
    <s v="Databricks Connect requires the use of dbx-compatible IDEs only, restricting developers to specific tools."/>
    <s v="Databricks Connect allows developers to use any Python IDE locally to interact with remote Databricks clusters, as long as the environment matches the Databricks Runtime version."/>
    <s v="Databricks Connect is only supported in a single environment and cannot be used to develop locally and deploy to test or production."/>
    <m/>
    <m/>
    <s v="C"/>
    <s v="Databricks Connect allows developers to write, test, and debug Spark code locally using any Python-compatible IDE while executing workloads on a remote Databricks cluster._x000a_It requires:_x000a_A compatible Databricks Runtime version on the remote cluster._x000a_The Databricks Connect library installed in the local environment._x000a_Proper authentication and configuration to connect to the workspace._x000a_This gives flexibility to use local developer tools, version control, and CI/CD workflows before deploying code to higher environments."/>
    <m/>
    <m/>
    <m/>
    <m/>
    <n v="1"/>
    <m/>
    <m/>
    <m/>
  </r>
  <r>
    <x v="0"/>
    <n v="1546"/>
    <x v="10"/>
    <n v="6"/>
    <s v="General"/>
    <s v="Conceptual"/>
    <s v="Easy"/>
    <s v="A data engineering team wants to migrate from classic SQL warehouses to serverless in order to reduce cost and improve scalability. They plan to move workloads gradually instead of all at once. Which is the best first step in their migration strategy?"/>
    <s v="Move the least frequent dashboard and ad-hoc analytics workloads to serverless first to test performance and cost savings."/>
    <s v="Migrate all Python notebooks immediately to serverless to reduce manual job cost."/>
    <s v="Move Scala-based ETL pipelines first since serverless is optimized for Scala workloads."/>
    <s v="Replace production-critical dashboards with serverless to realize maximum savings upfront."/>
    <m/>
    <m/>
    <s v="A"/>
    <s v="Databricks serverless SQL warehouses offer on-demand scaling and cost savings, but best practice is to start small with less frequent or non-critical analytics dashboards and ad-hoc queries._x000a_This allows teams to:_x000a_Test performance_x000a_Measure cost savings_x000a_Validate connection patterns and security_x000a_before migrating high-frequency or production-critical workloads. Serverless currently optimizes SQL queries, not arbitrary Scala or Python batch jobs."/>
    <m/>
    <m/>
    <m/>
    <m/>
    <m/>
    <m/>
    <m/>
    <m/>
  </r>
  <r>
    <x v="0"/>
    <n v="1547"/>
    <x v="10"/>
    <n v="7"/>
    <s v="General"/>
    <s v="Conceptual"/>
    <s v="Easy"/>
    <s v="A data platform team is setting up clusters for different workloads in Databricks. They need to choose the appropriate cluster types for various use cases. Which of the following statements is correct?"/>
    <s v="A job cluster is ideal for scheduled ETL pipelines because it is created for the job run and terminates automatically after completion."/>
    <s v="An interactive (all-purpose) cluster is designed for non-interactive scheduled jobs only and cannot be shared by multiple users."/>
    <s v="A single-user cluster allows multiple users to run notebooks concurrently while isolating permissions."/>
    <s v="A shared cluster restricts usage to one user only for strict data access control."/>
    <m/>
    <m/>
    <s v="A"/>
    <s v="Databricks supports different cluster types for different use cases:_x000a_Job cluster  ephemeral, cost-efficient for scheduled jobs._x000a_Interactive (all-purpose) cluster  collaborative, multiple users for development._x000a_Single-user cluster  ensures strict data isolation, useful in sensitive environments._x000a_Shared cluster  multiple users with governed access to data._x000a_Choosing the right cluster type balances cost, performance, and security for the workload."/>
    <m/>
    <m/>
    <m/>
    <m/>
    <m/>
    <m/>
    <m/>
    <m/>
  </r>
  <r>
    <x v="0"/>
    <n v="1548"/>
    <x v="10"/>
    <n v="8"/>
    <s v="General"/>
    <s v="Conceptual"/>
    <s v="Easy"/>
    <s v="A data engineer is using a job cluster to execute a Databricks notebook as part of a scheduled job. The job fails with an error related to output size. What is the maximum notebook output size supported by Databricks job clusters?"/>
    <s v="10 MB"/>
    <s v="15 MB"/>
    <s v="25 MB"/>
    <s v="30 MB"/>
    <m/>
    <m/>
    <s v="D"/>
    <s v="When running notebooks using Databricks job clusters, there is a maximum output size limit of 30 MB._x000a_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
    <m/>
    <m/>
    <m/>
    <n v="1"/>
    <m/>
    <m/>
    <m/>
    <m/>
  </r>
  <r>
    <x v="0"/>
    <n v="1549"/>
    <x v="10"/>
    <n v="9"/>
    <s v="General"/>
    <s v="Conceptual"/>
    <s v="Easy"/>
    <s v="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
    <s v="GRANT ALL PRIVILEGES ON TABLE transactions TO alex.smith@dataco.com;"/>
    <s v="GRANT USAGE ON TABLE transactions TO alex.smith@dataco.com;"/>
    <s v="GRANT ALL PRIVILEGES ON TABLE alex.smith@dataco.com TO transactions;"/>
    <s v="GRANT SELECT ON TABLE transactions TO alex.smith@dataco.com;"/>
    <m/>
    <m/>
    <s v="A"/>
    <s v="To fully manage a table in Databricks (Unity Catalog) or SQL-based systems, a user must be granted ALL PRIVILEGES, which allows actions such as:_x000a__x000a_SELECT_x000a__x000a_INSERT_x000a__x000a_UPDATE_x000a__x000a_DELETE_x000a__x000a_Option A correctly grants these permissions on the table to the user._x000a__x000a_The other options are incorrect because:_x000a__x000a_Option B  USAGE does not grant data access; it only allows access to the container (catalog/schema), not the table contents._x000a__x000a_Option C  Reverses the syntax (permissions must be granted on the table to the user, not the other way around)._x000a__x000a_Option D  Only grants read access (SELECT), not full control, so it is insufficient."/>
    <m/>
    <m/>
    <m/>
    <m/>
    <n v="1"/>
    <m/>
    <m/>
    <m/>
  </r>
  <r>
    <x v="0"/>
    <n v="1550"/>
    <x v="10"/>
    <n v="10"/>
    <s v="General"/>
    <s v="Conceptual"/>
    <s v="Easy"/>
    <s v="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
    <s v="Only the metadata is dropped; the underlying data files remain in storage."/>
    <s v="Both the metadata and the data files are deleted permanently."/>
    <s v="The metadata is moved to a trash folder; data remains accessible."/>
    <s v="The metadata is deleted, but the data is automatically backed up to Unity Catalog."/>
    <m/>
    <m/>
    <s v="B"/>
    <s v="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
    <m/>
    <m/>
    <m/>
    <m/>
    <m/>
    <m/>
    <m/>
    <m/>
  </r>
  <r>
    <x v="0"/>
    <n v="1551"/>
    <x v="10"/>
    <n v="11"/>
    <s v="General"/>
    <s v="Conceptual"/>
    <s v="Easy"/>
    <s v="In a Databricks Delta Live Tables (DLT) pipeline, you have defined a constraint to ensure all transaction amounts are non-negative. The constraint is violated by some incoming data. What would be the consequence of using ‘ON VIOLATION DROP ROW‘ for this constraint?"/>
    <s v="The entire DLT job will fail, stopping the data processing."/>
    <s v="The rows violating the constraint will be omitted from the output."/>
    <s v="The rows violating the constraint will be updated with default values."/>
    <s v="An alert will be triggered, but the violating rows will remain in the dataset."/>
    <m/>
    <m/>
    <s v="B"/>
    <s v="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_x000a_CONSTRAINT valid_amount EXPECT (amount &gt;= 0) ON VIOLATION DROP ROW_x000a_This SQL ensures only rows with non-negative amounts are kept; violating rows are dropped from the output."/>
    <m/>
    <m/>
    <m/>
    <m/>
    <m/>
    <m/>
    <m/>
    <m/>
  </r>
  <r>
    <x v="0"/>
    <n v="1552"/>
    <x v="10"/>
    <n v="12"/>
    <s v="General"/>
    <s v="Conceptual"/>
    <s v="Easy"/>
    <s v="Which of the following statements correctly describes the default behaviors of development mode versus production mode in Databricks Delta Live Tables (DLT) pipelines?"/>
    <s v="In development mode, the cluster remains active after updates for rapid testing, while in production mode, the cluster shuts down immediately after job completion."/>
    <s v="Production mode allows overriding cluster configurations on each run for fast iteration, while development mode uses locked, pre-defined compute for consistency."/>
    <s v="Both development and production modes keep the cluster alive post-update to support debugging and fast development."/>
    <s v="In development mode, scheduled pipeline triggers and concurrent job runs are prevented, while in production mode, they are always enabled."/>
    <m/>
    <m/>
    <s v="A"/>
    <s v="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
    <m/>
    <m/>
    <m/>
    <n v="1"/>
    <m/>
    <m/>
    <m/>
    <m/>
  </r>
  <r>
    <x v="0"/>
    <n v="1553"/>
    <x v="10"/>
    <n v="13"/>
    <s v="General"/>
    <s v="Conceptual"/>
    <s v="Easy"/>
    <s v="A team is setting up a new data pipeline on Databricks using Unity Catalog. What should they do to simplify data layout decisions and optimize query performance?"/>
    <s v="Enable predictive optimization"/>
    <s v="Disable AQE"/>
    <s v="Rely on default configurations without adjustments"/>
    <s v="Avoid using Unity Catalog managed tables"/>
    <m/>
    <m/>
    <s v="A"/>
    <s v="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
    <m/>
    <m/>
    <m/>
    <m/>
    <m/>
    <m/>
    <m/>
    <m/>
  </r>
  <r>
    <x v="0"/>
    <n v="1554"/>
    <x v="10"/>
    <n v="14"/>
    <s v="General"/>
    <s v="Conceptual"/>
    <s v="Easy"/>
    <s v="A data engineer needs to deploy a set of Databricks resources, including jobs and pipelines, in a consistent manner across multiple environments. Which Databricks feature should be used to programmatically define and manage these resources?"/>
    <s v="Databricks Asset Bundles"/>
    <s v="Structured Streaming"/>
    <s v="Delta Lake"/>
    <s v="Git folders"/>
    <m/>
    <m/>
    <s v="A"/>
    <s v="Databricks Asset Bundles are designed to help manage and deploy Databricks resources such as jobs, notebooks, and pipelines programmatically, which is ideal for ensuring consistency across multiple environments._x000a_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
    <m/>
    <m/>
    <m/>
    <m/>
    <m/>
    <m/>
    <m/>
    <m/>
  </r>
  <r>
    <x v="0"/>
    <n v="1555"/>
    <x v="10"/>
    <n v="15"/>
    <s v="General"/>
    <s v="Conceptual"/>
    <s v="Easy"/>
    <s v="A company uses Auto Loader to ingest CSV files into Delta Lake. They need to ensure exactly-once processing even in case of failures. Where does Auto Loader store metadata to support this requirement?"/>
    <s v="In the Delta Lake metadata"/>
    <s v="In a relational database"/>
    <s v="In a key-value store at the checkpoint location"/>
    <s v="In an external NoSQL database"/>
    <m/>
    <m/>
    <s v="C"/>
    <s v="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
    <m/>
    <m/>
    <m/>
    <n v="1"/>
    <m/>
    <m/>
    <m/>
    <m/>
  </r>
  <r>
    <x v="0"/>
    <n v="1556"/>
    <x v="10"/>
    <n v="16"/>
    <s v="General"/>
    <s v="Conceptual"/>
    <s v="Easy"/>
    <s v="Which of the following is a DDL (Data Definition Language) statement that defines a new object in the database?"/>
    <s v="INSERT INTO sales (region, amount) VALUES (‘North‘, 100);"/>
    <s v="DELETE FROM customers WHERE country = ‘US‘;"/>
    <s v="CREATE TABLE products (id INT, name STRING, price DECIMAL(10,2));"/>
    <s v="UPDATE orders SET status = ‘Completed‘ WHERE order_id = 101;"/>
    <m/>
    <m/>
    <s v="C"/>
    <s v="DDL commands define or modify database schema objects (e.g., CREATE, ALTER, DROP, TRUNCATE). DML commands (INSERT, UPDATE, DELETE) manipulate data inside tables. In this example, CREATE TABLE is the clear DDL statement that defines a new table in the database."/>
    <m/>
    <m/>
    <m/>
    <m/>
    <m/>
    <m/>
    <m/>
    <m/>
  </r>
  <r>
    <x v="0"/>
    <n v="1557"/>
    <x v="10"/>
    <n v="17"/>
    <s v="General"/>
    <s v="Conceptual"/>
    <s v="Easy"/>
    <s v="A data engineer is tasked with setting up an ETL pipeline using Databricks Live Tables (DLT). They need to ensure data quality by enforcing constraints on the incoming data. Which feature of DLT should they utilize?"/>
    <s v="Data expectations"/>
    <s v="Data deduplication"/>
    <s v="Schema inference"/>
    <s v="Data partitioning"/>
    <m/>
    <m/>
    <s v="A"/>
    <s v="Delta Live Tables (DLT) provides a mechanism to set data expectations, which are rules or constraints on data quality. These expectations help ensure that only valid data is processed by the pipeline."/>
    <m/>
    <m/>
    <m/>
    <m/>
    <m/>
    <m/>
    <m/>
    <m/>
  </r>
  <r>
    <x v="0"/>
    <n v="1558"/>
    <x v="10"/>
    <n v="18"/>
    <s v="General"/>
    <s v="Conceptual"/>
    <s v="Easy"/>
    <s v="During a data governance audit, it is discovered that a Delta table is marked as a managed table within Databricks. What implications does this have for the control and management of the underlying data files? Choose two."/>
    <s v="The data files are stored in a location managed by Databricks, and users do not have control over the physical storage path."/>
    <s v="The data files can be directly accessed and modified in their storage location by users."/>
    <s v="The user must specify the exact location of data files during table creation."/>
    <s v="Data files are automatically deleted when the managed table is dropped."/>
    <m/>
    <m/>
    <s v="A"/>
    <s v="When a Delta table is marked as a managed table in Databricks, Databricks takes full responsibility for both the metadata and the underlying data files associated with that table._x000a_Key implications for control and management:_x000a_Ownership: Databricks controls the storage location of the data files. The files are automatically stored in a location determined by the schema or catalog and are managed by the Databricks workspace. Users do not choose the file path when creating the table._x000a_Lifecycle management: When you drop (delete) a managed table, Databricks deletes both the tables metadata and the underlying data files. This contrasts with external (unmanaged) tables, where dropping the table only removes the metadata, and the data files remain in place._x000a_Optimization and maintenance: Databricks performs automated maintenance (such as file compaction and optimization), manages access permissions, and implements security controls on managed tables to improve performance and reduce operational overhead._x000a_Integration: Managed tables are automatically included in Unity Catalog governance, benefitting from unified access controls, auditing, and data sharing features via open protocols._x000a_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
    <m/>
    <m/>
    <m/>
    <m/>
    <m/>
    <m/>
    <m/>
    <m/>
  </r>
  <r>
    <x v="0"/>
    <n v="1559"/>
    <x v="10"/>
    <n v="19"/>
    <s v="General"/>
    <s v="Conceptual"/>
    <s v="Easy"/>
    <s v="Which of the following commands will successfully revoke the ‘CREATE TABLE‘ privilege from a group named ‘analysts‘ on a schema named ‘reporting‘ within the catalog ‘finance‘?"/>
    <s v="REVOKE CREATE TABLE ON TABLE finance.reporting FROM ′analysts′;"/>
    <s v="REVOKE CREATE TABLE ON SCHEMA finance.reporting FROM ′analysts′;"/>
    <s v="REVOKE CREATE ON SCHEMA finance.reporting FROM ′analysts′;"/>
    <s v="REVOKE ALL PRIVILEGES ON SCHEMA finance.reporting FROM ′analysts′;"/>
    <m/>
    <m/>
    <s v="B"/>
    <s v="To successfully revoke the ‘CREATE TABLE‘ privilege from a group named ‘analysts‘ on a schema named ‘reporting‘ within the catalog ‘finance‘ in Databricks/Unity Catalog, you should use the following SQL command:_x000a_REVOKE CREATE TABLE ON SCHEMA finance.reporting FROM ′analysts′;_x000a_The command structure is:_x000a_REVOKE ON SCHEMA . FROM ;_x000a_Group names with special characters (or any group name, for best practice) should be enclosed in backticks (′\)._x000a_This command removes the ‘CREATE TABLE‘ privilege from the ‘analysts‘ group on the specified schema and will succeed even if the group does not currently hold that privilegeit simply ensures the privilege is not present._x000a_If you prefer to use the Databricks UI, you can also revoke this privilege from the “Permissions“ tab for the schema in Catalog Explorer."/>
    <m/>
    <m/>
    <m/>
    <n v="1"/>
    <m/>
    <m/>
    <m/>
    <m/>
  </r>
  <r>
    <x v="0"/>
    <n v="1560"/>
    <x v="10"/>
    <n v="20"/>
    <s v="General"/>
    <s v="Conceptual"/>
    <s v="Easy"/>
    <s v="Which of the following is NOT a feature provided by Unity Catalog in Databricks?"/>
    <s v="Access Control"/>
    <s v="Data Lineage"/>
    <s v="Real-time Streaming"/>
    <s v="Data Discovery"/>
    <m/>
    <m/>
    <s v="C"/>
    <s v="Unity Catalog focuses on data governance, providing features like access control, data lineage, and data discovery. Real-time streaming is a separate aspect of data processing that is not directly handled by Unity Catalog."/>
    <m/>
    <m/>
    <m/>
    <m/>
    <m/>
    <m/>
    <m/>
    <m/>
  </r>
  <r>
    <x v="0"/>
    <n v="1561"/>
    <x v="10"/>
    <n v="21"/>
    <s v="General"/>
    <s v="Conceptual"/>
    <s v="Easy"/>
    <s v="An organization needs to ensure that all data lineage information is accurately captured in Databricks. Which service name relates to tracking data lineage events in the audit logs?"/>
    <s v="dataMonitoring"/>
    <s v="lineageTracking"/>
    <s v="databrickssql"/>
    <s v="database"/>
    <m/>
    <m/>
    <s v="B"/>
    <s v="To ensure that all data lineage information is captured, monitoring the ‘lineageTracking‘ service in audit logs is essential. This service records events that depict how data moves and transforms across different stages."/>
    <m/>
    <m/>
    <m/>
    <m/>
    <n v="1"/>
    <m/>
    <m/>
    <m/>
  </r>
  <r>
    <x v="0"/>
    <n v="1562"/>
    <x v="10"/>
    <n v="22"/>
    <s v="General"/>
    <s v="Conceptual"/>
    <s v="Easy"/>
    <s v="A data engineer needs to ensure that only specific columns from a table are shared with a partner organization using Delta Sharing. Which of the following actions should be taken?"/>
    <s v="Create a view with the required columns and share the view."/>
    <s v="Share the entire table and instruct the partner to ignore unnecessary columns."/>
    <s v="Use Unity Catalog to restrict columns during sharing."/>
    <s v="Create a new table with only the required columns and share it."/>
    <m/>
    <m/>
    <s v="A"/>
    <s v="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_x000a_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_x000a_Create a SQL view containing only the required columns from the source table._x000a_Add this view to your Delta share instead of the full table._x000a_The partner organization will see and query the data as exposed in your viewno more, no less._x000a_This way, you fully control at the schema level what data is shared through Delta Sharing."/>
    <m/>
    <m/>
    <m/>
    <m/>
    <m/>
    <m/>
    <m/>
    <m/>
  </r>
  <r>
    <x v="0"/>
    <n v="1563"/>
    <x v="10"/>
    <n v="23"/>
    <s v="General"/>
    <s v="Conceptual"/>
    <s v="Easy"/>
    <s v="A company wants to ensure that sensitive data is only accessible to specific users within their Databricks Lakehouse Platform. Which strategy should they use to manage data access effectively?"/>
    <s v="Assign broad privileges at the catalog level to simplify access management."/>
    <s v="Use external location securable objects to manage access to cloud storage."/>
    <s v="Implement the principle of least privilege by granting minimum necessary permissions at the required level."/>
    <s v="Create multiple Hive metastores to isolate data access for different teams."/>
    <m/>
    <m/>
    <s v="C"/>
    <s v="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
    <m/>
    <m/>
    <m/>
    <m/>
    <m/>
    <m/>
    <m/>
    <m/>
  </r>
  <r>
    <x v="0"/>
    <n v="1564"/>
    <x v="10"/>
    <n v="24"/>
    <s v="General"/>
    <s v="Conceptual"/>
    <s v="Easy"/>
    <s v="Which of the following is a primary advantage of using Delta Sharing in Databricks for data governance?"/>
    <s v="It allows real-time data updates to be pushed to recipients."/>
    <s v="It enhances data security and privacy through integrated access control and auditing."/>
    <s v="It automatically transforms data into formats compatible with recipient platforms."/>
    <s v="It provides mechanisms for data deduplication before sharing."/>
    <m/>
    <m/>
    <s v="B"/>
    <s v="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
    <m/>
    <m/>
    <m/>
    <m/>
    <m/>
    <m/>
    <m/>
    <m/>
  </r>
  <r>
    <x v="0"/>
    <n v="1565"/>
    <x v="10"/>
    <n v="25"/>
    <s v="General"/>
    <s v="Conceptual"/>
    <s v="Easy"/>
    <s v="What is a primary advantage of using Databricks-to-Databricks Delta Sharing over open sharing with bearer tokens?"/>
    <s v="It allows for write access to shared datasets."/>
    <s v="It eliminates the need for token-based credentials for secure access."/>
    <s v="It allows sharing with recipients without Databricks workspaces."/>
    <s v="It provides faster data transfer speeds."/>
    <m/>
    <m/>
    <s v="B"/>
    <s v="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_x000a_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_x000a_In contrast, open sharing with bearer tokens requires credential files to be shared and managed by the provider and recipient, increasing complexity and potential security exposure."/>
    <m/>
    <m/>
    <m/>
    <m/>
    <m/>
    <m/>
    <m/>
    <m/>
  </r>
  <r>
    <x v="0"/>
    <n v="1566"/>
    <x v="10"/>
    <n v="26"/>
    <s v="General"/>
    <s v="Conceptual"/>
    <s v="Easy"/>
    <s v="A provider organization is using Unity Catalog-enabled Databricks workspace to share data with multiple recipients. What happens if a recipient is deleted from the Unity Catalog metastore?"/>
    <s v="The recipient retains access to the data until the share itself is deleted."/>
    <s v="The recipient immediately loses access to all shares they previously had."/>
    <s v="The recipient can still access the data using their existing credentials for a limited time."/>
    <s v="The recipient loses access only if the provider deletes the share."/>
    <m/>
    <m/>
    <s v="B"/>
    <s v="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_x000a_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
    <m/>
    <m/>
    <m/>
    <m/>
    <m/>
    <m/>
    <m/>
    <m/>
  </r>
  <r>
    <x v="0"/>
    <n v="1567"/>
    <x v="10"/>
    <n v="27"/>
    <s v="General"/>
    <s v="Conceptual"/>
    <s v="Easy"/>
    <s v="A data pipeline is being set up to handle real-time data ingestion using Auto Loader in Databricks. Which of the following is a unique feature of Auto Loader that provides a significant advantage over traditional file source ingestion methods?"/>
    <s v="Auto Loader can automatically infer schema changes and apply them without any manual intervention."/>
    <s v="Auto Loader provides exactly-once processing guarantees without any additional configuration."/>
    <s v="Auto Loader can scale to accommodate high volumes of data using cloud-native optimizations."/>
    <s v="Auto Loader requires the data to be pre-partitioned before ingestion."/>
    <m/>
    <m/>
    <s v="C"/>
    <s v="Correct_x000a_Option C. Auto Loader can scale to accommodate high volumes of data using cloud-native optimizations_x000a__x000a_Auto Loader is designed for incremental and scalable ingestion of files from cloud storage (e.g., AWS S3, Azure Data Lake, GCS)._x000a_It uses cloud-native file notification services (like S3 event notifications or Azure Event Grid) or a file discovery mechanism to efficiently detect new files._x000a_This allows Auto Loader to handle massive volumes of streaming data without the performance bottlenecks of traditional file ingestion._x000a_This scalability is its unique advantage over standard file source ingestion._x000a_Incorrect_x000a_Option A. Auto Loader can automatically infer schema changes and apply them without any manual intervention_x000a__x000a_Auto Loader supports schema evolution, but it does not apply changes completely without intervention._x000a_Schema changes can be detected, but you must configure options like cloudFiles.schemaEvolutionMode to handle them._x000a_It’s not fully automatic — some manual adjustments may still be required._x000a_Option B. Auto Loader provides exactly-once processing guarantees without any additional configuration_x000a__x000a_Auto Loader provides at-least-once guarantees by default._x000a_Exactly-once semantics require additional configurations and downstream design (e.g., using Delta Lake with idempotent writes)._x000a_So this statement is misleading._x000a_Option D. Auto Loader requires the data to be pre-partitioned before ingestion_x000a__x000a_Incorrect because Auto Loader does not require pre-partitioning._x000a_It can ingest files directly from cloud storage paths and handle partition discovery automatically._x000a_Pre-partitioning is optional, not mandatory."/>
    <m/>
    <m/>
    <m/>
    <n v="1"/>
    <m/>
    <m/>
    <m/>
    <m/>
  </r>
  <r>
    <x v="0"/>
    <n v="1568"/>
    <x v="10"/>
    <n v="28"/>
    <s v="General"/>
    <s v="Conceptual"/>
    <s v="Easy"/>
    <s v="In the context of Databricks Asset Bundles, which command should a data engineer use to create a YAML configuration file for existing resources?"/>
    <s v="databricks bundle init"/>
    <s v="databricks bundle validate"/>
    <s v="databricks bundle generate"/>
    <s v="databricks bundle deploy"/>
    <m/>
    <m/>
    <s v="C"/>
    <s v="Correct_x000a_Option C. databricks bundle generate_x000a__x000a_Correct because the generate command is specifically designed to create a YAML configuration file for existing Databricks resources._x000a_It scans the current environment and produces a structured YAML file that can be used to manage and redeploy resources consistently._x000a_This is the recommended way to bootstrap configuration from existing resources into a bundle._x000a_Incorrect_x000a_Option A. databricks bundle init_x000a__x000a_Incorrect because init is used to initialize a new bundle project with a starter configuration, not to generate YAML from existing resources._x000a_Option B. databricks bundle validate_x000a__x000a_Incorrect because validate checks whether an existing bundle configuration is correct and adheres to schema rules. It does not create YAML files._x000a_Option D. databricks bundle deploy_x000a__x000a_Incorrect because deploy is used to apply an existing bundle configuration to Databricks resources. It assumes the YAML file already exists, so it cannot generate one."/>
    <m/>
    <m/>
    <m/>
    <m/>
    <n v="1"/>
    <m/>
    <m/>
    <m/>
  </r>
  <r>
    <x v="0"/>
    <n v="1569"/>
    <x v="10"/>
    <n v="29"/>
    <s v="General"/>
    <s v="Conceptual"/>
    <s v="Easy"/>
    <s v="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
    <s v="Use the Repair run to retry the failed task"/>
    <s v="Use the Run Now button to manually trigger a new run"/>
    <s v="Clone the notebook and create a new workflow"/>
    <s v="Delete the failed run and create a new job definition"/>
    <m/>
    <m/>
    <s v="B"/>
    <s v="Correct_x000a_Option B. Use the “Run Now” button to manually trigger a new run_x000a__x000a_Correct because the issue was external and temporary, not related to the job’s code or configuration._x000a_The most efficient way is simply to trigger a new run using Run Now, which executes the same workflow again._x000a_This avoids unnecessary changes to the workflow definition or duplication of resources._x000a_Incorrect_x000a_Option A. Use the “Repair” run to retry the failed task_x000a__x000a_Incorrect because “Repair” is typically used for multi-task jobs, where you want to re-run only failed tasks without re-running successful ones._x000a_In this case, the workflow has only a single task, so “Repair” does not provide any advantage over “Run Now.”_x000a_Option C. Clone the notebook and create a new workflow_x000a__x000a_Incorrect because cloning the notebook and creating a new workflow is unnecessary._x000a_The job definition is already valid; the failure was due to a temporary external issue._x000a_Option D. Delete the failed run and create a new job definition_x000a__x000a_Incorrect because deleting the run and recreating the job definition is excessive._x000a_The job definition is already correct, and the external issue has been resolved."/>
    <m/>
    <m/>
    <m/>
    <n v="1"/>
    <m/>
    <m/>
    <m/>
    <m/>
  </r>
  <r>
    <x v="0"/>
    <n v="1570"/>
    <x v="10"/>
    <n v="30"/>
    <s v="General"/>
    <s v="Conceptual"/>
    <s v="Easy"/>
    <s v="A data engineer inherits a Databricks pipeline that runs very slowly due to memory spills. Question: What is the most cost-effective action to fix the pipeline performance?"/>
    <s v="Enable autoscaling on the cluster"/>
    <s v="Enable Photon"/>
    <s v="Upgrade to memory-optimized workers/drivers"/>
    <s v="Manually increase the cluster size without autoscaling"/>
    <m/>
    <m/>
    <s v="A"/>
    <s v="Correct_x000a_Option A. Enable autoscaling on the cluster_x000a__x000a_Correct because autoscaling allows the cluster to dynamically add or remove worker nodes based on workload demand._x000a_Memory spills occur when data cannot fit into memory and is written to disk, which slows performance. Autoscaling helps by temporarily increasing resources when needed, reducing spills, and then scaling back down to save costs._x000a_This is the most cost-effective solution since it balances performance improvements with efficient resource usage._x000a_Incorrect_x000a_Option B. Enable Photon_x000a__x000a_Incorrect because Photon is an execution engine optimized for SQL workloads._x000a_While Photon can improve performance for SQL queries, it does not directly address memory spill issues in pipelines._x000a_It may improve speed but is not the most cost-effective fix for this specific problem._x000a_Option C. Upgrade to memory-optimized workers/drivers_x000a__x000a_Incorrect because upgrading to memory-optimized instances increases costs significantly._x000a_While it can reduce memory spills, it is not the most cost-effective solution compared to autoscaling._x000a_Option D. Manually increase the cluster size without autoscaling_x000a__x000a_Incorrect because manually increasing cluster size provides more resources but keeps them allocated even when not needed._x000a_This leads to higher costs since resources are not scaled down automatically. Autoscaling is more efficient and cost-effective."/>
    <m/>
    <m/>
    <m/>
    <m/>
    <m/>
    <m/>
    <m/>
    <m/>
  </r>
  <r>
    <x v="0"/>
    <n v="1571"/>
    <x v="10"/>
    <n v="31"/>
    <s v="General"/>
    <s v="Conceptual"/>
    <s v="Easy"/>
    <s v="A data engineer is learning about Databricks Asset Bundles (DAB). Which of the following best describes the structure and configuration file used by a DAB?"/>
    <s v="YAML"/>
    <s v="Docker"/>
    <s v="Terraform"/>
    <s v="JSON"/>
    <m/>
    <m/>
    <s v="A"/>
    <s v="Databricks Asset Bundles (DAB) provide a way to manage Databricks projects, enabling versioned, collaborative, and automated deployments. The core structure of a DAB is defined by a root-level configuration file named databricks.yml, which is written in YAML._x000a_This file describes the resources, environment targets, variables, and settings for your Databricks workloads. YAML was chosen for its readability and support for complex mappings, making it well-suited for infrastructure and application configuration._x000a_Although DABs can reference Docker images or integrate with Terraform-managed infrastructure, their definition and structure are fundamentally based in YAML files. Understanding and properly using databricks.yml is essential for anyone working with Databricks Asset Bundles."/>
    <m/>
    <m/>
    <m/>
    <m/>
    <m/>
    <m/>
    <m/>
    <m/>
  </r>
  <r>
    <x v="0"/>
    <n v="1572"/>
    <x v="10"/>
    <n v="32"/>
    <s v="General"/>
    <s v="Conceptual"/>
    <s v="Easy"/>
    <s v="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
    <s v="Set the ‘cloudFiles.inferColumnTypes‘ option to ‘true‘."/>
    <s v="Use the ‘cloudFiles.maxFilesPerTrigger‘ option."/>
    <s v="Enable the ‘cloudFiles.validationMode‘ option."/>
    <s v="Configure the ‘cloudFiles.includeExistingFiles‘ option to ‘false‘."/>
    <m/>
    <m/>
    <s v="D"/>
    <s v="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
    <m/>
    <m/>
    <m/>
    <m/>
    <m/>
    <m/>
    <m/>
    <m/>
  </r>
  <r>
    <x v="0"/>
    <n v="1573"/>
    <x v="10"/>
    <n v="33"/>
    <s v="General"/>
    <s v="Conceptual"/>
    <s v="Easy"/>
    <s v="A data engineer is debugging a Python script in a Databricks notebook that processes data from a Spark DataFrame. The script is not producing the expected output. What is the most effective way to identify issues in the script using Databricks‘ debugging tools?"/>
    <s v="Add breakpoints to the lines where the DataFrame is created and transformed, and use the debugger to inspect variable values."/>
    <s v="Use print statements to output the values of the DataFrame at different stages of the script."/>
    <s v="Reload the entire notebook to ensure all changes are applied and then rerun the script."/>
    <s v="Enable the Databricks Assistant to automatically correct errors in the script."/>
    <m/>
    <m/>
    <s v="A"/>
    <s v="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
    <m/>
    <m/>
    <m/>
    <n v="1"/>
    <m/>
    <m/>
    <m/>
    <m/>
  </r>
  <r>
    <x v="0"/>
    <n v="1574"/>
    <x v="10"/>
    <n v="34"/>
    <s v="General"/>
    <s v="Conceptual"/>
    <s v="Easy"/>
    <s v="A data engineer is implementing a data pipeline using the Medallion Architecture. In which layer would they typically perform transformations to create a star schema for analytics purposes?"/>
    <s v="Bronze layer"/>
    <s v="Silver layer"/>
    <s v="Gold layer"/>
    <s v="Data Lake layer"/>
    <m/>
    <m/>
    <s v="C"/>
    <s v="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
    <m/>
    <m/>
    <m/>
    <n v="1"/>
    <n v="1"/>
    <m/>
    <m/>
    <m/>
  </r>
  <r>
    <x v="0"/>
    <n v="1575"/>
    <x v="10"/>
    <n v="35"/>
    <s v="General"/>
    <s v="Conceptual"/>
    <s v="Easy"/>
    <s v="A data engineer is designing a data pipeline that follows the Medallion Architecture. They need to ensure that data is cleansed and validated before it is available for analytics and reporting. Which layer of the Medallion Architecture should they focus on for this purpose?"/>
    <s v="Bronze Layer"/>
    <s v="Silver Layer"/>
    <s v="Gold Layer"/>
    <s v="Raw Layer"/>
    <m/>
    <m/>
    <s v="B"/>
    <s v="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
    <m/>
    <m/>
    <m/>
    <m/>
    <m/>
    <m/>
    <m/>
    <m/>
  </r>
  <r>
    <x v="0"/>
    <n v="1576"/>
    <x v="10"/>
    <n v="36"/>
    <s v="General"/>
    <s v="Conceptual"/>
    <s v="Easy"/>
    <s v="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
    <s v="Increase the number of workers to distribute the load."/>
    <s v="Switch to a single node with a large instance type."/>
    <s v="Use general-purpose instances that support Photon."/>
    <s v="Increase the size of the instances and use fewer workers."/>
    <m/>
    <m/>
    <s v="D"/>
    <s v="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
    <m/>
    <m/>
    <m/>
    <m/>
    <m/>
    <m/>
    <m/>
    <m/>
  </r>
  <r>
    <x v="0"/>
    <n v="1577"/>
    <x v="10"/>
    <n v="37"/>
    <s v="General"/>
    <s v="Conceptual"/>
    <s v="Easy"/>
    <s v="In a Databricks workspace, a data engineer is tasked with setting up an ETL pipeline to process streaming data efficiently. They decide to use Lakeflow Declarative Pipelines and Auto Loader. What is one significant advantage of using Auto Loader for this task?"/>
    <s v="Auto Loader requires manual intervention to detect new data files."/>
    <s v="Auto Loader can only process data from on-premise storage systems."/>
    <s v="Auto Loader provides automatic schema inference and evolution."/>
    <s v="Auto Loader processes data in batch mode only."/>
    <m/>
    <m/>
    <s v="C"/>
    <s v="Auto Loader is a powerful feature in Databricks that simplifies the process of ingesting streaming data. It automatically detects new files in cloud storage, infers schemas, and adapts to schema changes, making it highly efficient for building ETL pipelines."/>
    <m/>
    <m/>
    <m/>
    <m/>
    <m/>
    <m/>
    <m/>
    <m/>
  </r>
  <r>
    <x v="0"/>
    <n v="1578"/>
    <x v="10"/>
    <n v="38"/>
    <s v="General"/>
    <s v="Conceptual"/>
    <s v="Easy"/>
    <s v="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
    <s v="groupBy([‘customer_id‘]).agg({‘amount‘: ‘avg‘})"/>
    <s v="select([‘customer_id‘, ‘avg(amount)‘])"/>
    <s v="groupBy(‘transaction_id‘).avg(‘amount‘)"/>
    <s v="withColumn(‘avg_revenue‘, avg(‘amount‘))"/>
    <m/>
    <m/>
    <s v="A"/>
    <s v="To calculate average revenue per customer, the data must be grouped by customer_id and then the average of the amount column can be computed. The correct method is to use groupBy followed by agg or avg functions._x000a_groupBy([‘customer_id‘]) groups the records by customer_id._x000a_agg({‘amount‘: ‘avg‘}) applies the average aggregation to the “amount“ column for each group."/>
    <m/>
    <m/>
    <m/>
    <m/>
    <n v="1"/>
    <m/>
    <m/>
    <m/>
  </r>
  <r>
    <x v="0"/>
    <n v="1579"/>
    <x v="10"/>
    <n v="39"/>
    <s v="General"/>
    <s v="Conceptual"/>
    <s v="Easy"/>
    <s v="A company wants to securely share a subset of their Delta tables with an external partner using Delta Sharing within Unity Catalog. What is a prerequisite step before they can share these tables?"/>
    <s v="Ensure that the tables are stored in a Unity Catalog-enabled metastore and that Delta Sharing is enabled for the metastore by an account admin."/>
    <s v="Enable Structured Streaming in the existing workspace."/>
    <s v="Create external tables in the partner‘s workspace."/>
    <s v="Bind cloud storage access to the partner‘s workspace."/>
    <m/>
    <m/>
    <s v="A"/>
    <s v="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
    <m/>
    <m/>
    <m/>
    <m/>
    <n v="1"/>
    <m/>
    <m/>
    <m/>
  </r>
  <r>
    <x v="0"/>
    <n v="1580"/>
    <x v="10"/>
    <n v="40"/>
    <s v="General"/>
    <s v="Conceptual"/>
    <s v="Easy"/>
    <s v="A data engineering team needs to share a set of Delta tables with an external partner who does not use Databricks. Which Delta Sharing protocol should be used in this scenario?"/>
    <s v="Databricks-to-Databricks sharing protocol"/>
    <s v="Databricks open sharing protocol"/>
    <s v="Incorrect. Customer-managed open-source Delta Sharing server"/>
    <s v="HTTP-based REST API"/>
    <m/>
    <m/>
    <s v="B"/>
    <s v="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
    <m/>
    <m/>
    <m/>
    <n v="1"/>
    <m/>
    <m/>
    <m/>
    <m/>
  </r>
  <r>
    <x v="0"/>
    <n v="1581"/>
    <x v="10"/>
    <n v="41"/>
    <s v="General"/>
    <s v="Conceptual"/>
    <s v="Easy"/>
    <s v="A data engineer at a company needs to share data stored in a Databricks workspace with a partner company that uses a different Databricks account on Azure. The partner company also has Unity Catalog enabled. Which method should the data engineer use to securely share this data?"/>
    <s v="Use Delta Sharing via Databricks-to-Databricks sharing."/>
    <s v="Use open-source Delta Sharing with token-based authentication."/>
    <s v="Use a direct network connection between the two Databricks workspaces."/>
    <s v="Use Unity Catalog‘s built-in sharing capabilities between different accounts."/>
    <m/>
    <m/>
    <s v="A"/>
    <s v="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_x000a_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
    <m/>
    <m/>
    <m/>
    <n v="1"/>
    <m/>
    <m/>
    <m/>
    <m/>
  </r>
  <r>
    <x v="0"/>
    <n v="1582"/>
    <x v="10"/>
    <n v="42"/>
    <s v="General"/>
    <s v="Conceptual"/>
    <s v="Easy"/>
    <s v="A data engineer is tasked with sharing data stored in a Databricks Lakehouse across different cloud platforms. What is the most cost-effective way to achieve this while maintaining governance and security using Unity Catalog?"/>
    <s v="Use Delta Sharing to share data with external platforms without copying data."/>
    <s v="Copy data to each cloud platform and manage permissions separately."/>
    <s v="Deploy a multi-cloud data warehouse to centralize data management."/>
    <s v="Utilize third-party data sharing services."/>
    <m/>
    <m/>
    <s v="A"/>
    <s v="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_x000a_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
    <m/>
    <m/>
    <m/>
    <m/>
    <n v="1"/>
    <m/>
    <m/>
    <m/>
  </r>
  <r>
    <x v="0"/>
    <n v="1583"/>
    <x v="10"/>
    <n v="43"/>
    <s v="General"/>
    <s v="Conceptual"/>
    <s v="Easy"/>
    <s v="A company wants to leverage Lakehouse Federation to enable its data analysts to query data from an external Oracle database without data migration. Which of the following steps should the data engineer take to set this up?"/>
    <s v="Create a connection to the Oracle database using the Databricks REST API."/>
    <s v="Migrate all Oracle data to Databricks Delta Lake before querying."/>
    <s v="Use Unity Catalog to create a foreign catalog that mirrors the Oracle database."/>
    <s v="Set up a real-time data replication system from Oracle to Databricks."/>
    <m/>
    <m/>
    <s v="C"/>
    <s v="To enable Databricks Lakehouse Federation so data analysts can query an external Oracle database without migrating data, the data engineer should follow these main steps:_x000a_Create a connection in Unity Catalog: Set up a secure connection object in the Unity Catalog metastore that specifies the Oracle database connection details (such as JDBC URL, credentials, and encryption settings). This tells Databricks how to connect to the external Oracle database._x000a_Create a foreign catalog: Using the established connection, create a foreign catalog in Unity Catalog. This catalog will mirror the schemas and tables of the Oracle database within Databricks, making them accessible for querying by Databricks users._x000a_Grant access permissions: Assign the needed Unity Catalog privileges (at the catalog, schema, or table level) to the appropriate data analyst users or groups so that they can query the external Oracle data through the foreign catalog._x000a_Query Oracle tables directly from Databricks: Data analysts can now write SQL queries against the Unity Catalog foreign catalog, which pushes queries down to Oracle and returns results without copying any data into Databricks._x000a_These steps ensure secure, governed, and efficient querying of the external Oracle data source directly from Databricks, leveraging Unity Catalogs access control and lineage capabilitieswithout requiring any data migration."/>
    <m/>
    <m/>
    <m/>
    <n v="1"/>
    <m/>
    <m/>
    <m/>
    <m/>
  </r>
  <r>
    <x v="0"/>
    <n v="1584"/>
    <x v="10"/>
    <n v="44"/>
    <s v="General"/>
    <s v="Conceptual"/>
    <s v="Easy"/>
    <s v="A data engineering team is using Databricks Lakehouse Federation to integrate data from various external sources. They have noticed that some table names are not being imported into the foreign catalog. What could be the reason for this issue?"/>
    <s v="The table names contain case-sensitive identifiers."/>
    <s v="The table names do not comply with Unity Catalog naming rules."/>
    <s v="The tables are exceeding the resource quotas set by Databricks."/>
    <s v="The tables use uppercase letters in their names."/>
    <m/>
    <m/>
    <s v="B"/>
    <s v="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_x000a_Examples include names containing disallowed characters (such as spaces, certain symbols, or backspaces) or names that are not valid in Unity Catalog. These tables will not appear in the foreign catalog, even though they exist in the source system._x000a_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
    <m/>
    <m/>
    <m/>
    <m/>
    <n v="1"/>
    <m/>
    <m/>
    <m/>
  </r>
  <r>
    <x v="0"/>
    <n v="1585"/>
    <x v="10"/>
    <n v="45"/>
    <s v="General"/>
    <s v="Conceptual"/>
    <s v="Easy"/>
    <s v="A data engineer is writing a Databricks notebook that uses both PySpark and SQL. In a %sql cell, they try to reference a Python variable defined earlier, but they get an error. What is the most likely reason?"/>
    <s v="Databricks notebooks only support Scala and SQL, not Python."/>
    <s v="Databricks does not allow using Python variables inside SQL cells directly without using a special syntax."/>
    <s v="Only one programming language is allowed per notebook in Databricks."/>
    <s v="Databricks allows using Python variables in SQL cells directly without any conversion."/>
    <m/>
    <m/>
    <s v="B"/>
    <s v="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
    <m/>
    <m/>
    <m/>
    <m/>
    <n v="1"/>
    <m/>
    <m/>
    <m/>
  </r>
  <r>
    <x v="0"/>
    <n v="1586"/>
    <x v="10"/>
    <n v="46"/>
    <s v="General"/>
    <s v="Conceptual"/>
    <s v="Easy"/>
    <s v="A data engineering team is tasked with setting up a data ingestion pipeline on Databricks. They need to efficiently load a large volume of data incrementally and idempotently from cloud object storage to the data lakehouse. Which Databricks tool should they use for this purpose?"/>
    <s v="Databricks SQL"/>
    <s v="MLflow"/>
    <s v="Auto Loader"/>
    <s v="Delta Live Tables"/>
    <m/>
    <m/>
    <s v="C"/>
    <s v="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_x000a_Idempotency: _x000a_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
    <m/>
    <m/>
    <m/>
    <n v="1"/>
    <m/>
    <m/>
    <m/>
    <m/>
  </r>
  <r>
    <x v="0"/>
    <n v="1587"/>
    <x v="10"/>
    <n v="47"/>
    <s v="General"/>
    <s v="Conceptual"/>
    <s v="Easy"/>
    <s v="A Databricks workspace is integrated with GitHub, and a team of data engineers wants to productionize their Databricks workflows in a repeatable and automated way. Which of the following is the best approach to promote and deploy workloads to production?"/>
    <s v="Manually copy notebooks and workflows to the production environment"/>
    <s v="Use GitHub Actions to deploy a Databricks Asset Bundle (DAB) using the Databricks CLI"/>
    <s v="Use Terraform to export and apply notebook source files directly without Git"/>
    <s v="Export notebooks as HTML and archive them in the production environment"/>
    <m/>
    <m/>
    <s v="B"/>
    <s v="Use GitHub Actions to deploy a Databricks Asset Bundle (DAB) using the Databricks CLI in the options is the most correct answer._x000a_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
    <m/>
    <m/>
    <m/>
    <m/>
    <n v="1"/>
    <m/>
    <m/>
    <m/>
  </r>
  <r>
    <x v="0"/>
    <n v="1588"/>
    <x v="10"/>
    <n v="48"/>
    <s v="General"/>
    <s v="Conceptual"/>
    <s v="Easy"/>
    <s v="A data engineer is tasked with setting up a secure and scalable mechanism to share a subset of Delta tables with external partners who are not on the same Databricks workspace or account. Which Databricks feature should they leverage?"/>
    <s v="Unity Catalog with Delta Sharing"/>
    <s v="Unity Catalog Lineage"/>
    <s v="Databricks Jobs API"/>
    <s v="Mount ADLS folder with access credentials"/>
    <m/>
    <m/>
    <s v="A"/>
    <s v="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_x000a_Delta Sharing supports open protocols and can be configured with Unity Catalog to apply fine-grained access controls. It is the only native and secure method to share data externally in Databricks."/>
    <m/>
    <m/>
    <m/>
    <m/>
    <n v="1"/>
    <m/>
    <m/>
    <m/>
  </r>
  <r>
    <x v="0"/>
    <n v="1589"/>
    <x v="10"/>
    <n v="49"/>
    <s v="General"/>
    <s v="Conceptual"/>
    <s v="Easy"/>
    <s v="How are audit logs saved in the Databricks Data Intelligence Platform by default?"/>
    <s v="Plain text"/>
    <s v="CSV"/>
    <s v="JSON"/>
    <s v="XML"/>
    <m/>
    <m/>
    <s v="C"/>
    <s v="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_x000a_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
    <m/>
    <m/>
    <m/>
    <m/>
    <n v="1"/>
    <m/>
    <m/>
    <m/>
  </r>
  <r>
    <x v="0"/>
    <n v="1590"/>
    <x v="10"/>
    <n v="50"/>
    <s v="General"/>
    <s v="Conceptual"/>
    <s v="Easy"/>
    <s v="If you need to find all dependencies (such as upstream tables, notebooks, jobs) of a data object in Databricks using data lineage, what should you do?"/>
    <s v="Dont use lineage, as it only captures 3 months of data"/>
    <s v="Use data lineage  it captures all table, notebook, job, and pipeline dependencies"/>
    <s v="Manually trace dependencies using queries outside Databricks"/>
    <s v="Use lineage, but it only works for column dependencies"/>
    <m/>
    <m/>
    <s v="B"/>
    <s v="In the Databricks Data Intelligence Platform, Unity Catalogs data lineage feature is the recommended and comprehensive solution for discovering all dependencies of your data objectsincluding tables, columns, notebooks, jobs, and pipelines._x000a_While lineage is retained only for a limited period, it enables real-time, automated tracing of upstream and downstream dependencies for secure governance, impact analysis, and troubleshooting._x000a_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
    <m/>
    <m/>
    <m/>
    <m/>
    <m/>
    <m/>
    <m/>
    <m/>
  </r>
  <r>
    <x v="0"/>
    <n v="1591"/>
    <x v="10"/>
    <n v="51"/>
    <s v="General"/>
    <s v="Conceptual"/>
    <s v="Easy"/>
    <s v="A data engineering team is using a Databricks notebook to process data using Python but needs to perform some advanced statistical analysis using R in the same notebook. How should they proceed?"/>
    <s v="Embed R code within Python code using ′rpy2′ package."/>
    <s v="Open a new notebook dedicated to R and export data from the Python notebook."/>
    <s v="Use the ′%r′ magic command to execute R code directly in the same notebook."/>
    <s v="Use a Databricks connector to send data to an external R environment."/>
    <m/>
    <m/>
    <s v="C"/>
    <s v="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_x000a_Example:_x000a_Use magic commands at the start of each cell:_x000a_Python_x000a_%python_x000a_# Python code for data processing_x000a_processed_df = spark.sql(“SELECT * FROM table“)_x000a_processed_df.createOrReplaceTempView(“temp_table“) # Register as temp table_x000a_R_x000a_%r_x000a_# R code for statistical analysis_x000a_library(SparkR)_x000a_r_df &lt;- sql(“SELECT * FROM temp_table“) # Access temp table"/>
    <m/>
    <m/>
    <m/>
    <m/>
    <m/>
    <m/>
    <m/>
    <m/>
  </r>
  <r>
    <x v="0"/>
    <n v="1592"/>
    <x v="10"/>
    <n v="52"/>
    <s v="General"/>
    <s v="Conceptual"/>
    <s v="Easy"/>
    <s v="A data engineer is tasked with setting up an ETL pipeline using Databricks to process new files as they arrive in a cloud storage directory. Which feature should they use to efficiently handle this task?"/>
    <s v="Lakeflow Declarative Pipelines"/>
    <s v="Auto Loader"/>
    <s v="Delta Lake"/>
    <s v="Databricks Terraform provider"/>
    <m/>
    <m/>
    <s v="B"/>
    <s v="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
    <m/>
    <m/>
    <m/>
    <m/>
    <m/>
    <m/>
    <m/>
    <m/>
  </r>
  <r>
    <x v="0"/>
    <n v="1593"/>
    <x v="10"/>
    <n v="53"/>
    <s v="General"/>
    <s v="Conceptual"/>
    <s v="Easy"/>
    <s v="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
    <s v="Replace .read with .readStream."/>
    <s v="Add a .stream method call after .read."/>
    <s v="Change .format(“cloudFiles“) to .format(“stream“)."/>
    <s v="Add a .stream method after the spark object."/>
    <m/>
    <m/>
    <s v="A"/>
    <s v="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
    <m/>
    <m/>
    <m/>
    <m/>
    <n v="1"/>
    <m/>
    <m/>
    <m/>
  </r>
  <r>
    <x v="0"/>
    <n v="1594"/>
    <x v="10"/>
    <n v="54"/>
    <s v="General"/>
    <s v="Conceptual"/>
    <s v="Easy"/>
    <s v="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
    <s v="Export both datasets to a Delta Lake table in ADLS using scheduled ETL jobs"/>
    <s v="Copy the data from both sources into Databricks and create temporary views"/>
    <s v="Use Databricks Query Federation to directly query the external sources"/>
    <s v="Write separate queries for each source and join the results manually in a notebook"/>
    <m/>
    <m/>
    <s v="C"/>
    <s v="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
    <m/>
    <m/>
    <m/>
    <m/>
    <n v="1"/>
    <m/>
    <m/>
    <m/>
  </r>
  <r>
    <x v="0"/>
    <n v="1595"/>
    <x v="10"/>
    <n v="55"/>
    <s v="General"/>
    <s v="Conceptual"/>
    <s v="Easy"/>
    <s v="You want to ingest a large number of .png image files stored in a cloud object store into Databricks using Auto Loader. Which code snippet below correctly configures the Auto Loader to efficiently ingest only the PNG images?"/>
    <s v="df = spark.readStream.format(“cloudFiles“) \ .option(“cloudFiles.format“, “binaryFile“) \ .option(“pathGlobfilter“, “*.png“) \ .load(““)"/>
    <s v="df = spark.readStream.format(“cloudFiles“) \ .option(“cloudFiles.format“, “csv“) \ .load(““)"/>
    <s v="df = spark.readStream.format(“cloudFiles“) \ .option(“cloudFiles.format“, “binaryFile“) \ .load(“/*.png“)"/>
    <s v="df = spark.readStream.format(“csv“) \ .load(““)"/>
    <m/>
    <m/>
    <s v="A"/>
    <s v="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_x000a_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_x000a_Attempting to use non-binary formats or generic readers (as in some incorrect options) will lead to errors or inefficient data handling. This approach ensures that only relevant files are read and processed, making your pipeline more efficient, scalable, and reliable."/>
    <m/>
    <m/>
    <m/>
    <m/>
    <n v="1"/>
    <m/>
    <m/>
    <m/>
  </r>
  <r>
    <x v="0"/>
    <n v="1596"/>
    <x v="10"/>
    <n v="56"/>
    <s v="General"/>
    <s v="Conceptual"/>
    <s v="Easy"/>
    <s v="There is a dataframe like beow: | Region | Product | Sales | |——–|————-|——-| | North | Books | 100 | | North | Electronics | 200 | | South | Books | 150 | | South | Electronics | 300 | | East | Books | 50 | | East | Electronics | 120 | Which of the following code snippets correctly returns the total sales for each region?"/>
    <s v="df.select(“region“).agg(sum(“sales“).alias(“total_sales“)).show()"/>
    <s v="df.groupBy(“region“).agg(sum(“sales“).alias(“total_sales“)).show()"/>
    <s v="df.groupBy(“region“).sum(“sales“).alias(“total_sales“).show()"/>
    <s v="df.groupBy().agg(sum(“sales“)).show()"/>
    <m/>
    <m/>
    <s v="B"/>
    <s v="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_x000a_df.groupBy(“region“).agg(sum(“sales“).alias(“total_sales“)).show()_x000a_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
    <m/>
    <m/>
    <m/>
    <n v="1"/>
    <m/>
    <m/>
    <m/>
    <m/>
  </r>
  <r>
    <x v="0"/>
    <n v="1597"/>
    <x v="10"/>
    <n v="57"/>
    <s v="General"/>
    <s v="Conceptual"/>
    <s v="Easy"/>
    <s v="A data engineer is querying a managed Delta table that has Predictive I/O Optimization enabled, but query performance is still poor for selective filters on high-cardinality columns. What is the most effective next step to improve performance?"/>
    <s v="Convert the table to an external table and re-run the query"/>
    <s v="Enable Z-Ordering on frequently filtered columns"/>
    <s v="Enable Liquid Clustering and define clustering keys"/>
    <s v="Disable Predictive Optimization and re-enable it manually after running OPTIMIZE"/>
    <m/>
    <m/>
    <s v="C"/>
    <s v="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
    <m/>
    <m/>
    <m/>
    <m/>
    <n v="1"/>
    <m/>
    <m/>
    <m/>
  </r>
  <r>
    <x v="0"/>
    <n v="1598"/>
    <x v="10"/>
    <n v="58"/>
    <s v="General"/>
    <s v="Conceptual"/>
    <s v="Easy"/>
    <s v="Which of the following best describes a common characteristic of the gold layer in the medallion architecture?"/>
    <s v="The gold layer contains raw source data with all its original structure and duplicates"/>
    <s v="The gold layer is normalized, write-optimized, and used primarily for ETL staging"/>
    <s v="The gold layer is denormalized, business-ready, and read-optimized for analytics and reporting"/>
    <s v="The gold layer is used to capture failed records and corrupted data for later remediation"/>
    <m/>
    <m/>
    <s v="C"/>
    <s v="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
    <m/>
    <m/>
    <m/>
    <m/>
    <m/>
    <m/>
    <m/>
    <m/>
  </r>
  <r>
    <x v="0"/>
    <n v="1599"/>
    <x v="10"/>
    <n v="59"/>
    <s v="General"/>
    <s v="Conceptual"/>
    <s v="Easy"/>
    <s v="A data engineer has deployed a multi-task Databricks workflow with the following 3 tasks:_x000a__x000a_Ingest Data_x000a__x000a_Transform Data_x000a__x000a_Generate Report_x000a__x000a_During a scheduled run, the second task fails, causing the third task to be skipped due to dependency failure. After fixing the bug, the engineer wants to re-run only the failed and skipped tasks without re-running the successful Ingest Data task. What should they do?"/>
    <s v="Manually trigger the entire job again using Run Now"/>
    <s v="Use the Repair option and select failed and skipped tasks only"/>
    <s v="Clone the job and re-run it from the beginning"/>
    <s v="Delete the job run history and re-execute from the start"/>
    <m/>
    <m/>
    <s v="B"/>
    <s v="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_x000a__x000a_Therefore, instead of re-running the whole workflow, the engineer should use Repair Run to re-run only the affected tasks."/>
    <m/>
    <m/>
    <m/>
    <m/>
    <m/>
    <m/>
    <m/>
    <m/>
  </r>
  <r>
    <x v="0"/>
    <n v="1600"/>
    <x v="10"/>
    <n v="60"/>
    <s v="General"/>
    <s v="Conceptual"/>
    <s v="Easy"/>
    <s v="Which of the following best captures the key advantages of using Delta Live Tables (DLT) in Databricks?"/>
    <s v="Supports only batch pipelines with SQL-based transformations and schema drift handling"/>
    <s v="Offers CDC tracking, real-time data quality checks via expectations, and unified batch &amp; streaming processing"/>
    <s v="Provides fully manual ETL orchestration, Spark-native notebooks, and file-level schema editing"/>
    <s v="Allows only Python-based pipeline definitions and requires external tools for data validation"/>
    <m/>
    <m/>
    <s v="C"/>
    <s v="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
    <m/>
    <m/>
    <m/>
    <m/>
    <m/>
    <m/>
    <m/>
    <m/>
  </r>
  <r>
    <x v="0"/>
    <n v="1601"/>
    <x v="11"/>
    <n v="1"/>
    <m/>
    <m/>
    <m/>
    <s v="A DLT (Delta Live Tables) pipeline includes:_x000a__x000a_2 datasets defined using STREAMING LIVE TABLE_x000a__x000a_3 datasets defined against Delta Lake table sources using LIVE TABLE_x000a__x000a_The pipeline is configured in Development Mode using Continuous Pipeline Mode. Assuming previously unprocessed data exists and all definitions are valid, what is the expected outcome after clicking Start to update the pipeline?"/>
    <s v="All datasets will be updated at set intervals until the pipeline is shut down. The compute resources will automatically terminate when the pipeline is stopped."/>
    <s v="All datasets will be updated once and the pipeline will shut down. The compute resources will persist to allow for additional testing."/>
    <s v="All datasets will be updated once and the pipeline will shut down. The compute resources will be terminated automatically."/>
    <s v="All datasets will be updated at set intervals until the pipeline is shut down. The compute resources will persist even after stopping the pipeline to allow additional testing."/>
    <m/>
    <m/>
    <s v="D"/>
    <s v="When a DLT pipeline is run in Continuous Mode under Development Mode:_x000a__x000a_Continuous Mode:_x000a__x000a_Both streaming (STREAMING LIVE TABLE) and batch (LIVE TABLE) datasets are continuously updated._x000a__x000a_The pipeline continues to process data at set intervals until manually stopped._x000a__x000a_Development Mode:_x000a__x000a_Compute resources persist after stopping the pipeline._x000a__x000a_This allows engineers to inspect results, debug, and rerun transformations without restarting the entire environment._x000a__x000a_Production Mode contrast:_x000a__x000a_Compute resources are terminated automatically when the pipeline is stopped."/>
    <m/>
    <m/>
    <m/>
    <m/>
    <n v="1"/>
    <m/>
    <m/>
    <m/>
  </r>
  <r>
    <x v="0"/>
    <n v="1602"/>
    <x v="11"/>
    <n v="2"/>
    <m/>
    <m/>
    <m/>
    <s v="A data engineer needs to share data from one Databricks workspace to another Databricks workspace used by an external team/department. What is the first piece of information you should ask them to enable secure sharing?"/>
    <s v="IP address of the Unity Catalog cluster."/>
    <s v="Metastore identifier of the Unity Catalog."/>
    <s v="Workspace password."/>
    <s v="Personal access token (PAT) of the recipient."/>
    <m/>
    <m/>
    <s v="B"/>
    <s v="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
    <m/>
    <m/>
    <m/>
    <n v="1"/>
    <m/>
    <m/>
    <m/>
    <m/>
  </r>
  <r>
    <x v="0"/>
    <n v="1603"/>
    <x v="11"/>
    <n v="3"/>
    <m/>
    <m/>
    <m/>
    <s v="You are ingesting streaming data from Kafka into Databricks and want to maintain the full history of the data while keeping storage costs low. In which layer should you store this data?"/>
    <s v="Raw layer"/>
    <s v="Bronze layer"/>
    <s v="Silver layer"/>
    <s v="Gold layer"/>
    <m/>
    <m/>
    <s v="B"/>
    <s v="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
    <m/>
    <m/>
    <m/>
    <m/>
    <m/>
    <m/>
    <m/>
    <m/>
  </r>
  <r>
    <x v="0"/>
    <n v="1604"/>
    <x v="11"/>
    <n v="4"/>
    <m/>
    <m/>
    <m/>
    <s v="Which of the following best describes Auto Loader in Databricks?"/>
    <s v="Supports batch ingestion only and schema evolution, but not streaming."/>
    <s v="Supports both batch and streaming ingestion, but does not support schema evolution."/>
    <s v="Supports streaming ingestion only, along with schema evolution, but not batch."/>
    <s v="Supports both batch and streaming ingestion, and also supports schema evolution."/>
    <m/>
    <m/>
    <s v="D"/>
    <s v="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
    <m/>
    <m/>
    <m/>
    <m/>
    <m/>
    <m/>
    <m/>
    <m/>
  </r>
  <r>
    <x v="0"/>
    <n v="1605"/>
    <x v="11"/>
    <n v="5"/>
    <m/>
    <m/>
    <m/>
    <s v="A Databricks job keeps failing, and the Spark UI shows the following error: java.lang.OutOfMemoryError: Java heap space What is the most appropriate action to fix this issue?"/>
    <s v="Increase the worker node memory or use a larger cluster instance type."/>
    <s v="Add more partitions to increase parallelism without changing memory."/>
    <s v="Ignore the error and re-run the job."/>
    <s v="Switch the cluster to serverless mode."/>
    <m/>
    <m/>
    <s v="A"/>
    <s v="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
    <m/>
    <m/>
    <m/>
    <m/>
    <n v="1"/>
    <m/>
    <m/>
    <m/>
  </r>
  <r>
    <x v="0"/>
    <n v="1606"/>
    <x v="11"/>
    <n v="6"/>
    <m/>
    <m/>
    <m/>
    <s v="In the medallion architecture, which two of the following correctly describe the gold layer?"/>
    <s v="Normalized"/>
    <s v="Denormalized"/>
    <s v="Read-optimized"/>
    <s v="Legacy of history"/>
    <s v="Raw format"/>
    <m/>
    <s v="B,C"/>
    <s v="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
    <m/>
    <m/>
    <m/>
    <n v="1"/>
    <m/>
    <m/>
    <m/>
    <m/>
  </r>
  <r>
    <x v="0"/>
    <n v="1607"/>
    <x v="11"/>
    <n v="7"/>
    <m/>
    <m/>
    <m/>
    <s v="A PySpark job is failing because a function breaks whenever the input data type changes. What is the best way to find out what data type is being passed so you can identify the issue?"/>
    <s v="Use a variable watcher tool to track the variable during execution."/>
    <s v="Add print() statements or log the schema/data type before the function is called."/>
    <s v="Check the Spark UI for the data type information."/>
    <s v="Set a breakpoint in the function to inspect the variable."/>
    <m/>
    <m/>
    <s v="B"/>
    <s v="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_x000a_You may use below commands in the print statements:_x000a_df.printSchema()_x000a_print(df.dtypes)"/>
    <m/>
    <m/>
    <m/>
    <n v="1"/>
    <m/>
    <m/>
    <m/>
    <m/>
  </r>
  <r>
    <x v="0"/>
    <n v="1608"/>
    <x v="11"/>
    <n v="8"/>
    <m/>
    <m/>
    <m/>
    <s v="Given a PySpark DataFrame df with columns region and sales, which code correctly calculates total sales, average sales, and total number of sales per region?"/>
    <s v="df.groupBy(“region“).agg( sum(“sales“).alias(“total_sales“), avg(“sales“).alias(“avg_sales“), count(“sales“).alias(“total_count“) ).show()"/>
    <s v="df.groupBy().agg( sum(“sales“).alias(“total_sales“), avg(“sales“).alias(“avg_sales“), count(“sales“).alias(“total_count“) ).show()"/>
    <s v="df.groupBy(“region“).select( sum(“sales“).alias(“total_sales“), avg(“sales“).alias(“avg_sales“), count(“sales“).alias(“total_count“) ).show()"/>
    <s v="df.agg( sum(“sales“).alias(“total_sales“), avg(“sales“).alias(“avg_sales“), count(“sales“).alias(“total_count“) ).show()"/>
    <m/>
    <m/>
    <s v="A"/>
    <s v="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
    <m/>
    <m/>
    <m/>
    <m/>
    <n v="1"/>
    <m/>
    <m/>
    <m/>
  </r>
  <r>
    <x v="0"/>
    <n v="1609"/>
    <x v="11"/>
    <n v="9"/>
    <m/>
    <m/>
    <m/>
    <s v="You need to ingest data from a JSON file in Amazon S3 (s3://my-bucket/data.json) without Auto Loader and write it as a DLT table. Which code correctly implements this?"/>
    <s v="import dlt from pyspark.sql import functions as F @dlt.table(name=“events_bronze“) def load_events(): return spark.read.format(“parquet“).load(“s3://my-bucket/data.json“)"/>
    <s v="import dlt from pyspark.sql import functions as F @dlt.table(name=“events_bronze“) def load_events(): return spark.read.format(“csv“).load(“s3://my-bucket/data.json“)"/>
    <s v="import dlt from pyspark.sql import functions as F @dlt.table(name=“events_bronze“) def load_events(): return spark.read.format(“json“).load(“s3://my-bucket/data.json“)"/>
    <s v="import dlt from pyspark.sql import functions as F @dlt.table(name=“events_bronze“) def load_events(): return spark.read.json(“s3://my-bucket/data.json“)"/>
    <m/>
    <m/>
    <s v="C"/>
    <s v="For DLT without Auto Loader, use an annotated function with @dlt.table that returns a DataFrame created via spark.read.format(“json“).load(“s3://…“). The explicit format call (Option C) is the expected, consistent pattern across file formats and is the safest answer._x000a_Note:_x000a_Both of the below options are technically correct:_x000a_spark.read.format(“json“).load(“s3://my-bucket/data.json“)_x000a_and_x000a_return spark.read.json(“s3://my-bucket/data.json“)_x000a_If your use case is simple, and youre just loading standard JSON from S3, either syntax worksthey are functionally equivalent for basic reads._x000a_If you plan to customize your data loading (set .option() parameters, possibly change formats in future), or want consistency in a larger codebase, prefer the first option."/>
    <m/>
    <m/>
    <m/>
    <m/>
    <n v="1"/>
    <m/>
    <m/>
    <m/>
  </r>
  <r>
    <x v="0"/>
    <n v="1610"/>
    <x v="11"/>
    <n v="10"/>
    <m/>
    <m/>
    <m/>
    <s v="You need to identify objects and dependencies (tables/views/columns, notebooks, jobs, and dashboards) across your Databricks lakehouse. Which statement about using Unity Catalog data lineage is correct?"/>
    <s v="Dont use lineage; it only keeps data for 3 months."/>
    <s v="Databricks Documentation"/>
    <s v="Use lineage only for reports/dashboards."/>
    <s v="Use lineage only for notebooks."/>
    <s v="Use Unity Catalog lineage to analyze dependencies across reports, notebooks, jobs, SQL queries, and tables/columns (via Catalog Explorer or lineage system tables)."/>
    <m/>
    <s v="E"/>
    <s v="For end-to-end dependency analysis, use Unity Catalog data lineage. It captures lineage across tables/views/columns and workspace artifacts (notebooks, jobs, dashboards, SQL queries), visualizes it in Catalog Explorer, and exposes it via lineage system tables for programmatic queries._x000a_The correct statement about using Unity Catalog data lineage in Databricks Lakehouse is:_x000a_Unity Catalog automatically captures and visualizes data lineage for tables, views, columns, notebooks, jobs, and dashboards across your lakehouse environmentdown to the column levelletting you track dependencies and relationships in near real-time._x000a_You can explore lineage in Catalog Explorer, system lineage tables, or via the REST API._x000a_Unity Catalog lineage links objects across all workspaces attached to the same metastore. You can see how data flows between tables/views, which notebooks, jobs, and dashboards consume or generate that data, and inspect column-level transformations._x000a_Permissions apply: lineage is only visible for objects you have at least BROWSE access to, and workspace-level details (like notebooks/jobs in other workspaces) are masked unless youre logged into that specific workspace._x000a_Lineage provides interactive graphs, showing upstream and downstream dependencies between objects, which supports governance, debugging, and impact analysis._x000a_Summary:_x000a_Unity Catalog lineage gives you a unified, multi-object view of dependencies (tables, views, columns, notebooks, jobs, dashboards), automatically tracked and visualized for easy auditing and governance across the Databricks lakehouse."/>
    <m/>
    <m/>
    <m/>
    <m/>
    <n v="1"/>
    <m/>
    <m/>
    <m/>
  </r>
  <r>
    <x v="0"/>
    <n v="1611"/>
    <x v="11"/>
    <n v="11"/>
    <m/>
    <m/>
    <m/>
    <s v="You have a Delta table partitioned by date with a high-cardinality customer_id. Most queries filter by customer_id first, then by date. What is the best layout change to optimize reads?"/>
    <s v="Enable Liquid Clustering on (customer_id, date) and drop partitions."/>
    <s v="Enable Liquid Clustering on (customer_id) but keep date partitioning."/>
    <s v="Keep only date partitioning; do not use Liquid Clustering."/>
    <s v="Enable Liquid Clustering on (date) only and drop partitions."/>
    <m/>
    <m/>
    <s v="A"/>
    <s v="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_x000a_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
    <m/>
    <m/>
    <m/>
    <n v="1"/>
    <m/>
    <m/>
    <m/>
    <m/>
  </r>
  <r>
    <x v="0"/>
    <n v="1612"/>
    <x v="11"/>
    <n v="12"/>
    <m/>
    <m/>
    <m/>
    <s v="You must grant read access to shared Delta tables for an external non-Databricks workspace. Which authentication approach is the best practice for cross-org access?"/>
    <s v="Generate a long-lived bearer token and share it with the recipient."/>
    <s v="Use OIDC federation to issue short-lived Databricks OAuth tokens based on the recipients IdP JWT."/>
    <s v="Share the Databricks workspace password with the recipient."/>
    <s v="Provide an SSH key for cluster nodes to the recipient."/>
    <m/>
    <m/>
    <s v="B"/>
    <s v="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
    <m/>
    <m/>
    <m/>
    <m/>
    <n v="1"/>
    <m/>
    <m/>
    <m/>
  </r>
  <r>
    <x v="0"/>
    <n v="1613"/>
    <x v="11"/>
    <n v="13"/>
    <m/>
    <m/>
    <m/>
    <s v="In a scenario where a data engineering team is utilizing Databricks for processing a large dataset with complex transformations, which engine should they leverage to maximize performance, and why?"/>
    <s v="Use the default Python interpreter for processing data."/>
    <s v="Enable Photon engine for enhanced query performance."/>
    <s v="Use Apache Hive for its compatibility with SQL."/>
    <s v="Use Apache Spark for its distributed processing capabilities."/>
    <m/>
    <m/>
    <s v="B"/>
    <s v="The Photon engine in Databricks is designed for enhanced performance, especially for SQL workloads, offering vectorized execution and other optimizations that make it ideal for processing large datasets with complex transformations._x000a_Why choose Photon?_x000a_Photon is a native vectorized execution engine designed specifically for Databricks, and is optimized for both SQL workloads and many Spark operations._x000a_It performs computations using vectorized operations at the CPU hardware level, which is highly efficient for analytically intensive and large-scale transformations._x000a_Photon offers superior query performance: it can be 2x-3x faster (sometimes more) than traditional Spark engines for batch and streaming workloads involving joins, aggregations, window functions, and other complex SQL operations."/>
    <m/>
    <m/>
    <m/>
    <n v="1"/>
    <m/>
    <m/>
    <m/>
    <m/>
  </r>
  <r>
    <x v="0"/>
    <n v="1614"/>
    <x v="11"/>
    <n v="14"/>
    <m/>
    <m/>
    <m/>
    <s v="A new data-analyst group must have read-only access to specific schema in Unity Catalog. What minimum privileges should you grant so they can query the tables in a particula schema but cannot create/modify anything?"/>
    <s v="SELECT only on the tables"/>
    <s v="USE CATALOG on the catalog + USE SCHEMA on the schema + SELECT on the tables/views"/>
    <s v="CREATE TABLE, MODIFY, and SELECT on the schema."/>
    <s v="OWNERSHIP on the schema"/>
    <m/>
    <m/>
    <s v="B"/>
    <s v="To give analysts read-only access, grant USE CATALOG (on the catalog), USE SCHEMA (on the schema), and SELECT (on the specific tables or views). Do not grant create/modify/ownership privileges. This satisfies dependency checks while preventing writes._x000a_GRANT USE CATALOG ON CATALOG finance TO ′group data_analysts′;_x000a_GRANT USE SCHEMA ON SCHEMA finance.bi TO ′group data_analysts′;_x000a_GRANT SELECT ON ALL VIEWS IN SCHEMA finance.bi TO ′group data_analysts′;_x000a_GRANT SELECT ON ALL TABLES IN SCHEMA finance.bi TO ′group data_analysts′;"/>
    <m/>
    <m/>
    <m/>
    <m/>
    <n v="1"/>
    <m/>
    <m/>
    <m/>
  </r>
  <r>
    <x v="0"/>
    <n v="1615"/>
    <x v="11"/>
    <n v="15"/>
    <m/>
    <m/>
    <m/>
    <s v="In Unity Catalog, a team needs write access to an existing table in the catalog manufacturing, schema quality. What is the minimum set of grants you should give to the group manufacting-team?"/>
    <s v="GRANT USE CATALOG ON CATALOG manufacturing TO ′manufacting-team′; GRANT USE SCHEMA ON SCHEMA manufacturing.quality TO ′manufacting-team′; GRANT MODIFY ON TABLE manufacturing.quality. TO ′manufacting-team′;"/>
    <s v="GRANT USE CATALOG ON CATALOG manufacturing TO ′manufacting-team′; GRANT SELECT ON TABLE manufacturing.quality. TO ′manufacting-team′; GRANT READ_METADATA ON TABLE manufacturing.quality. TO ′manufacting-team′;"/>
    <s v="GRANT OWNERSHIP ON SCHEMA manufacturing.quality TO ′manufacting-team′;"/>
    <s v="GRANT USE CATALOG ON CATALOG manufacturing TO ′manufacting-team′; GRANT USE SCHEMA ON SCHEMA manufacturing.quality TO ′manufacting-team′; GRANT CREATE TABLE ON SCHEMA manufacturing.quality TO ′manufacting-team′;"/>
    <m/>
    <m/>
    <s v="A"/>
    <s v="To enable writes to an existing table with least privilege, grant USE CATALOG, USE SCHEMA, and MODIFY on that table to the manufacting-team. Avoid broader privileges like OWNERSHIP or schema-level CREATE TABLE unless theyre explicitly required."/>
    <m/>
    <m/>
    <m/>
    <m/>
    <m/>
    <m/>
    <m/>
    <m/>
  </r>
  <r>
    <x v="0"/>
    <n v="1616"/>
    <x v="11"/>
    <n v="16"/>
    <m/>
    <m/>
    <m/>
    <s v="You need to share tables and views between internal and external users. Internal users should have read/write access. External users should have read-only access. What is the most suitable approach?"/>
    <s v="Set up Delta Sharing with read-only access for external users, and grant read/write permissions directly to internal users in Unity Catalog."/>
    <s v="Grant both internal and external users read/write access via Delta Sharing."/>
    <s v="Use Delta Sharing for internal users and direct Unity Catalog access for external users."/>
    <s v="Export tables to files and share them with external users via cloud storage."/>
    <m/>
    <m/>
    <s v="A"/>
    <s v="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
    <m/>
    <m/>
    <m/>
    <m/>
    <n v="1"/>
    <m/>
    <m/>
    <m/>
  </r>
  <r>
    <x v="0"/>
    <n v="1617"/>
    <x v="11"/>
    <n v="17"/>
    <m/>
    <m/>
    <m/>
    <s v="A new data engineering team team has been assigned to an ELT project. The new data engineering team will need full privileges on the table sales to fully manage the project. Which command can be used to grant full permissions on the database to the new data engineering team?"/>
    <s v="GRANT SELECT ON TABLE sales TO team;"/>
    <s v="GRANT USAGE ON TABLE sales TO team;"/>
    <s v="GRANT ALL PRIVILEGES ON TABLE team TO sales;"/>
    <s v="GRANT ALL PRIVILEGES ON TABLE sales TO team;"/>
    <m/>
    <m/>
    <s v="D"/>
    <s v="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
    <m/>
    <m/>
    <m/>
    <m/>
    <m/>
    <m/>
    <m/>
    <s v="ELT"/>
  </r>
  <r>
    <x v="0"/>
    <n v="1618"/>
    <x v="11"/>
    <n v="18"/>
    <m/>
    <m/>
    <m/>
    <s v="In Databricks Delta Live Tables (DLT), what is the key difference between defining a LIVE TABLE and a STREAMING TABLE?"/>
    <s v="LIVE TABLE continuously ingests data in real-time, while STREAMING TABLE only works with batch data."/>
    <s v="LIVE TABLE may recompute the entire dataset on each update, while STREAMING TABLE processes only new or changed data since the last update."/>
    <s v="STREAMING TABLE requires manual pipeline management, while LIVE TABLE enables full automation."/>
    <s v="STREAMING TABLEs cannot be queried by downstream tables in a pipeline, while LIVE TABLEs can."/>
    <m/>
    <m/>
    <s v="A"/>
    <s v="In Delta Live Tables (DLT), understanding the difference between LIVE TABLE and STREAMING TABLE is fundamental to DLT:_x000a_LIVE TABLE behaves similarly to a materialized view. It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19"/>
    <x v="11"/>
    <n v="19"/>
    <m/>
    <m/>
    <m/>
    <s v="Which of the below options is correct about the medallion layers?"/>
    <s v="Raw layer: An official medallion layer used for BI dashboards; data is stored as CSV and frequently overwritten for freshness."/>
    <s v="Gold layer: Highly normalized and optimized for fast writes during ETL; not intended for analytics."/>
    <s v="Silver layer: Exact copy of source with no cleaning or enrichment; schema never changes and its kept only for long-term archiving."/>
    <s v="Bronze layer: Data is kept very close to the source (column names/types largely preserved) with minimal transformations and stored in Delta format."/>
    <m/>
    <m/>
    <s v="D"/>
    <s v="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
    <m/>
    <m/>
    <m/>
    <m/>
    <m/>
    <m/>
    <m/>
    <m/>
  </r>
  <r>
    <x v="0"/>
    <n v="1620"/>
    <x v="11"/>
    <n v="20"/>
    <m/>
    <m/>
    <m/>
    <s v="How do you calculate the average value of the “salary“ column grouped by “department“ in PySpark?"/>
    <s v="df.groupBy(“department“).avg(“salary“)"/>
    <s v="df.groupBy(“department“).sum(“salary“)"/>
    <s v="df.groupBy(“department“).count(“salary“)"/>
    <s v="df.groupBy(“department“).max(“salary“)"/>
    <m/>
    <m/>
    <s v="A"/>
    <s v="df.groupBy(“department“).avg(“salary“) is the correct option._x000a_Example:_x000a_from pyspark.sql.functions import avg_x000a_data = [_x000a_    (1, “Engineering“, 70000),_x000a_    (2, “Marketing“, 50000),_x000a_    (3, “Engineering“, 80000),_x000a_    (4, “HR“, 45000),_x000a_    (5, “Marketing“, 55000)_x000a_]_x000a_columns = [“ID“, “department“, “salary“]_x000a_df = spark.createDataFrame(data, columns)_x000a_df.show()_x000a_df.groupBy(“department“).avg(“salary“).show()_x000a_Output:_x000a_+—+———–+——+_x000a_| ID| department|salary|_x000a_+—+———–+——+_x000a_| 1|Engineering| 70000|_x000a_| 2| Marketing| 50000|_x000a_| 3|Engineering| 80000|_x000a_| 4| HR| 45000|_x000a_| 5| Marketing| 55000|_x000a_+—+———–+——+_x000a_+———–+———–+_x000a_| department|avg(salary)|_x000a_+———–+———–+_x000a_|Engineering| 75000.0|_x000a_| Marketing| 52500.0|_x000a_| HR| 45000.0|_x000a_+———–+———–+"/>
    <m/>
    <m/>
    <m/>
    <m/>
    <m/>
    <m/>
    <m/>
    <m/>
  </r>
  <r>
    <x v="0"/>
    <n v="1621"/>
    <x v="11"/>
    <n v="21"/>
    <m/>
    <m/>
    <m/>
    <s v="You have the following DataFrame representing store sales:_x000a_df = spark.createDataFrame([_x000a_(“Store1“, “Electronics“, 2000),_x000a_(“Store1“, “Clothing“, 1500),_x000a_(“Store2“, “Electronics“, 3000),_x000a_(“Store2“, “Clothing“, 2500),_x000a_(“Store3“, “Electronics“, 1000),_x000a_(“Store3“, “Clothing“, 1200)_x000a_], [“Store“, “Category“, “Sales“])_x000a_You want to group the data by Store and calculate the following:_x000a_Total sales for each store._x000a_Maximum sales for any category in each store._x000a_Count of rows for each store._x000a_Which of the following code snippets will achieve this?"/>
    <s v=" import pyspark.sql.functions as F_x000a_df.groupBy(“Category“).agg(_x000a_    F.sum(“Sales“).alias(“TotalSales“),_x000a_    F.max(“Sales“).alias(“MaxSales“),_x000a_    F.count(“Category“).alias(“CategoryCount“)_x000a_).show()"/>
    <s v="import pyspark.sql.functions as F_x000a_df.groupBy(“Store“).agg(_x000a_    F.sum(“Sales“).alias(“TotalSales“),_x000a_    F.max(“Sales“).alias(“MaxSales“),_x000a_    F.count(“Category“).alias(“RowCount“)_x000a_).show()"/>
    <s v="import pyspark.sql.functions as F_x000a_df.groupBy(“Store“, “Category“).agg(_x000a_    F.sum(“Sales“).alias(“TotalSales“),_x000a_    F.max(“Sales“).alias(“MaxSales“)_x000a_).show()"/>
    <s v="import pyspark.sql.functions as F_x000a_df.groupBy(“Store“).agg(_x000a_    F.sum(“Sales“).alias(“TotalSales“),_x000a_    F.countDistinct(“Category“).alias(“CategoryCount“),_x000a_    F.avg(“Sales“).alias(“AvgSales“)_x000a_).show()"/>
    <m/>
    <m/>
    <s v="B"/>
    <s v="Below option is the correct one:_x000a_import pyspark.sql.functions as F_x000a_df.groupBy(“Store“).agg(_x000a_    F.sum(“Sales“).alias(“TotalSales“),_x000a_    F.max(“Sales“).alias(“MaxSales“),_x000a_    F.count(“Category“).alias(“RowCount“)_x000a_).show()_x000a_Use groupBy with agg to calculate multiple aggregations for grouped data._x000a_Ensure the grouping column (Store) matches the scenario requirements._x000a_Use aggregate functions like sum, max, and count to calculate the desired metrics._x000a_Example:_x000a_import pyspark.sql.functions as F_x000a_df = spark.createDataFrame([_x000a_    (“Store1“, “Electronics“, 2000),_x000a_    (“Store1“, “Clothing“, 1500),_x000a_    (“Store2“, “Electronics“, 3000),_x000a_    (“Store2“, “Clothing“, 2500),_x000a_    (“Store3“, “Electronics“, 1000),_x000a_    (“Store3“, “Clothing“, 1200)_x000a_], [“Store“, “Category“, “Sales“])_x000a_df.show()_x000a_df.groupBy(“Store“).agg(_x000a_    F.sum(“Sales“).alias(“TotalSales“),_x000a_    F.max(“Sales“).alias(“MaxSales“),_x000a_    F.count(“Category“).alias(“RowCount“)_x000a_).show()_x000a_Output:_x000a_+——+———–+—–+_x000a_| Store| Category|Sales|_x000a_+——+———–+—–+_x000a_|Store1|Electronics| 2000|_x000a_|Store1| Clothing| 1500|_x000a_|Store2|Electronics| 3000|_x000a_|Store2| Clothing| 2500|_x000a_|Store3|Electronics| 1000|_x000a_|Store3| Clothing| 1200|_x000a_+——+———–+—–+_x000a_+——+———-+——–+——–+_x000a_| Store|TotalSales|MaxSales|RowCount|_x000a_+——+———-+——–+——–+_x000a_|Store1| 3500| 2000| 2|_x000a_|Store2| 5500| 3000| 2|_x000a_|Store3| 2200| 1200| 2|_x000a_+——+———-+——–+——–+"/>
    <m/>
    <m/>
    <m/>
    <m/>
    <n v="1"/>
    <m/>
    <m/>
    <m/>
  </r>
  <r>
    <x v="0"/>
    <n v="1622"/>
    <x v="11"/>
    <n v="22"/>
    <m/>
    <m/>
    <m/>
    <s v="Your gold table sales_gold is being used by a powers BI dashboards that commonly filter on customer_id and order_date. Due to frequent small writes, the table has many small files and reads are slow. Which command best improves read performance while also compacting files?"/>
    <s v="OPTIMIZE sales_gold ZORDER BY (customer_id, order_date);"/>
    <s v="VACUUM sales_gold;"/>
    <s v="ANALYZE TABLE sales_gold COMPUTE STATISTICS;"/>
    <s v="OPTIMIZE sales_gold;"/>
    <m/>
    <m/>
    <s v="A"/>
    <s v="OPTIMIZE … ZORDER BY(…):_x000a__x000a_Compacts small files, reducing file overhead_x000a__x000a_Reorders data based on the specified columns (customer_id, order_date)_x000a__x000a_Improves predicate pushdown and read performance for queries filtering on these columns_x000a__x000a_VACUUM:_x000a__x000a_Cleans up old files, but does not improve read performance or optimize file layout_x000a__x000a_ANALYZE TABLE COMPUTE STATISTICS:_x000a__x000a_Updates table statistics for the optimizer, but does not compact files_x000a__x000a_OPTIMIZE without Z-Order:_x000a__x000a_Compacts files, but does not maximize data skipping for frequently filtered columns"/>
    <m/>
    <m/>
    <m/>
    <m/>
    <m/>
    <m/>
    <m/>
    <m/>
  </r>
  <r>
    <x v="0"/>
    <n v="1623"/>
    <x v="11"/>
    <n v="23"/>
    <m/>
    <m/>
    <m/>
    <s v="A data engineer needs to perform data processing in a Databricks notebook using both Python and SQL. They want to create a DataFrame using Python and process it using SQL in the same notebook. What is a valid approach to achieve this?"/>
    <s v="Convert the DataFrame to a temporary view and then use SQL magic commands to query it."/>
    <s v="Use the %run magic command to execute SQL code in the Python cell."/>
    <s v="Import the DataFrame directly into SQL using a special import statement."/>
    <s v="Switch the notebook‘s language to SQL and access the DataFrame directly."/>
    <m/>
    <m/>
    <s v="A"/>
    <s v="A valid approach for processing data with both Python and SQL in the same Databricks notebook is to first create a DataFrame using Python, then register it as a temporary view, and finally run SQL queries against that view. For example, in a Python cell, you can create your DataFrame:_x000a_data = [(1, “Alice“), (2, “Bob“)]_x000a_columns = [“id“, “name“]_x000a_df = spark.createDataFrame(data, columns)_x000a_df.createOrReplaceTempView(“people_view“)_x000a_Then, in a SQL cell (or using spark.sql() in Python), you can process the DataFrame with SQL:_x000a_%sql_x000a_SELECT * FROM people_view WHERE id = 1"/>
    <m/>
    <m/>
    <m/>
    <n v="1"/>
    <m/>
    <m/>
    <m/>
    <m/>
  </r>
  <r>
    <x v="0"/>
    <n v="1624"/>
    <x v="11"/>
    <n v="24"/>
    <m/>
    <m/>
    <m/>
    <s v="You need to extract data from a directory of Parquet files stored in an S3 bucket and load it into a Delta Lake table. Which of the following steps should you take as part of your ETL pipeline?"/>
    <s v="Create a new Delta Lake table from an empty DataFrame."/>
    <s v="Use Databricks SQL to extract data from Parquet files and insert into Delta Lake."/>
    <s v="Use the COPY INTO command to load data directly from S3 into a Delta table."/>
    <s v="Manually copy files from S3 to a local directory and load them using Spark."/>
    <m/>
    <m/>
    <s v="C"/>
    <s v="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_x000a_COPY INTO my_delta_table_x000a_FROM ‘s3://my-bucket/path/to/parquet/‘_x000a_FILEFORMAT = PARQUET_x000a_PATTERN = ‘*.parquet‘;"/>
    <m/>
    <m/>
    <m/>
    <m/>
    <m/>
    <m/>
    <m/>
    <m/>
  </r>
  <r>
    <x v="0"/>
    <n v="1625"/>
    <x v="11"/>
    <n v="25"/>
    <m/>
    <m/>
    <m/>
    <s v="While inspecting the directory structure of Delta Lake files, a data engineer notices multiple ‘_delta_log‘ directories. What is the primary purpose of these directories?"/>
    <s v="To store the actual data files"/>
    <s v="To maintain a version history of the table"/>
    <s v="To store backup copies of data"/>
    <s v="To organize data into partitions"/>
    <m/>
    <m/>
    <s v="B"/>
    <s v="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_x000a_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_x000a_When a table is queried, Spark reads the transaction log to reconstruct the current state of the table, ensuring users always see a consistent and up-to-date view of the data, even with concurrent reads and writes."/>
    <m/>
    <m/>
    <m/>
    <m/>
    <n v="1"/>
    <m/>
    <m/>
    <m/>
  </r>
  <r>
    <x v="0"/>
    <n v="1626"/>
    <x v="11"/>
    <n v="26"/>
    <m/>
    <m/>
    <m/>
    <s v="A data engineering team is tasked with converting a column ‘event_time‘ from a string format ‘yyyy-MM-dd HH:mm:ss‘ to a timestamp in Databricks. They want to ensure that any malformed timestamps return NULL instead of raising an error. Which function should they use?"/>
    <s v="CAST(event_time AS TIMESTAMP)"/>
    <s v="TO_TIMESTAMP(event_time, ‘yyyy-MM-dd HH:mm:ss‘)"/>
    <s v="try_to_timestamp(event_time)"/>
    <s v="STR_TO_TIMESTAMP(event_time, ‘yyyy-MM-dd HH:mm:ss‘)"/>
    <m/>
    <m/>
    <s v="C"/>
    <s v="Correct_x000a_Option C. try_to_timestamp(event_time)_x000a__x000a_In Databricks SQL, try_to_timestamp() attempts to convert a string into a timestamp._x000a_If the string is malformed or does not match the expected format, it safely returns NULL instead of raising an error._x000a_Correct because the requirement is to avoid errors and return NULL for invalid values._x000a_Incorrect_x000a_Option A. CAST(event_time AS TIMESTAMP)_x000a__x000a_CAST will attempt conversion but raises an error if the string is malformed._x000a_Incorrect because it does not meet the requirement of returning NULL for invalid timestamps._x000a_Option B. TO_TIMESTAMP(event_time, 'yyyy-MM-dd HH:mm:ss')_x000a__x000a_TO_TIMESTAMP converts strings to timestamps using a specified format._x000a_However, if the input string is malformed, it raises an error instead of returning NULL._x000a_Incorrect because it fails the requirement for safe handling of bad data._x000a_Option D. STR_TO_TIMESTAMP(event_time, 'yyyy-MM-dd HH:mm:ss')_x000a__x000a_STR_TO_TIMESTAMP is not a valid Databricks SQL function (it exists in MySQL, not Databricks)."/>
    <m/>
    <m/>
    <m/>
    <n v="1"/>
    <m/>
    <m/>
    <m/>
    <m/>
  </r>
  <r>
    <x v="0"/>
    <n v="1627"/>
    <x v="11"/>
    <n v="27"/>
    <m/>
    <m/>
    <m/>
    <s v="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
    <s v="All datasets will be updated at set intervals until the pipeline is shut down.The compute resources will persist after the pipeline is stopped to allow for additional testing."/>
    <s v="All datasets will be updated once and the pipeline will shut down. The compute resources will be terminated."/>
    <s v="All datasets will be updated at set intervals until the pipeline is shut down.The compute resources will be deployed for the update and terminated when the pipeline is stopped."/>
    <s v="All datasets will be updated once and the pipeline will shut down. The compute resources will persist to allow for additional testing."/>
    <m/>
    <m/>
    <s v="D"/>
    <s v="Correct _x000a_Option D. All datasets will be updated once and the pipeline will shut down. The compute resources will persist to allow for additional testing_x000a__x000a_Reason: In Triggered Pipeline Mode with development mode, the pipeline runs once to process available data (including previously unprocessed data)._x000a_After completion, the pipeline shuts down, but compute resources remain available for debugging and testing._x000a_This behavior is specific to development mode, which is designed for iterative testing rather than continuous production workloads._x000a_Incorrect _x000a_Option A. Updated at set intervals, compute persists after stop_x000a__x000a_Incorrect because Triggered mode does not run at intervals; it executes once per trigger._x000a_Interval updates are a feature of Continuous mode, not Triggered mode._x000a_Option B. Updated once, compute terminated_x000a__x000a_Incorrect because in development mode, compute resources are not terminated immediately. They persist for testing._x000a_Termination happens in production mode, not development mode._x000a_Option C. Updated at set intervals, compute terminated when stopped_x000a__x000a_Incorrect because again, Triggered mode does not run at intervals._x000a_Also, compute termination is not the behavior in development mode."/>
    <m/>
    <m/>
    <m/>
    <n v="1"/>
    <n v="1"/>
    <m/>
    <m/>
    <m/>
  </r>
  <r>
    <x v="0"/>
    <n v="1628"/>
    <x v="11"/>
    <n v="28"/>
    <m/>
    <m/>
    <m/>
    <s v="A company needs to share data between two systems ‘ one on AWS and another on Azure ‘ while keeping egress costs minimal. Which approach is most suitable?"/>
    <s v="Set up a VPN connection between the two systems."/>
    <s v="Use Cloudflare R2 for cross-cloud storage."/>
    <s v="Use Delta Sharing to share data without replication."/>
    <s v="Generate read-only signed URLs for the files."/>
    <m/>
    <m/>
    <s v="C"/>
    <s v="Correct_x000a_Option C. Use Delta Sharing to share data without replication_x000a__x000a_Delta Sharing is Databricks’ open protocol for secure data sharing across clouds and platforms._x000a_It allows data to be shared directly from its storage location without replication, minimizing egress costs._x000a_Consumers can query the shared data in real time without needing to copy it across cloud boundaries._x000a_This is the most suitable solution for cross-cloud data sharing with cost efficiency._x000a_Incorrect_x000a_Option A. Set up a VPN connection between the two systems_x000a__x000a_A VPN provides secure connectivity but does not address data egress costs._x000a_Data would still need to be transferred between AWS and Azure, incurring charges._x000a_Option B. Use Cloudflare R2 for cross-cloud storage_x000a__x000a_Cloudflare R2 is designed to reduce egress costs for object storage, but it is not a Databricks-native solution._x000a_It introduces additional complexity and is not the recommended approach for Databricks exam scenarios._x000a_Option D. Generate read-only signed URLs for the files_x000a__x000a_Signed URLs allow secure file access but still require data replication or transfer between clouds._x000a_This does not minimize egress costs and is not scalable for continuous data sharing."/>
    <m/>
    <m/>
    <m/>
    <m/>
    <n v="1"/>
    <m/>
    <m/>
    <m/>
  </r>
  <r>
    <x v="0"/>
    <n v="1629"/>
    <x v="11"/>
    <n v="29"/>
    <m/>
    <m/>
    <m/>
    <s v="A data engineer needs to build a DLT pipeline to ingest messages from a Kafka topic named “sales_events“ and write the processed data into a Delta table. Which of the following code snippets correctly defines a DLT table to achieve this?"/>
    <s v="import dlt @dlt.table def sales_data(): return ( spark.readStream .format(“kafka“) .option(“subscribe“, “sales_events“) .load(“/mnt/kafka“) ) .load(“/mnt/kafka“) is not valid for reading from a Kafka topic; Kafka requires broker server configurations, not file paths."/>
    <s v="import dlt @dlt.table def sales_data(): return ( spark.read .format(“kafka“) .option(“topic“, “sales_events“) .load() ) .read is non-streaming and topic is not a valid option for Spark structured streaming Kafka source; it should use subscribe."/>
    <s v="import dlt @dlt.table def sales_data(): return ( spark.readStream .format(“kafka“) .option(“kafka.bootstrap.servers“, “broker1:9092,broker2:9092“) #update with your Kafka server(s) .option(“subscribe“, “sales_events“) .load() )"/>
    <s v="import dlt @dlt.table def sales_data(): return ( spark.readStream .format(“delta“) .option(“topic“, “sales_events“) .load() ) .format(“delta“) is for reading existing Delta tables, not Kafka topics."/>
    <m/>
    <m/>
    <s v="C"/>
    <s v="This is the correct way to define a DLT table that ingests from Kafka._x000a_It uses readStream for streaming ingestion, specifies Kafka bootstrap servers, and subscribes to the topic sales_events._x000a_The returned streaming DataFrame can then be written into a Delta table by DLT._x000a_Incorrect_x000a_Option A_x000a__x000a_Incorrect because .load(&quot;/mnt/kafka&quot;) is invalid for Kafka. Kafka requires bootstrap server configurations, not file paths._x000a_Option B_x000a__x000a_Incorrect because .read is non-streaming, but Kafka ingestion requires readStream._x000a_Also, option(&quot;topic&quot;, ...) is not valid for Spark Structured Streaming Kafka source; it should use subscribe._x000a_Option D_x000a__x000a_Incorrect because .format(&quot;delta&quot;) is used for reading existing Delta tables, not Kafka topics._x000a_The topic option is invalid for Delta format."/>
    <m/>
    <m/>
    <m/>
    <m/>
    <n v="1"/>
    <m/>
    <m/>
    <m/>
  </r>
  <r>
    <x v="0"/>
    <n v="1630"/>
    <x v="11"/>
    <n v="30"/>
    <m/>
    <m/>
    <m/>
    <s v="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
    <s v="The column should have a high cardinality."/>
    <s v="The column should have statistics collected on it."/>
    <s v="The column should have few unique values."/>
    <s v="The column should be the first column in the table schema."/>
    <m/>
    <m/>
    <s v="B"/>
    <s v="Correct_x000a_Option B. The column should have statistics collected on it_x000a__x000a_Correct because Z-ordering relies on data skipping and query optimization, which depend on column statistics._x000a_Collecting statistics ensures the query engine can effectively prune data blocks and leverage Z-ordering for faster filtering._x000a_Incorrect_x000a_Option A. The column should have a high cardinality_x000a__x000a_Incorrect because Z-ordering is most effective on columns with moderate cardinality (not extremely high or extremely low). Very high cardinality reduces the benefit of clustering._x000a_Option C. The column should have few unique values_x000a__x000a_Incorrect because columns with very few unique values (low cardinality) are better suited for partitioning, not Z-ordering. Z-ordering is intended for columns with more diverse values._x000a_Option D. The column should be the first column in the table schema_x000a__x000a_Incorrect because the physical order of columns in the schema does not affect Z-ordering. Z-ordering works by co-locating related values across files, independent of schema position."/>
    <m/>
    <m/>
    <m/>
    <n v="1"/>
    <m/>
    <m/>
    <m/>
    <m/>
  </r>
  <r>
    <x v="0"/>
    <n v="1631"/>
    <x v="11"/>
    <n v="31"/>
    <m/>
    <m/>
    <m/>
    <s v="Imagine you have a Delta Live Table pipeline with the following constraint: CONSTRAINT recent_date EXPECT(date &gt;= current_date() – INTERVAL 30 DAYS) ON VIOLATION FAIL UPDATE What happens if a row with an outdated date is processed?"/>
    <s v="The row is removed from the processing pipeline."/>
    <s v="The row is logged and processed as usual."/>
    <s v="The entire pipeline update fails, requiring manual intervention."/>
    <s v="The row is written to an error log but not to the target table."/>
    <m/>
    <m/>
    <s v="C"/>
    <s v="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_x000a_CONSTRAINT recent_date EXPECT (date &gt;= current_date() – INTERVAL 30 DAYS) ON VIOLATION FAIL UPDATE_x000a_If a row with an outdated date is encountered, the pipeline update fails, and no further processing occurs until the violation is addressed."/>
    <m/>
    <m/>
    <m/>
    <n v="1"/>
    <m/>
    <m/>
    <m/>
    <m/>
  </r>
  <r>
    <x v="0"/>
    <n v="1632"/>
    <x v="11"/>
    <n v="32"/>
    <m/>
    <m/>
    <m/>
    <s v="You are implementing a Delta Sharing solution where recipients will access data using Databricks-to-Databricks sharing. What is a key requirement for the recipient workspace in this scenario?"/>
    <s v="The recipient workspace must have Unity Catalog enabled."/>
    <s v="The recipient must be on the same cloud provider as the data provider."/>
    <s v="The recipient must use OIDC token federation."/>
    <s v="The recipient must have a separate account in the provider‘s Databricks workspace."/>
    <m/>
    <m/>
    <s v="A"/>
    <s v="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
    <m/>
    <m/>
    <m/>
    <m/>
    <m/>
    <m/>
    <m/>
    <m/>
  </r>
  <r>
    <x v="0"/>
    <n v="1633"/>
    <x v="11"/>
    <n v="33"/>
    <m/>
    <m/>
    <m/>
    <s v="How can data lineage in Unity Catalog help reduce the costs associated with cross-cloud data sharing?"/>
    <s v="By providing detailed cost analysis reports."/>
    <s v="By optimizing data placement to minimize transfer fees."/>
    <s v="By identifying unused data assets that can be archived."/>
    <s v="By automatically compressing data before transfer."/>
    <m/>
    <m/>
    <s v="C"/>
    <s v="Organizations can optimize cloud costs and improve data management by systematically identifying and archiving or removing unused data assets in Databricks._x000a_The process begins by collecting usage and lineage data from Unity Catalog system tables or lineage tracking tools, which reveal how often datasets, tables, and views are accessed and whether they are referenced by downstream assets such as jobs or dashboards._x000a_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_x000a_By automating periodic usage analysis and review, organizations maintain a streamlined and cost-effective data environment, retaining only valuable data while reducing storage and governance overhead."/>
    <m/>
    <m/>
    <m/>
    <m/>
    <m/>
    <m/>
    <m/>
    <m/>
  </r>
  <r>
    <x v="0"/>
    <n v="1634"/>
    <x v="11"/>
    <n v="34"/>
    <m/>
    <m/>
    <m/>
    <s v="When using Lakehouse Federation to connect to an external MySQL database, a data engineer notices that queries are being throttled. What could be a potential cause and solution for this issue?"/>
    <s v="The data engineer should increase the Databricks SQL concurrent query limit."/>
    <s v="Ensure the foreign catalog is properly configured with the correct data type mappings."/>
    <s v="Check if the MySQL server has reached its connection limit and increase it if necessary."/>
    <s v="Reduce the number of active queries running across all SQL warehouses."/>
    <m/>
    <m/>
    <s v="C"/>
    <s v="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
    <m/>
    <m/>
    <m/>
    <m/>
    <m/>
    <m/>
    <m/>
    <m/>
  </r>
  <r>
    <x v="0"/>
    <n v="1635"/>
    <x v="11"/>
    <n v="35"/>
    <m/>
    <m/>
    <m/>
    <s v="Which optimized storage layer in the Databricks Data Intelligence Platform provides full ACID transaction support?"/>
    <s v="Data Lake"/>
    <s v="Delta Lake"/>
    <s v="File System"/>
    <s v="Parquet Files"/>
    <m/>
    <m/>
    <s v="B"/>
    <s v="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_x000a_Atomic operations: All-or-nothing writes/updates._x000a_Consistency: Only valid data states are visible._x000a_Isolation: Concurrent operations do not interfere._x000a_Durability: Once written, data persists even after failures._x000a_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
    <m/>
    <m/>
    <m/>
    <n v="1"/>
    <m/>
    <m/>
    <m/>
    <m/>
  </r>
  <r>
    <x v="0"/>
    <n v="1636"/>
    <x v="11"/>
    <n v="36"/>
    <m/>
    <m/>
    <m/>
    <s v="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
    <s v="The engineer should change format(“cloudFiles“) to format(“autoLoader“)."/>
    <s v="No change is needed; Databricks automatically uses Auto Loader for all streaming reads."/>
    <s v="No change is needed; using format(“cloudFiles“) is the correct way to enable Auto Loader."/>
    <s v="The engineer needs to add a .autoLoader method before .load(sourcePath)."/>
    <m/>
    <m/>
    <s v="C"/>
    <s v="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
    <m/>
    <m/>
    <m/>
    <n v="1"/>
    <m/>
    <m/>
    <m/>
    <m/>
  </r>
  <r>
    <x v="0"/>
    <n v="1637"/>
    <x v="11"/>
    <n v="37"/>
    <m/>
    <m/>
    <m/>
    <s v="A task in your Databricks job has failed, and you need to diagnose and address the issue. Upon inspecting the task run details, you notice an error message indicating insufficient compute resources. Which action is most appropriate to resolve this issue?"/>
    <s v="Increase the cluster size for the task and repair the failed job run."/>
    <s v="Check if the upstream data source is available and repair the job run."/>
    <s v="Re-run the entire job without any changes and hope it succeeds."/>
    <s v="Modify the task to use a different notebook path and repair the job run."/>
    <m/>
    <m/>
    <s v="A"/>
    <s v="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_x000a_Note: If resource quotas are limiting the cluster size, you may also need to request an increase in resource quotas from your cloud administrator."/>
    <m/>
    <m/>
    <m/>
    <m/>
    <m/>
    <m/>
    <m/>
    <m/>
  </r>
  <r>
    <x v="0"/>
    <n v="1638"/>
    <x v="11"/>
    <n v="38"/>
    <m/>
    <m/>
    <m/>
    <s v="In an ETL pipeline using Databricks Delta Live Tables (DLT), you have set a constraint to ensure that no duplicate entries are written into a target table. What happens if a record violates this constraint when using ‘ON VIOLATION DROP ROW‘?"/>
    <s v="The violating record is written to a separate error table for later review."/>
    <s v="The entire data flow fails, requiring manual intervention to proceed."/>
    <s v="The violating record is dropped before being written to the target table."/>
    <s v="The violating record is written to the target table with a warning."/>
    <m/>
    <m/>
    <s v="C"/>
    <s v="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_x000a_Example:_x000a_CREATE OR REFRESH STREAMING TABLE target_table_x000a_CONSTRAINT no_duplicates EXPECT (id IS UNIQUE) ON VIOLATION DROP ROW;"/>
    <m/>
    <m/>
    <m/>
    <m/>
    <n v="1"/>
    <m/>
    <m/>
    <m/>
  </r>
  <r>
    <x v="0"/>
    <n v="1639"/>
    <x v="11"/>
    <n v="39"/>
    <m/>
    <m/>
    <m/>
    <s v="A data engineer is using Auto Loader to process JSON files stored in a cloud storage. They notice that all columns are inferred as STRING types. Which of the following could be a reason for this behavior?"/>
    <s v="The cloudFiles.inferColumnTypes option is not set to true."/>
    <s v="The JSON files are malformed and contain syntax errors."/>
    <s v="The Auto Loader is configured with the schemaEvolutionMode set to rescue."/>
    <s v="The schema of the JSON files contains nested structures."/>
    <m/>
    <m/>
    <s v="A"/>
    <s v="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_x000a_To change this default and have Auto Loader infer column types based on the actual data, you need to set the option .option(“cloudFiles.inferColumnTypes“, “true“) in your readStream configuration. For example:_x000a_df = (spark.readStream.format(“cloudFiles“)_x000a_.option(“cloudFiles.format“, “json“)_x000a_.option(“cloudFiles.schemaLocation“, “/path/to/schema“)_x000a_.option(“cloudFiles.inferColumnTypes“, “true“)_x000a_.load(“/path/to/json/files“))_x000a_Without this option, all columnsincluding nested oneswill be inferred as STRING types, which is the default behavior for JSON in Auto Loader."/>
    <m/>
    <m/>
    <m/>
    <m/>
    <n v="1"/>
    <m/>
    <m/>
    <m/>
  </r>
  <r>
    <x v="0"/>
    <n v="1640"/>
    <x v="11"/>
    <n v="40"/>
    <m/>
    <m/>
    <m/>
    <s v="There is a dataframe like beow: | Region | Product | Sales | |——–|————-|——-| | North | Books | 100 | | North | Electronics | 200 | | South | Books | 150 | | South | Electronics | 300 | | East | Books | 50 | | East | Electronics | 120 | Which code correctly returns total sales and average sales for each product?"/>
    <s v="df.groupBy(“product“).agg(sum(“sales“).alias(“total_sales“)).show()"/>
    <s v="df.select(“product“, sum(“sales“), avg(“sales“)).show()"/>
    <s v="df.groupBy(“product“).agg(sum(“sales“).alias(“total_sales“), avg(“sales“).alias(“avg_sales“)).show()"/>
    <s v="df.groupBy(“product“).sum(“sales“, “avg(sales)“).show()"/>
    <m/>
    <m/>
    <s v="C"/>
    <s v="To compute both the total and average sales for each product in PySpark, you must:_x000a__x000a_Group the records by “product“ using groupBy()_x000a__x000a_Apply multiple aggregations inside agg()  in this case, sum() and avg()_x000a__x000a_Alias the results for readable output_x000a__x000a_The correct syntax is:_x000a__x000a_df.groupBy(“product“).agg(_x000a_sum(“sales“).alias(“total_sales“),_x000a_avg(“sales“).alias(“avg_sales“)_x000a_).show()_x000a__x000a_This returns one row per product (e.g., Books, Electronics) with both the total and average sales. Other options fail because they either compute only one metric, misuse select(), or are syntactically invalid."/>
    <m/>
    <m/>
    <m/>
    <n v="1"/>
    <m/>
    <m/>
    <m/>
    <m/>
  </r>
  <r>
    <x v="0"/>
    <n v="1641"/>
    <x v="11"/>
    <n v="41"/>
    <m/>
    <m/>
    <m/>
    <s v="Which of the following best describes language support in Databricks notebooks?"/>
    <s v="Only SQL and Scala are supported in Databricks notebooks."/>
    <s v="You can mix multiple languages in a single cell."/>
    <s v="You can mix multiple languages in a notebook, but only one language per cell."/>
    <s v="Each notebook is restricted to a single language type."/>
    <m/>
    <m/>
    <s v="C"/>
    <s v="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
    <m/>
    <m/>
    <m/>
    <m/>
    <m/>
    <m/>
    <m/>
    <m/>
  </r>
  <r>
    <x v="0"/>
    <n v="1642"/>
    <x v="11"/>
    <n v="42"/>
    <m/>
    <m/>
    <m/>
    <s v="Which of the following statements accurately describes Databricks Auto Loader?"/>
    <s v="Auto Loader only supports batch ingestion of data."/>
    <s v="Auto Loader only supports streaming ingestion and does not support batch mode."/>
    <s v="Auto Loader supports both streaming and batch ingestion of data using optimized APIs."/>
    <s v="Auto Loader does not support schema evolution."/>
    <m/>
    <m/>
    <s v="C"/>
    <s v="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
    <m/>
    <m/>
    <m/>
    <m/>
    <m/>
    <m/>
    <m/>
    <m/>
  </r>
  <r>
    <x v="0"/>
    <n v="1643"/>
    <x v="11"/>
    <n v="43"/>
    <m/>
    <m/>
    <m/>
    <s v="When managing a Databricks table, how can you add a comment to the table to provide additional context or documentation?"/>
    <s v="ALTER TABLE ADD COMMENT ‘This is a table comment‘"/>
    <s v="ALTER TABLE COMMENT ‘This is a table comment‘"/>
    <s v="COMMENT ON TABLE IS ‘This is a table comment‘"/>
    <s v="CREATE TABLE WITH COMMENT ‘This is a table comment‘"/>
    <m/>
    <m/>
    <s v="C"/>
    <s v="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_x000a_COMMENT ON TABLE IS ‘This is a table comment‘"/>
    <m/>
    <m/>
    <m/>
    <n v="1"/>
    <m/>
    <m/>
    <m/>
    <m/>
  </r>
  <r>
    <x v="0"/>
    <n v="1644"/>
    <x v="11"/>
    <n v="44"/>
    <m/>
    <m/>
    <m/>
    <s v="In Databricks Delta Live Tables (DLT), what is the key difference between defining a MATERIALIZED VIEWS and a STREAMING TABLE?"/>
    <s v="MATERIALIZED VIEWS continuously ingests data in real-time, while STREAMING TABLE only works with batch data."/>
    <s v="MATERIALIZED VIEWS  always recomputes the entire dataset on each update, while STREAMING TABLE processes only new or changed data since the last update."/>
    <s v="STREAMING TABLE requires manual pipeline management, while MATERIALIZED VIEWS  enables full automation."/>
    <s v="STREAMING TABLEs cannot be queried by downstream tables in a pipeline, while MATERIALIZED VIEWS can."/>
    <m/>
    <m/>
    <s v="B"/>
    <s v="n Delta Live Tables (DLT), understanding the difference between MATERIALIZED VIEW and STREAMING TABLE is crucial for building robust and efficient data pipelines:_x000a_MATERIALIZED VIEW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45"/>
    <x v="11"/>
    <n v="45"/>
    <m/>
    <m/>
    <m/>
    <s v="Which of the following is a key difference between all-purpose clusters and jobs clusters in Databricks?"/>
    <s v="All-purpose clusters can be shared among multiple users, while jobs clusters are dedicated to a single job run."/>
    <s v="Jobs clusters remain active indefinitely unless manually terminated."/>
    <s v="All-purpose clusters are automatically terminated after a job completes."/>
    <s v="Jobs clusters are ideal for interactive analytics and ad-hoc data exploration."/>
    <m/>
    <m/>
    <s v="A"/>
    <s v="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
    <m/>
    <m/>
    <m/>
    <m/>
    <m/>
    <m/>
    <m/>
    <m/>
  </r>
  <r>
    <x v="0"/>
    <n v="1646"/>
    <x v="11"/>
    <n v="46"/>
    <m/>
    <m/>
    <m/>
    <s v="A data engineer wants to share a set of Delta tables with a third-party organization that does not use Databricks. What is the appropriate approach to enable this data sharing while ensuring security?"/>
    <s v="Use Databricks-to-Databricks Delta Sharing."/>
    <s v="Implement open-source Delta Sharing with bearer-token-based credentials."/>
    <s v="Export the data as CSV files and email them to the third-party organization."/>
    <s v="Create a REST API to handle data requests from the third-party organization."/>
    <m/>
    <m/>
    <s v="B"/>
    <s v="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_x000a_How to Share Data Securely with a Non-Databricks Third Party_x000a_Enable Delta Sharing and Unity Catalog: Set up Delta Sharing in your Databricks Unity Catalog-enabled workspace, which allows you to define which Delta tables are available for sharing._x000a_Create a Share and Add Tables: Define a “share“ in Unity Catalog, add the desired Delta tables, and configure which datasets are available to external recipients. You can do this through Databricks SQL, the Catalog Explorer UI, or CLI._x000a_Add Recipients: For non-Databricks consumers, you add a recipient by email or other identifier, and Databricks generates a secure credential file or an activation link for the recipient_x000a_Share Credentials Securely: Provide the recipient with a secure Delta Sharing credentials file or activation link via a protected communication channel. This file includes the access token and endpoints needed for the recipient to query data using open Delta Sharing connectors._x000a_Recipient Consumes Data: The third party can consume the shared Delta tables with any compatible tool or analytics enginesuch as Pandas, Apache Spark, Power BI, or other platformsusing the open Delta Sharing connectors and the credentials provided._x000a_Security Features_x000a_No Data Replication: Data stays in your control and is never copied to external systems; they access live data directly via secure endpoints._x000a_Auditing and Governance: All accesses are tracked; you retain the ability to revoke access at any time._x000a_Short-Lived Tokens: Access is governed by token-based authentication, ensuring that only authorized parties can reach the data for a defined period._x000a_Fine-Grained Controls: You can share only specific tables or views, ensuring only the required data is accessible._x000a_Important Considerations_x000a_Carefully manage and rotate/share tokens or credentials securely._x000a_Apply necessary network/firewall controls for your storage layer to ensure only allowed recipients can connect._x000a_Column-level security is best handled by sharing views with just the needed columns._x000a_Summary_x000a_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
    <m/>
    <m/>
    <m/>
    <m/>
    <n v="1"/>
    <m/>
    <m/>
    <m/>
  </r>
  <r>
    <x v="0"/>
    <n v="1647"/>
    <x v="11"/>
    <n v="47"/>
    <m/>
    <m/>
    <m/>
    <s v="To grant all privileges on a specific table to a user or a group in Databricks Unity Catalog, which of the following SQL statements would you use?"/>
    <s v="GRANT ALL PRIVILEGES ON TABLE table_name TO user_or_group;"/>
    <s v="ALLOW ALL RIGHTS ON TABLE table_name TO user_or_group;"/>
    <s v="GIVE FULL ACCESS ON TABLE table_name TO user_or_group;"/>
    <s v="GRANT ALL ON DATABASE database_name TO user_or_group;"/>
    <m/>
    <m/>
    <s v="A"/>
    <s v="In Databricks Unity Catalog, to give a user or a group all privileges on a specific table, the correct command is:_x000a_GRANT ALL PRIVILEGES ON TABLE TO ;_x000a_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
    <m/>
    <m/>
    <m/>
    <m/>
    <m/>
    <m/>
    <m/>
    <m/>
  </r>
  <r>
    <x v="0"/>
    <n v="1648"/>
    <x v="11"/>
    <n v="48"/>
    <m/>
    <m/>
    <m/>
    <s v="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
    <s v="Repos"/>
    <s v="Jobs"/>
    <s v="Data Explorer"/>
    <s v="Databricks File System (DBFS)"/>
    <m/>
    <m/>
    <s v="C"/>
    <s v="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
    <m/>
    <m/>
    <m/>
    <m/>
    <m/>
    <m/>
    <m/>
    <m/>
  </r>
  <r>
    <x v="0"/>
    <n v="1649"/>
    <x v="11"/>
    <n v="49"/>
    <m/>
    <m/>
    <m/>
    <s v="A Delta Live Tables dataset has been defined with an EXPECTATIONS clause to enforce data quality: CONSTRAINT check_valid_date EXPECT (event_time &gt; ‘2021-01-01‘) What happens when a batch of incoming data includes records that fail this constraint?"/>
    <s v="The records that do not meet the condition are still written to the output table and marked as invalid in the event log."/>
    <s v="The invalid records are excluded from the output table and are captured as invalid entries in the event log."/>
    <s v="The job fails when it encounters records that violate the constraint."/>
    <s v="The records are written to the output table but flagged as invalid using an extra column."/>
    <m/>
    <m/>
    <s v="A"/>
    <s v="When you define an EXPECTATIONS clause in a Delta Live Tables (DLT) dataset, such as:_x000a_CONSTRAINT check_valid_date EXPECT (event_time &gt; ‘2021-01-01‘)_x000a_the behavior when incoming data contains records that fail this constraint depends on the specific violation action you specify with the expectation. By default, if you do not specify an action (such as ON VIOLATION DROP ROW or ON VIOLATION FAIL UPDATE), the default action is warn._x000a_Here‘s what happens under each scenario:_x000a_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_x000a_ON VIOLATION DROP ROW: If you specify this action, records that fail the constraint are dropped from the output tablethey are not written to the target, but the number of dropped records is logged._x000a_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_x000a_Summary_x000a_If you only specify the constraint as shown and do not use ON VIOLATION DROP ROW or ON VIOLATION FAIL UPDATE, records failing the condition are still written to the output and only a warning is logged. If you want to drop bad data or fail the batch, use the appropriate clause."/>
    <m/>
    <m/>
    <m/>
    <m/>
    <n v="1"/>
    <m/>
    <m/>
    <m/>
  </r>
  <r>
    <x v="0"/>
    <n v="1650"/>
    <x v="11"/>
    <n v="50"/>
    <m/>
    <m/>
    <m/>
    <s v="Which of the following best describes Open Delta Sharing in Databricks?"/>
    <s v="A feature that allows sharing Delta tables only with other Databricks workspaces within the same account."/>
    <s v="A feature that allows securely sharing Delta tables with external recipients, even if they do not use Databricks."/>
    <s v="A service used to replicate data across regions for disaster recovery."/>
    <s v="A feature for exporting Delta tables to CSV for non-Databricks users."/>
    <m/>
    <m/>
    <s v="B"/>
    <s v="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
    <m/>
    <m/>
    <m/>
    <n v="1"/>
    <m/>
    <m/>
    <m/>
    <m/>
  </r>
  <r>
    <x v="0"/>
    <n v="1651"/>
    <x v="11"/>
    <n v="51"/>
    <m/>
    <m/>
    <m/>
    <s v="Which of the following are valid authentication methods supported by Open Delta Sharing in Databricks?"/>
    <s v="Long-lived bearer tokens and OpenID Connect (OIDC) federation."/>
    <s v="Shared database credentials (username/password) and CSV file passwords."/>
    <s v="Temporary SSH keys and SAML-based session tokens only."/>
    <s v="Only Databricks personal access tokens."/>
    <m/>
    <m/>
    <s v="A"/>
    <s v="Open Delta Sharing provides secure, token-based access for external data consumers. There are two supported methods:_x000a_Bearer tokens  a simpler, static approach where a long-lived token grants read access to specific shared tables._x000a_OIDC federation  an enterprise-level option that uses federated identity management to issue short-lived tokens, improving security and governance._x000a_Other forms of authentication like database passwords or SSH keys are not supported, making option A the only valid choice for Open Delta Sharing."/>
    <m/>
    <m/>
    <m/>
    <m/>
    <n v="1"/>
    <m/>
    <m/>
    <m/>
  </r>
  <r>
    <x v="0"/>
    <n v="1652"/>
    <x v="11"/>
    <n v="52"/>
    <m/>
    <m/>
    <m/>
    <s v="A data engineering team wants to share a Delta table of sales data with an external business partner who does not have a Databricks account but uses a BI tool that supports open protocols. Which approach should they use?"/>
    <s v="Export the table as a CSV file and send it manually to the partner weekly."/>
    <s v="Use Open Delta Sharing and provide secure access via either a bearer token or OIDC federation."/>
    <s v="Set up a cross-account mount in Azure Databricks to share the table directly."/>
    <s v="Use Unity Catalog grants to the partners email address even without a Databricks account."/>
    <m/>
    <m/>
    <s v="B"/>
    <s v="share live data through open protocols, which can be consumed directly by BI tools, REST APIs, or non-Databricks platforms, using bearer tokens or OIDC federation for access control. Unlike CSV exports or manual mounts, this approach is scalable, governed, and avoids data duplication."/>
    <m/>
    <m/>
    <m/>
    <m/>
    <n v="1"/>
    <m/>
    <m/>
    <m/>
  </r>
  <r>
    <x v="0"/>
    <n v="1653"/>
    <x v="11"/>
    <n v="53"/>
    <m/>
    <m/>
    <m/>
    <s v="A data engineer wants to allow user_jane to create new tables in the schema main.sales_schema, following the principle of least privilege. Which set of privilege grants should the engineer use?"/>
    <s v="GRANT SELECT ON SCHEMA main.sales_schema TO user_jane; GRANT CREATE TABLE ON SCHEMA main.sales_schema TO user_jane;"/>
    <s v="GRANT USE CATALOG ON CATALOG main TO user_jane; GRANT USE SCHEMA ON SCHEMA main.sales_schema TO user_jane; GRANT CREATE TABLE ON SCHEMA main.sales_schema TO user_jane;"/>
    <s v="GRANT USE SCHEMA ON SCHEMA main.sales_schema TO user_jane; GRANT CREATE ON SCHEMA main.sales_schema TO user_jane; GRANT MODIFY ON SCHEMA main.sales_schema TO user_jane; GRANT CREATE TABLE ON SCHEMA main.sales_schema TO user_jane;"/>
    <m/>
    <m/>
    <m/>
    <s v="B"/>
    <s v="The correct answer is –_x000a_GRANT USE CATALOG ON CATALOG main TO user_jane;_x000a_GRANT USE SCHEMA ON SCHEMA main.sales_schema TO user_jane;_x000a_GRANT CREATE TABLE ON SCHEMA main.sales_schema TO user_jane;_x000a_which grants only the precise minimum permissions needed for user_jane to create new tables in main.sales_schema while adhering strictly to the principle of least privilege. The other options either grant more access than necessary or miss required privileges._x000a_Note:_x000a_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_x000a_GRANT CREATE ON SCHEMA …  Allows the user to create all supported object types (tables, views, volumes, etc.) inside the schema._x000a_GRANT CREATE TABLE ON SCHEMA …  Allows the user to create only tables inside the schema."/>
    <m/>
    <m/>
    <m/>
    <m/>
    <n v="1"/>
    <m/>
    <m/>
    <m/>
  </r>
  <r>
    <x v="0"/>
    <n v="1654"/>
    <x v="11"/>
    <n v="54"/>
    <m/>
    <m/>
    <m/>
    <s v="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
    <s v="Use an interactive debugger directly on the Databricks cluster to step through UDF execution."/>
    <s v="Check cluster logs and driver/executor error messages to trace the failure and identify the unexpected data types."/>
    <s v="Rerun the notebook manually with %run magic command to see if it works next time."/>
    <s v="Enable Photon execution engine to optimize the UDF and automatically handle schema changes."/>
    <m/>
    <m/>
    <s v="B"/>
    <s v="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
    <m/>
    <m/>
    <m/>
    <n v="1"/>
    <m/>
    <m/>
    <m/>
    <m/>
  </r>
  <r>
    <x v="0"/>
    <n v="1655"/>
    <x v="11"/>
    <n v="55"/>
    <m/>
    <m/>
    <m/>
    <s v="Which of the following statements correctly describes the different types of Databricks SQL Warehouses available for running SQL queries?"/>
    <s v="Classic SQL Warehouse supports basic SQL execution but lacks advanced features like Predictive I/O and workload management that are available in Pro SQL Warehouses."/>
    <s v="Pro SQL Warehouses run in your cloud account, support Photon and Predictive IO, but not Intelligent Workload Management, and have slower startup and limited autoscaling."/>
    <s v="Serverless SQL Warehouses remove the need for cluster management, automatically scale compute resources, and reduce startup latency for SQL queries."/>
    <s v="All of the above."/>
    <m/>
    <m/>
    <s v="D"/>
    <s v="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
    <m/>
    <m/>
    <m/>
    <n v="1"/>
    <m/>
    <m/>
    <m/>
    <m/>
  </r>
  <r>
    <x v="0"/>
    <n v="1656"/>
    <x v="11"/>
    <n v="56"/>
    <m/>
    <m/>
    <m/>
    <s v="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
    <s v="Grant read access directly on the ADLS storage container to analysts."/>
    <s v="Grant SELECT on all tables in the schema to analysts."/>
    <s v="Use Unity Catalog GRANT SELECT only on the required external tables for analysts."/>
    <s v="Manually copy only the required data into a separate Delta table and share that with analysts."/>
    <m/>
    <m/>
    <s v="C"/>
    <s v="The principle of least privilege ensures that users get only the access they need to perform their tasks. The recommended approach in Databricks is to leverage Unity Catalog for granular, SQL-based permissions, for example:_x000a_GRANT SELECT ON TABLE finance.sales_external TO ′group′ analysts;_x000a_This allows secure, controlled access without:_x000a_Exposing the entire ADLS container_x000a_Granting unnecessary access to all tables_x000a_Creating redundant data copies_x000a_Unity Catalog also provides auditing and lineage tracking, making it the most efficient and governed solution for cross-team access control."/>
    <m/>
    <m/>
    <m/>
    <m/>
    <n v="1"/>
    <m/>
    <m/>
    <s v="ADLS"/>
  </r>
  <r>
    <x v="0"/>
    <n v="1657"/>
    <x v="11"/>
    <n v="57"/>
    <m/>
    <m/>
    <m/>
    <s v="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
    <s v="GRANT SELECT ON SCHEMA manufacturing.quality TO ′group′ qa_team;"/>
    <s v="GRANT USAGE ON CATALOG manufacturing TO ′group′ qa_team; GRANT USAGE ON SCHEMA manufacturing.quality TO ′group′ qa_team; GRANT SELECT ON ALL TABLES IN SCHEMA manufacturing.quality TO ′group′ qa_team;"/>
    <s v="GRANT ALL PRIVILEGES ON SCHEMA manufacturing.quality TO ′group′ qa_team; GRANT SELECT ON CATALOG manufacturing TO ′group′ qa_team;"/>
    <m/>
    <m/>
    <m/>
    <s v="B"/>
    <s v="In Unity Catalog, granting access requires layered privileges:_x000a_Catalog: USAGE allows users to see the catalog._x000a_Schema: USAGE allows users to see the schema and its objects._x000a_Tables: SELECT gives permission to query the data._x000a_GRANT USAGE ON CATALOG manufacturing TO ′group′ qa_team;_x000a_GRANT USAGE ON SCHEMA manufacturing.quality TO ′group′ qa_team;_x000a_GRANT SELECT ON ALL TABLES IN SCHEMA manufacturing.quality TO ′group′ qa_team;_x000a_This combination ensures read-only, minimal access, aligns with the principle of least privilege, and works for both existing and future tables in that schema."/>
    <m/>
    <m/>
    <m/>
    <n v="1"/>
    <m/>
    <m/>
    <m/>
    <m/>
  </r>
  <r>
    <x v="0"/>
    <n v="1658"/>
    <x v="11"/>
    <n v="58"/>
    <m/>
    <m/>
    <m/>
    <s v="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
    <s v="spark.conf.set(“spark.sql.shuffle.partitions“, 50) to reduce the number of shuffle partitions to match the dataset size."/>
    <s v="spark.conf.set(“spark.dynamicAllocation.enabled“, false) to disable autoscaling and reduce shuffle cost."/>
    <s v="spark.conf.set(“spark.executor.memory“, “50g“) to increase executor memory and avoid shuffle."/>
    <s v="spark.conf.set(“spark.sql.adaptive.enabled“, false) to disable Adaptive Query Execution (AQE) for better control over shuffle partitions."/>
    <m/>
    <m/>
    <s v="A"/>
    <s v="In Spark, shuffle partitions control the number of output files generated during wide transformations like joins and groupBy. The default (200) is too high for small datasets, leading to many tiny tasks and extra overhead._x000a_spark.conf.set(“spark.sql.shuffle.partitions“, 50)_x000a_(or even lower, based on data size) optimizes task parallelism, reduces shuffle costs, and improves execution speed. Adaptive Query Execution (AQE) can also adjust shuffle partitions automatically at runtime for further optimization."/>
    <m/>
    <m/>
    <m/>
    <n v="1"/>
    <m/>
    <m/>
    <m/>
    <m/>
  </r>
  <r>
    <x v="0"/>
    <n v="1659"/>
    <x v="11"/>
    <n v="59"/>
    <m/>
    <m/>
    <m/>
    <s v="A data engineer observes that a PySpark job is running slower than expected. In the Spark UI, they notice that the CPU Time is much higher than the Task Time across multiple stages. What should the data engineer do to address this issue?"/>
    <s v="High CPU Time vs Task Time means the cluster is being efficiently utilized, hence no action is required."/>
    <s v="High CPU Time vs Task Time means overutilized memory and something needs to be done."/>
    <s v="High CPU Time vs Task Time means we need to fine-tune the worker nodes by improving the compute."/>
    <s v="High CPU Time vs Task Time means we need to partition so that parallelism can be achieved."/>
    <m/>
    <m/>
    <s v="C"/>
    <s v="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_x000a_Hence, High CPU Time vs Task Time means we need to fine-tune the worker nodes by improving the compute, is the correct option."/>
    <m/>
    <m/>
    <m/>
    <m/>
    <n v="1"/>
    <m/>
    <m/>
    <m/>
  </r>
  <r>
    <x v="0"/>
    <n v="1660"/>
    <x v="11"/>
    <n v="60"/>
    <m/>
    <m/>
    <m/>
    <s v="What does the basic structure of a Databricks Asset Bundle (DAB) project look like?"/>
    <s v="YAML file (e.g., bundle.yml) defining artifacts, configurations, and resources, with supporting files in folders._x0009__x0009__x0009__x0009__x0009_"/>
    <s v="zip file containing all cluster configs and code uploaded directly to Databricks._x0009__x0009__x0009__x0009__x0009_"/>
    <s v="A worker_config.json file with Spark cluster settings and notebooks._x0009__x0009__x0009__x0009__x0009_"/>
    <s v="A Docker image with code, dependencies, and runtime settings._x0009__x0009__x0009__x0009__x0009_"/>
    <m/>
    <m/>
    <s v="A"/>
    <s v="DABs are organized as a folder containing a YAML configuration file (like bundle.yml) plus related code and resource files. This YAML file defines the artifacts, resources, and configurations for deployment, making DABs easy to version-control and manage in CI/CD pipelines."/>
    <m/>
    <m/>
    <m/>
    <n v="1"/>
    <n v="1"/>
    <m/>
    <m/>
    <s v="YAML"/>
  </r>
  <r>
    <x v="0"/>
    <n v="1661"/>
    <x v="12"/>
    <n v="1"/>
    <m/>
    <m/>
    <m/>
    <s v="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
    <s v="Query Execution Timeout"/>
    <s v="Auto Termination"/>
    <s v="Compute Scaling Policy"/>
    <s v="Cluster Timeout"/>
    <s v="Auto-Stop"/>
    <m/>
    <s v="E"/>
    <s v="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
    <m/>
    <m/>
    <m/>
    <m/>
    <m/>
    <m/>
    <m/>
    <m/>
  </r>
  <r>
    <x v="0"/>
    <n v="1662"/>
    <x v="12"/>
    <n v="2"/>
    <m/>
    <m/>
    <m/>
    <s v="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
    <s v="Their local cluster is out of sync with the control plane, and they need to restart it to apply Git changes."/>
    <s v="The engineer tried to push to a read-only branch and must request write access from the repo owner."/>
    <s v="Databricks does not support simultaneous editing in Repos, so the notebook must be locked for exclusive use."/>
    <s v="They committed the notebook with the wrong Git user settings and should configure Git credentials again."/>
    <s v="The remote branch has new commits they havent pulled; they must perform a Git Pull to merge before pushing."/>
    <m/>
    <s v="B"/>
    <s v="it enforces a rule that you cant push changes if your local branch is behind the remote. This ensures you dont overwrite someone elses work. The solution is to pull the latest changes, resolve any merge conflicts if needed, and then push."/>
    <m/>
    <m/>
    <m/>
    <m/>
    <m/>
    <m/>
    <m/>
    <m/>
  </r>
  <r>
    <x v="0"/>
    <n v="1663"/>
    <x v="12"/>
    <n v="3"/>
    <m/>
    <m/>
    <m/>
    <s v="A data engineer needs to refresh a Delta table named customer_data with new data from a staging table. They want to: Replace all rows in the table Keep the existing schema and table metadata Avoid dropping and recreating the table Which SQL command should they use?"/>
    <s v="OVERWRITE TABLE customer_data SELECT * FROM staging_table"/>
    <s v="MERGE INTO customer_data USING staging_table"/>
    <s v="INSERT OVERWRITE TABLE customer_data SELECT * FROM staging_table"/>
    <s v="CREATE OR REPLACE TABLE customer_data AS SELECT * FROM staging_table"/>
    <s v="REPLACE INTO customer_data SELECT * FROM staging_table"/>
    <m/>
    <s v="C"/>
    <s v="When replacing all the data in a Delta table while preserving the schema and metadata, the correct and safe approach is to use INSERT OVERWRITE TABLE. It performs a full data refresh in a single atomic operation, minimizing risk and avoiding schema changes."/>
    <m/>
    <m/>
    <m/>
    <m/>
    <m/>
    <m/>
    <m/>
    <m/>
  </r>
  <r>
    <x v="0"/>
    <n v="1664"/>
    <x v="12"/>
    <n v="4"/>
    <m/>
    <m/>
    <m/>
    <s v="A data engineer is working with a column named items that contains arrays of item names. They want to convert each item name to uppercase without changing the structure of the array. Which Spark SQL function should they use?"/>
    <s v="filter"/>
    <s v="explode"/>
    <s v="flatten"/>
    <s v="array_upper"/>
    <s v="transform"/>
    <m/>
    <s v="E"/>
    <s v="When working with arrays in Spark SQL, and you want to apply a transformation to each element without flattening or restructuring the array, the correct approach is to use higher-order functions._x000a_In this case, the goal is to convert each item name to uppercase, while preserving the array structure. The transform function is specifically designed for this:_x000a_It takes two arguments: the array and a lambda expression._x000a_The lambda is applied to each element of the array._x000a_It returns a new array with the transformed elements._x000a_For example:_x000a_SELECT transform(items, x -&gt; upper(x)) AS upper_items_x000a_FROM your_table;_x000a_This is ideal for scenarios like formatting strings or performing calculations within arrays while maintaining their shape."/>
    <m/>
    <m/>
    <m/>
    <m/>
    <n v="1"/>
    <m/>
    <m/>
    <m/>
  </r>
  <r>
    <x v="0"/>
    <n v="1665"/>
    <x v="12"/>
    <n v="5"/>
    <m/>
    <m/>
    <m/>
    <s v="How do Databricks Repos support CI/CD workflows in Databricks?"/>
    <s v="By allowing users to define CI/CD pipelines using notebook widgets and job parameters within the Databricks workspace"/>
    <s v="By enabling automated cluster restarts after every notebook edit"/>
    <s v="By syncing notebooks and code with Git repositories to enable version control, code reviews, and automated deployment through external CI/CD tools"/>
    <s v="By storing notebook outputs as data tables for auditing purposes"/>
    <s v="By automatically deploying notebooks as REST APIs with every commit"/>
    <m/>
    <s v="C"/>
    <s v="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
    <m/>
    <m/>
    <m/>
    <m/>
    <n v="1"/>
    <m/>
    <m/>
    <m/>
  </r>
  <r>
    <x v="0"/>
    <n v="1666"/>
    <x v="12"/>
    <n v="6"/>
    <m/>
    <m/>
    <m/>
    <s v="A developer has defined a Databricks Asset Bundle in a databricks.yml file and wants to check for syntax errors and configuration issues before deploying it to any environment. Which Databricks CLI command should they use?"/>
    <s v="databricks bundle inspect"/>
    <s v="databricks bundle validate"/>
    <s v="databricks bundle test"/>
    <s v="databricks bundle verify"/>
    <s v="databricks bundle check"/>
    <m/>
    <s v="B"/>
    <s v="The correct Databricks CLI command for checking a bundles configuration before deployment is databricks bundle validate. This command ensures that syntax and configuration issues are caught early, reducing the risk of failed deployments._x000a_In addition to validate, the Databricks CLI supports several other bundle commands:_x000a_databricks bundle init ? initializes a new bundle project with starter configuration._x000a_databricks bundle deploy ? deploys the bundle to a specified target environment._x000a_databricks bundle sync ? syncs local project files with the Databricks workspace for rapid iteration._x000a_databricks bundle destroy ? removes resources previously deployed by the bundle._x000a_By contrast, terms like verify, check, inspect, test may sound plausible but are not valid CLI commands. Recognizing the real commands helps distinguish exam distractors from correct answers."/>
    <m/>
    <m/>
    <m/>
    <m/>
    <n v="1"/>
    <m/>
    <m/>
    <m/>
  </r>
  <r>
    <x v="0"/>
    <n v="1667"/>
    <x v="12"/>
    <n v="7"/>
    <m/>
    <m/>
    <m/>
    <s v="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
    <s v="Configure a job-level alert that triggers on task failures and sends notifications to the Slack destination."/>
    <s v="Configure a task-level notification specifically on the audit log task to trigger on failure and send a Slack alert."/>
    <s v="Add Slack notifications to all tasks and use Slack filtering to focus only on the audit log task."/>
    <s v="Add a custom task after the audit log task to manually send Slack alerts if it detects a failure."/>
    <s v="Use cluster-level logging and external monitoring tools to notify Slack when the audit log fails."/>
    <m/>
    <s v="B"/>
    <s v="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
    <m/>
    <m/>
    <m/>
    <m/>
    <m/>
    <m/>
    <m/>
    <m/>
  </r>
  <r>
    <x v="0"/>
    <n v="1668"/>
    <x v="12"/>
    <n v="8"/>
    <m/>
    <m/>
    <m/>
    <s v="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
    <s v="spark.sql(“SELECT * FROM transactions_view WHERE amount &gt; 1000“)"/>
    <s v="spark.query(“SELECT * FROM transactions_view WHERE amount &gt; 1000“)"/>
    <s v="spark.read.sql(“SELECT * FROM transactions_view WHERE amount &gt; 1000“)"/>
    <s v="sqlContext.read(“SELECT * FROM transactions_view WHERE amount &gt; 1000“)"/>
    <s v="transactions_view.sql(“SELECT * FROM transactions_view WHERE amount &gt; 1000“)"/>
    <m/>
    <s v="A"/>
    <s v="When working in a Databricks notebook using PySpark, you can register temporary views from DataFrames and then run SQL queries against them using the spark.sql() method. This is useful when you want to leverage SQL syntax instead of DataFrame APIs._x000a_In this scenario, the engineer wants to run a SQL query to retrieve rows from a view named transactions_view where the amount is greater than 1000. The correct method for executing SQL in PySpark is:_x000a_spark.sql(“SELECT * FROM transactions_view WHERE amount &gt; 1000“)_x000a_This returns a Spark DataFrame, which can be further transformed or displayed._x000a_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
    <m/>
    <m/>
    <m/>
    <m/>
    <m/>
    <m/>
    <m/>
    <m/>
  </r>
  <r>
    <x v="0"/>
    <n v="1669"/>
    <x v="12"/>
    <n v="9"/>
    <m/>
    <m/>
    <m/>
    <s v="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
    <s v="Commit the notebook changes again using a different commit message"/>
    <s v="Force push their local changes to overwrite the remote branch"/>
    <s v="Pull the latest changes from the remote repository to merge updates into their branch before pushing again"/>
    <s v="Restart their cluster and reinitialize the Databricks Repo to fetch updates"/>
    <s v="Delete their branch and recreate it from the main branch with a new name"/>
    <m/>
    <s v="C"/>
    <s v="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
    <m/>
    <m/>
    <m/>
    <m/>
    <m/>
    <m/>
    <m/>
    <m/>
  </r>
  <r>
    <x v="0"/>
    <n v="1670"/>
    <x v="12"/>
    <n v="10"/>
    <m/>
    <m/>
    <m/>
    <s v="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
    <s v="Standard View"/>
    <s v="Global Temporary View"/>
    <s v="External Table"/>
    <s v="Managed Table"/>
    <s v="Temporary View"/>
    <m/>
    <s v="E"/>
    <s v="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_x000a_Other options like global temporary views, Delta tables, and materialized views either persist beyond the current session, write data to storage, or require more overhead to manage."/>
    <m/>
    <m/>
    <m/>
    <m/>
    <m/>
    <m/>
    <m/>
    <m/>
  </r>
  <r>
    <x v="0"/>
    <n v="1671"/>
    <x v="12"/>
    <n v="11"/>
    <m/>
    <m/>
    <m/>
    <s v="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
    <s v="SELECT COUNT(*) FROM returns_data WHERE return_reason IS NULL;"/>
    <s v="SELECT COUNT(return_reason IS NULL) FROM returns_data;"/>
    <s v="SELECT COUNT(return_reason) FROM returns_data WHERE return_reason IS NULL;"/>
    <s v="SELECT COUNT(*) FROM returns_data WHERE return_reason = NULL;"/>
    <s v="SELECT COUNT_IF(return_reason IS NULL) FROM returns_data;"/>
    <m/>
    <s v="A,E"/>
    <s v="To count the number of NULL values in a column such as return_reason, you must use SQL expressions that explicitly check for NULL using the IS NULL predicate._x000a_COUNT(*) counts all rows, regardless of NULL values._x000a_COUNT(column) ignores NULL values in that specific column._x000a_COUNT_IF(condition) counts how many times a condition is TRUE, making it perfect for checking things like return_reason IS NULL._x000a_Incorrect methods often involve:_x000a_Comparing with != NULL or = NULL (which is always false or unknown in SQL)._x000a_Assuming COUNT(column) will include NULLs  it doesnt._x000a_So, the two correct approaches are:_x000a_Filter with IS NULL and use COUNT(*)_x000a_Use COUNT_IF(return_reason IS NULL) directly"/>
    <m/>
    <m/>
    <m/>
    <n v="1"/>
    <m/>
    <m/>
    <m/>
    <m/>
  </r>
  <r>
    <x v="0"/>
    <n v="1672"/>
    <x v="12"/>
    <n v="12"/>
    <m/>
    <m/>
    <m/>
    <s v="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
    <s v="The control plane is hosted by Databricks, while the data plane runs in the customers cloud account"/>
    <s v="The driver node is managed independently from the compute cluster"/>
    <s v="Unity Catalog separates secure and insecure clusters using data tags"/>
    <s v="Databricks SQL provides serverless access to files across multiple regions"/>
    <s v="Jobs run on ephemeral clusters with encrypted secrets stored in the control plane"/>
    <m/>
    <s v="A"/>
    <s v="Databricks follows a control plane vs. data plane architecture to balance security and usability:_x000a_Control Plane (managed by Databricks): job scheduler, UI, APIs, notebook metadata_x000a_Data Plane (resides in customers cloud): cluster compute, data access, and execution_x000a_This ensures that customer data never leaves their cloud boundary, meeting the needs of regulated industries and security-conscious organizations."/>
    <m/>
    <m/>
    <m/>
    <m/>
    <m/>
    <m/>
    <m/>
    <m/>
  </r>
  <r>
    <x v="0"/>
    <n v="1673"/>
    <x v="12"/>
    <n v="13"/>
    <m/>
    <m/>
    <m/>
    <s v="A logistics company collects sensor data from delivery vehicles, including GPS location, engine status, and temperature readings. The data is initially ingested in raw JSON format with inconsistent timestamps and missing values."/>
    <s v="Ingest data directly into the Gold layer and use dashboards to clean the data dynamically"/>
    <s v="Store raw data in CSV format, clean it using SQL Warehouses, and visualize it with Power BI"/>
    <s v="Use streaming jobs to continuously merge raw and aggregated data into one unified Silver table"/>
    <s v="Ingest raw sensor data into the Bronze layer, clean and standardize it in the Silver layer, and create aggregated performance metrics in the Gold layer"/>
    <s v="Load all sensor data into a single Delta table and add tags to distinguish raw vs processed records"/>
    <m/>
    <s v="D"/>
    <s v="The Medallion Architecture promotes data quality and pipeline scalability by organizing data into three or more layers:_x000a_Bronze Layer: Raw ingestion (e.g., JSON, CSV, logs)_x000a_Silver Layer: Cleaned and standardized data (e.g., schema applied, nulls handled)_x000a_Gold Layer: Aggregated and analytics-ready data (e.g., KPIs, trends, metrics)_x000a_In this scenario, sensor data follows a natural progression:_x000a_Ingest raw logs into Bronze_x000a_Clean and enrich them in Silver_x000a_Aggregate into Gold for dashboards on delivery delays and performance"/>
    <m/>
    <m/>
    <m/>
    <m/>
    <m/>
    <m/>
    <m/>
    <m/>
  </r>
  <r>
    <x v="0"/>
    <n v="1674"/>
    <x v="12"/>
    <n v="14"/>
    <m/>
    <m/>
    <m/>
    <s v="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
    <s v="SELECT s.sale_id, s.sale_amount FROM sales s JOIN products p ON s.product_id = p.product_id WHERE p.category = ‘Electronics‘;"/>
    <s v="SELECT * FROM sales WHERE category = ‘Electronics‘;"/>
    <s v="SELECT p.product_id, p.product_name FROM products p WHERE p.category = ‘Electronics‘;"/>
    <s v="SELECT s.sale_id, s.sale_amount FROM sales s INNER JOIN products p ON s.product_id = p.product_id WHERE p.category = ‘Electronics‘;"/>
    <s v="SELECT s.sale_id, s.product_id FROM sales s LEFT JOIN products p ON s.product_id = p.product_id;"/>
    <m/>
    <s v="A,D"/>
    <s v="To generate a report that includes only sales of products in the “Electronics“ category, you need to:_x000a_1. Join the sales and products tables using the common column product_id._x000a_2. Filter the results to include only rows where the category column in the products table is “Electronics“._x000a_This requires an inner join, either explicitly using INNER JOIN or implicitly using JOIN. Both will return only rows where the product_id exists in both tables and match the filter condition._x000a_Other join types like LEFT JOIN are not appropriate here because they return unmatched rows as well, and selecting from only one table (like in choice D) would miss the necessary sales data."/>
    <m/>
    <m/>
    <m/>
    <n v="1"/>
    <m/>
    <m/>
    <m/>
    <m/>
  </r>
  <r>
    <x v="0"/>
    <n v="1675"/>
    <x v="12"/>
    <n v="15"/>
    <m/>
    <m/>
    <m/>
    <s v="A data engineer is working with a Spark table that contains a column named product_categories with the following structure:"/>
    <s v="flatten_array"/>
    <s v="flatten_values"/>
    <s v="flat_map"/>
    <s v="flatten"/>
    <s v="explode"/>
    <m/>
    <s v="D"/>
    <s v="In Spark SQL, nested arrays (arrays of arrays) often need to be simplified into a single flat array. The flatten() function is specifically designed for this task:_x000a__x000a_Input: An array of arrays, e.g., [[“a“, “b“], [“c“]]_x000a__x000a_Output: A single flat array, e.g., [“a“, “b“, “c“]_x000a__x000a_Key points:_x000a__x000a_Preserves the order of elements across sub-arrays._x000a__x000a_Different from explode or explode_outer, which convert array elements into multiple rows rather than flattening them into one array._x000a__x000a_Other options like flatten_array, flat_map, and flatten_values are invalid in Spark SQL and may only appear in other programming contexts._x000a_Correct usage:_x000a__x000a_SELECT flatten(product_categories) FROM table_name;"/>
    <m/>
    <m/>
    <m/>
    <n v="1"/>
    <m/>
    <m/>
    <m/>
    <m/>
  </r>
  <r>
    <x v="0"/>
    <n v="1676"/>
    <x v="12"/>
    <n v="16"/>
    <m/>
    <m/>
    <m/>
    <s v="Which of the following is a limitation of Databricks‘ built-in notebook version history compared to using Databricks Repos?"/>
    <s v="It automatically syncs notebook changes with Git repositories without user intervention."/>
    <s v="It cannot be used with notebooks written in multiple languages."/>
    <s v="It lacks full Git version control features like branching, pull requests, and commit messages."/>
    <s v="It does not allow multiple users to view or edit the notebook at the same time."/>
    <s v="It does not support running the same notebook in different environments."/>
    <m/>
    <s v="C"/>
    <s v="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
    <m/>
    <m/>
    <m/>
    <n v="1"/>
    <m/>
    <m/>
    <m/>
    <m/>
  </r>
  <r>
    <x v="0"/>
    <n v="1677"/>
    <x v="12"/>
    <n v="17"/>
    <m/>
    <m/>
    <m/>
    <s v="A data engineer is reviewing a table called sales.orders in Databricks. They want to verify where the tables data is physically stored in cloud storage. Which of the following SQL commands can be used to find the storage location of the table? (Select two answers)"/>
    <s v="DESCRIBE DETAIL sales.orders"/>
    <s v="SELECT * FROM sales.orders LOCATION"/>
    <s v="SELECT location FROM sales.orders"/>
    <s v="DESCRIBE TABLE sales.orders"/>
    <s v="DESCRIBE EXTENDED sales.orders"/>
    <m/>
    <s v="A,D"/>
    <s v="To find where a Databricks table‘s data is physically stored in cloud storage, you can use metadata inspection commands in Spark SQL._x000a_Two SQL commands provide this information reliably:_x000a_DESCRIBE EXTENDED table_name:_x000a_This returns detailed metadata about the table, including a Location field that shows the path in cloud storage (e.g., an ABFSS or S3 path)._x000a_DESCRIBE DETAIL table_name:_x000a_This provides an output with rich metadata, including fields like location, format, createdAt, and whether the table is managed or external._x000a_These commands are particularly helpful for:_x000a_Verifying if a table is managed or external (based on whether the path is system-generated or user-specified)._x000a_Auditing storage paths across environments._x000a_Troubleshooting file-level access or integration issues."/>
    <m/>
    <m/>
    <m/>
    <n v="1"/>
    <m/>
    <m/>
    <m/>
    <m/>
  </r>
  <r>
    <x v="0"/>
    <n v="1678"/>
    <x v="12"/>
    <n v="18"/>
    <m/>
    <m/>
    <m/>
    <s v="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
    <s v="The row is silently ignored, and no violation is logged"/>
    <s v="The row is dropped before being written to the target table"/>
    <s v="The row is moved to a quarantine table for manual inspection"/>
    <s v="The row is written to the target, and the violation is recorded in dataset metrics"/>
    <s v="The row causes the pipeline to fail immediately"/>
    <m/>
    <s v="D"/>
    <s v="In Delta Live Tables, EXPECT clauses are used to define data quality constraints. When a constraint is defined without specifying an ON VIOLATION action, the default behavior is warn._x000a_This means:_x000a_The invalid row is still written to the output table_x000a_The violation is logged and counted in the dataset‘s quality metrics_x000a_The pipeline does not fail_x000a_No rows are dropped unless explicitly told to do so_x000a_This approach supports soft validation; letting data flow while still providing observability into quality issues. To enforce stricter behavior, you can use:_x000a_ON VIOLATION DROP ROW ? silently remove bad records_x000a_ON VIOLATION FAIL UPDATE ? fail the pipeline on any invalid row"/>
    <m/>
    <m/>
    <m/>
    <m/>
    <m/>
    <m/>
    <m/>
    <m/>
  </r>
  <r>
    <x v="0"/>
    <n v="1679"/>
    <x v="12"/>
    <n v="19"/>
    <m/>
    <m/>
    <m/>
    <s v="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
    <s v="Use Databricks Asset Bundles"/>
    <s v="Use dbx from Databricks Labs to apply job changes manually"/>
    <s v="Copy jobs between environments using the Databricks UI"/>
    <s v="Manually export and import job definitions between workspaces"/>
    <s v="Use Delta Sharing to replicate job metadata across environments"/>
    <m/>
    <s v="A"/>
    <s v="Configuration drift happens when environments are managed manually._x000a_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
    <m/>
    <m/>
    <m/>
    <m/>
    <m/>
    <m/>
    <m/>
    <m/>
  </r>
  <r>
    <x v="0"/>
    <n v="1680"/>
    <x v="12"/>
    <n v="20"/>
    <m/>
    <m/>
    <m/>
    <s v="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
    <s v="Unity Metadata Tracker"/>
    <s v="Discovery Hub"/>
    <s v="Data Map Viewer"/>
    <s v="Asset Insight Panel"/>
    <s v="Catalog Explorer"/>
    <m/>
    <s v="E"/>
    <s v="Catalog Explorer (formerly known as Data Explorer) allows users to browse through catalogs, schemas, tables, and views interactively, all without writing any SQL._x000a_Users can view comments, tags, and column-level metadata for each object, making it easy to understand the structure and context of datasets. This feature is ideal for analysts and non-technical users who need to explore data assets quickly using the UI._x000a_Other tools like information_schema or global search support discovery too, but theyre designed for SQL-based or keyword-driven searches. Only Catalog Explorer provides a complete, visual experience for exploring Unity Catalog assets."/>
    <m/>
    <m/>
    <m/>
    <m/>
    <m/>
    <m/>
    <m/>
    <m/>
  </r>
  <r>
    <x v="0"/>
    <n v="1681"/>
    <x v="12"/>
    <n v="21"/>
    <m/>
    <m/>
    <m/>
    <s v="Which statement correctly distinguishes Query Federation from Catalog Federation in Databricks Lakehouse Federation?"/>
    <s v="Both Query Federation and Catalog Federation push queries down to the external system."/>
    <s v="Query Federation only works with Snowflake, while Catalog Federation works with all external systems."/>
    <s v="In Query Federation, queries are executed on Databricks compute, while in Catalog Federation they run on the external catalog."/>
    <s v="In Query Federation, queries are pushed down and executed on the external database; in Catalog Federation, data is accessed from external catalogs and queries run on Databricks compute."/>
    <s v="Both Query Federation and Catalog Federation run queries on Databricks compute"/>
    <m/>
    <s v="D"/>
    <s v="The execution location is the key distinction in Lakehouse Federation:_x000a_Query Federation ? queries are pushed down to the external database (SQL Server, PostgreSQL, MySQL, Teradata)._x000a_Catalog Federation ? queries run on Databricks compute while accessing metadata from external catalogs (AWS Glue, Hive Metastore, Snowflake)._x000a_Therefore, D is correct, while options like E confuse the execution model."/>
    <m/>
    <m/>
    <m/>
    <n v="1"/>
    <m/>
    <m/>
    <m/>
    <m/>
  </r>
  <r>
    <x v="0"/>
    <n v="1682"/>
    <x v="12"/>
    <n v="22"/>
    <m/>
    <m/>
    <m/>
    <s v="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
    <s v="SELECT *, input_file_name() FROM json.′/Volumes/retail/landing/customers/′"/>
    <s v="SELECT *, file_name() FROM json.′/Volumes/retail/landing/customers/′"/>
    <s v="SELECT *,  file_path() FROM json.′/Volumes/retail/landing/customers/′"/>
    <s v="SELECT *, get_json_object(file_path) FROM json.′/Volumes/retail/landing/customers/′"/>
    <s v="SELECT *, source_path() FROM json.′/Volumes/retail/landing/customers/′"/>
    <m/>
    <s v="A"/>
    <s v="When querying files in Spark SQL, it‘s often useful to identify which file each row came from, especially for data quality checks, lineage tracking, or debugging ingestion issues. Spark provides the built-in function input_file_name() for this purpose._x000a_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_x000a_Although newer Spark versions (like Runtime 13.3 and above) also support _metadata.file_path, that approach is not yet covered by the current Databricks certification exam, which still expects input_file_name() ._x000a_Any other function like file_name(), file_path(), or source_path() does not exist in Spark SQL and would cause errors."/>
    <m/>
    <m/>
    <m/>
    <n v="1"/>
    <m/>
    <m/>
    <m/>
    <m/>
  </r>
  <r>
    <x v="0"/>
    <n v="1683"/>
    <x v="12"/>
    <n v="23"/>
    <m/>
    <m/>
    <m/>
    <s v="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
    <s v="SELECT * FROM dbfs.′/Volumes/data/customers/′"/>
    <s v="SELECT * FROM ′/Volumes/data/customers/′ USING JSON"/>
    <s v="SELECT * FROM read.json(‘/Volumes/data/customers/‘)"/>
    <s v="SELECT * FROM json.′/Volumes/data/customers/′"/>
    <s v="SELECT * FROM format.′json:/Volumes/data/customers/′"/>
    <m/>
    <s v="D"/>
    <s v="hen querying data directly from files in Spark SQL without creating a table, you must use a data source format prefix (like json., parquet., etc.) before the file path. This tells Spark how to interpret the file content. In this case, since the files are JSON, the correct format is:_x000a_SELECT * FROM json.′/path/to/folder/′_x000a_This syntax allows Spark to directly read JSON files from the specified folder path using the json. data source. Other syntaxes like dbfs. or read.json() are either specific to PySpark or invalid in Spark SQL."/>
    <m/>
    <m/>
    <m/>
    <n v="1"/>
    <m/>
    <m/>
    <m/>
    <m/>
  </r>
  <r>
    <x v="0"/>
    <n v="1684"/>
    <x v="12"/>
    <n v="24"/>
    <m/>
    <m/>
    <m/>
    <s v="An analyst wants to run ad hoc SQL queries and build dashboards within the Databricks SQL workspace. Theyre unsure which compute resource to use when configuring their environment. Which compute resource should they select to support this use case?"/>
    <s v="Delta Live Tables Pipeline Cluster"/>
    <s v="Databricks Jobs Compute"/>
    <s v="SQL Warehouse"/>
    <s v="Notebook Cluster"/>
    <s v="All-purpose Compute Cluster"/>
    <m/>
    <s v="C"/>
    <s v="In the Databricks platform, SQL Warehouses (formerly SQL Endpoints) are the compute resources purpose-built for executing SQL queries in the Databricks SQL workspace. They support BI tools, scheduled queries, and dashboards."/>
    <m/>
    <m/>
    <m/>
    <m/>
    <n v="1"/>
    <m/>
    <m/>
    <m/>
  </r>
  <r>
    <x v="0"/>
    <n v="1685"/>
    <x v="12"/>
    <n v="25"/>
    <m/>
    <m/>
    <m/>
    <s v="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
    <s v="Select a high-concurrency cluster from the cluster pool"/>
    <s v="Configure the task to use a job cluster defined in the task settings"/>
    <s v="Attach the task to a shared all-purpose cluster with auto-scaling enabled"/>
    <s v="Use an interactive cluster with auto-termination set"/>
    <s v="Attach the task to a workspace default cluster and enable cluster reuse"/>
    <m/>
    <s v="B"/>
    <s v="When configuring a Databricks Job, especially for scheduled, production-style data processing, it‘s important to choose a compute environment that matches the goals of:_x000a_Cost efficiency (dont pay for idle compute)_x000a_Isolation (no interference from other jobs or users)_x000a_Automation (no need to manually start or stop clusters)_x000a_To meet these goals, the engineer should use a job cluster, which is a special type of cluster defined within the job configuration (specifically, inside the task settings). A job cluster:_x000a_Starts automatically when the task begins_x000a_Terminates automatically when the task ends_x000a_Is fully isolated from other jobs or users_x000a_Can be configured with its own custom runtime version, Spark config, and libraries_x000a_This makes it ideal for daily or production jobs, where you want predictable, controlled environments and no waste from idle clusters._x000a_By contrast:_x000a_All-purpose or interactive clusters are meant for development, stay active, and may be shared_x000a_Cluster pools reduce startup time but dont replace the need for job clusters_x000a_Auto-termination on interactive clusters is helpful, but doesnt provide task-level control or isolation"/>
    <m/>
    <m/>
    <m/>
    <m/>
    <m/>
    <m/>
    <m/>
    <s v="ephemeral"/>
  </r>
  <r>
    <x v="0"/>
    <n v="1686"/>
    <x v="12"/>
    <n v="26"/>
    <m/>
    <m/>
    <m/>
    <s v="A Spark table contains a column named items with the following structure:"/>
    <s v="explode(tags)"/>
    <s v="transform(tags, x -&gt; x)"/>
    <s v="flatten(tags)"/>
    <s v="group_by(tags)"/>
    <s v="map_values(tags)"/>
    <m/>
    <s v="A"/>
    <s v="To generate one row per array element while duplicating the other columns such as id, Spark SQL provides the explode() function. It takes an array column and returns multiple rowsone for each array element._x000a__x000a_For example:_x000a__x000a_id tags_x000a_1 [“sale“, “popular“]_x000a__x000a_After explode(tags) becomes:_x000a__x000a_id tag_x000a_1 sale_x000a_1 popular_x000a_Why the other options are incorrect_x000a_Option Reason_x000a_transform(tags, x -&gt; x) Transforms array elements but still returns a single array, not multiple rows_x000a_flatten(tags) Only flattens nested arrays, does not produce multiple rows_x000a_group_by(tags) Has nothing to do with expanding arrays_x000a_map_values(tags) Works on map types, not arrays"/>
    <m/>
    <m/>
    <m/>
    <m/>
    <n v="1"/>
    <m/>
    <m/>
    <m/>
  </r>
  <r>
    <x v="0"/>
    <n v="1687"/>
    <x v="12"/>
    <n v="27"/>
    <m/>
    <m/>
    <m/>
    <s v="A job is configured to run on a custom cron expression in Databricks. The engineer wants to monitor the execution history, including run status, duration, and any associated logs for each scheduled run."/>
    <s v="Which location in the Databricks UI provides this information?"/>
    <s v="Monitoring tab in the SQL Warehouse"/>
    <s v="Revisions tab in the jobs associated notebook"/>
    <s v="Driver logs in the Cluster UI"/>
    <s v="Metrics dashboard in the Admin Console"/>
    <s v="Job Runs tab in the Job details page"/>
    <s v="E"/>
    <s v="Correct_x000a_Option E. Job Runs tab in the Job details page This is the correct answer. The Job Runs tab in the Job details page provides a detailed execution history of all scheduled runs. It shows:_x000a__x000a_Run status (success, failed, canceled)_x000a_Duration of each run_x000a_Associated logs and output details_x000a_This is the central place in the Databricks UI for monitoring scheduled job executions._x000a__x000a_Incorrect_x000a_Option A. Monitoring tab in the SQL Warehouse This tab is used for monitoring SQL Warehouse queries and performance, not job execution history._x000a__x000a_Option B. Revisions tab in the job’s associated notebook The Revisions tab shows notebook version history, not job run details._x000a__x000a_Option C. Driver logs in the Cluster UI Driver logs provide cluster-level execution details, but they do not give a consolidated view of job run history._x000a__x000a_Option D. Metrics dashboard in the Admin Console The Admin Console metrics dashboard shows overall workspace usage and performance metrics, not specific job run history."/>
    <m/>
    <m/>
    <m/>
    <m/>
    <n v="1"/>
    <m/>
    <m/>
    <m/>
  </r>
  <r>
    <x v="0"/>
    <n v="1688"/>
    <x v="12"/>
    <n v="28"/>
    <m/>
    <m/>
    <m/>
    <s v="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
    <s v="Increase SQL warehouse size (scale up compute resources)"/>
    <s v="Enable query result caching"/>
    <s v="Increase the size of the cluster to improve compute resources for the query"/>
    <s v="Enable Photon acceleration for the warehouse"/>
    <s v="Increase the number of clusters in the scaling configuration"/>
    <m/>
    <s v="A"/>
    <s v="Correct_x000a__x000a_Option A. Increase SQL warehouse size (scale up compute resources)_x000a__x000a_Reasoning:_x000a__x000a_Since the issue is caused by a single complex query against a large dataset, concurrency is not the bottleneck._x000a_Scaling up the SQL warehouse size provides more CPU and memory resources to process the query faster._x000a_This is the most effective configuration change for improving performance in this scenario._x000a_Incorrect_x000a__x000a_Option B. Enable multi-cluster load balancing for concurrency_x000a__x000a_Incorrect because multi-cluster setups help when multiple queries or users are running simultaneously._x000a_Here, only one query is slow, so concurrency scaling does not help._x000a_Option C. Configure query result caching_x000a__x000a_Incorrect because caching improves performance for repeated queries._x000a_This is a single complex query, so caching will not reduce its initial latency._x000a_Option D. Adjust auto-scaling settings_x000a__x000a_Incorrect because auto-scaling is useful for workloads with varying concurrency._x000a_For a single heavy query, scaling up the base warehouse size is more effective."/>
    <m/>
    <m/>
    <m/>
    <m/>
    <n v="1"/>
    <m/>
    <m/>
    <m/>
  </r>
  <r>
    <x v="0"/>
    <n v="1689"/>
    <x v="12"/>
    <n v="29"/>
    <m/>
    <m/>
    <m/>
    <s v="A data engineer wants to create a user-defined function (UDF) in Databricks using SQL._x000a__x000a_The function should:_x000a__x000a_Concatenate a first name and last name_x000a__x000a_Capitalize each part_x000a__x000a_Return the full name_x000a__x000a_Which statement correctly defines this function?"/>
    <s v="CREATE FUNCTION format_name(fname STRING, lname STRING)_x000a_RETURNS STRING_x000a_AS ‘SELECT UPPER(fname) || “ “ || UPPER(lname)‘;"/>
    <s v="CREATE FUNCTION format_name(fname STRING, lname STRING)_x000a_RETURNS STRING_x000a_USING ‘INITCAP(fname) || INITCAP(lname)‘;"/>
    <s v="CREATE OR REPLACE FUNCTION format_name(fname STRING, lname STRING)_x000a_RETURNS STRING_x000a_RETURN INITCAP(fname) || ‘ ‘ || INITCAP(lname);"/>
    <s v="CREATE TEMPORARY FUNCTION format_name AS_x000a_(fname STRING, lname STRING) -&gt; INITCAP(fname) + ‘ ‘ + INITCAP(lname);"/>
    <s v="CREATE OR REPLACE FUNCTION format_name(fname, lname)_x000a_RETURN INITCAP(fname) || ‘ ‘ || INITCAP(lname);"/>
    <m/>
    <s v="C"/>
    <s v="Correct_x000a_Option C._x000a__x000a_sql_x000a_CREATE OR REPLACE FUNCTION format_name(fname STRING, lname STRING)_x000a_RETURNS STRING_x000a_RETURN INITCAP(fname) || ' ' || INITCAP(lname);_x000a_✅ Correct. This syntax properly defines a SQL UDF in Databricks._x000a_INITCAP() capitalizes the first letter of each word._x000a_Concatenation with || ' ' || ensures a space between first and last names._x000a_CREATE OR REPLACE FUNCTION is the correct way to define or update a UDF in Databricks SQL._x000a_Incorrect_x000a_Option A._x000a__x000a_sql_x000a_CREATE FUNCTION format_name(fname STRING, lname STRING)_x000a_RETURNS STRING_x000a_AS 'SELECT UPPER(fname) || &quot; &quot; || UPPER(lname)';_x000a_❌ Incorrect. The AS 'SELECT ...' syntax is invalid for defining SQL UDFs in Databricks._x000a_Also, UPPER() capitalizes the entire string, not just the first letter, which does not meet the requirement._x000a_Option B._x000a__x000a_sql_x000a_CREATE FUNCTION format_name(fname STRING, lname STRING)_x000a_RETURNS STRING_x000a_USING 'INITCAP(fname) || INITCAP(lname)';_x000a_❌ Incorrect. The USING clause is not valid for SQL UDF creation in Databricks._x000a_Additionally, this misses the space between first and last names._x000a_Option D._x000a__x000a_sql_x000a_CREATE TEMPORARY FUNCTION format_name AS_x000a_(fname STRING, lname STRING) -&gt; INITCAP(fname) + ' ' + INITCAP(lname);_x000a_❌ Incorrect. This syntax resembles Spark SQL temporary functions in Scala/Python, not SQL UDFs._x000a_Databricks SQL requires RETURN syntax, not arrow functions._x000a_Option E._x000a__x000a_sql_x000a_CREATE OR REPLACE FUNCTION format_name(fname, lname)_x000a_RETURN INITCAP(fname) || ' ' || INITCAP(lname);_x000a_❌ Incorrect. This omits the data type declarations (STRING) for parameters, which are required in Databricks SQL UDF definitions."/>
    <m/>
    <m/>
    <m/>
    <m/>
    <n v="1"/>
    <m/>
    <m/>
    <m/>
  </r>
  <r>
    <x v="0"/>
    <n v="1690"/>
    <x v="12"/>
    <n v="30"/>
    <m/>
    <m/>
    <m/>
    <s v="Scenario: Which of the following best describes the difference between all-purpose clusters and job clusters in Databricks?"/>
    <s v="Job clusters support SQL only, while all-purpose clusters support Python and Scala"/>
    <s v="All-purpose clusters are serverless, while job clusters require manual configuration"/>
    <s v="All-purpose clusters are for collaborative, interactive use and persist across sessions; job clusters are created for a single run and terminate after completion"/>
    <s v="All-purpose clusters: Shared, reusable, ideal for development and collaboration"/>
    <s v="Job clusters: Created automatically for job runs, isolated per job, and terminate on completion, ideal for automated production pipelines"/>
    <m/>
    <s v="C"/>
    <s v="Correct_x000a_Option C: All-purpose clusters are for collaborative, interactive use and persist across sessions; job clusters are created for a single run and terminate after completion_x000a__x000a_Explanation:_x000a__x000a_All-purpose clusters:_x000a_Designed for interactive, collaborative work (e.g., notebooks, ad-hoc queries, data exploration)._x000a_They can be shared among multiple users and persist across sessions until manually terminated._x000a_Job clusters:_x000a_Created automatically when a job is triggered._x000a_They are isolated per job run and terminate once the job completes._x000a_Ideal for production pipelines where cost efficiency and isolation are important._x000a_This option correctly captures the fundamental difference between the two cluster types._x000a_Incorrect_x000a_Option A: Job clusters support SQL only, while all-purpose clusters support Python and Scala_x000a__x000a_Incorrect because both cluster types support multiple languages (SQL, Python, Scala, R)._x000a_The difference is in usage pattern and lifecycle, not language support._x000a_Option B: All-purpose clusters are serverless, while job clusters require manual configuration_x000a__x000a_Misleading._x000a_Databricks does offer serverless SQL warehouses, but all-purpose clusters themselves are not inherently serverless._x000a_Both cluster types can be configured, and job clusters are typically auto-provisioned, not manually configured each time._x000a_Option D: All-purpose clusters: Shared, reusable, ideal for development and collaboration_x000a__x000a_This describes all-purpose clusters correctly, but it ignores job clusters._x000a_Since the question asks for the difference, this option is incomplete._x000a_Option E: Job clusters: Created automatically for job runs, isolated per job, and terminate on completion, ideal for automated production pipelines_x000a__x000a_This describes job clusters correctly, but it ignores all-purpose clusters._x000a_Again, incomplete because the exam expects recognition of the contrast between both cluster types."/>
    <m/>
    <m/>
    <m/>
    <m/>
    <m/>
    <m/>
    <m/>
    <m/>
  </r>
  <r>
    <x v="0"/>
    <n v="1691"/>
    <x v="12"/>
    <n v="31"/>
    <m/>
    <m/>
    <m/>
    <s v="Which feature allows users to write and execute code in multiple languages within the same Databricks notebook?"/>
    <s v="Cross-language SQL translation engine"/>
    <s v="Magic commands engine using default notebook language setting"/>
    <s v="Databricks Repos with integrated CI/CD pipelines"/>
    <s v="Use of language-specific magic commands like %python, %sql, %scala, and %sh"/>
    <s v="Multi-kernel runtime attached to the notebook"/>
    <m/>
    <s v="D"/>
    <s v="Databricks notebooks support multiple programming languages by using magic commands:_x000a__x000a_These commands allow users to mix Python, SQL, Scala, and shell scripts in different cells of the same notebook._x000a__x000a_Example usage:_x000a__x000a_SQL queries in %sql cells_x000a__x000a_Data transformations in %python cells_x000a__x000a_File operations in %sh cells_x000a__x000a_This enables a seamless multi-language development experience, useful for data engineers, analysts, and data scientists working with diverse workloads._x000a__x000a_Magic commands are the key feature that makes multi-language execution possible in a single Databricks notebook."/>
    <m/>
    <m/>
    <m/>
    <m/>
    <m/>
    <m/>
    <m/>
    <m/>
  </r>
  <r>
    <x v="0"/>
    <n v="1692"/>
    <x v="12"/>
    <n v="32"/>
    <m/>
    <m/>
    <m/>
    <s v="You are managing a Delta Lake table and want to enforce a new constraint to ensure that a certain column, ‘age‘, always has values greater than zero. Which command would you use to add this constraint?"/>
    <s v="ALTER TABLE my_table ADD PRIMARY KEY (age);"/>
    <s v="ALTER TABLE my_table ADD CONSTRAINT age_greater_than_zero CHECK (age &gt; 0);"/>
    <s v="ALTER TABLE my_table SET TBLPROPERTIES (‘age_greater_than_zero‘ = ‘true‘);"/>
    <s v="CREATE TABLE my_table WITH CONSTRAINT age_greater_than_zero CHECK (age &gt; 0);"/>
    <m/>
    <m/>
    <s v="B"/>
    <s v="To enforce that the age column in your Delta Lake table always contains values greater than zero, you should use a CHECK constraint with the ALTER TABLE ADD CONSTRAINT command. For example:_x000a_ALTER TABLE my_table ADD CONSTRAINT age_greater_than_zero CHECK (age &gt; 0);_x000a_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
    <m/>
    <m/>
    <m/>
    <m/>
    <m/>
    <m/>
    <m/>
    <m/>
  </r>
  <r>
    <x v="0"/>
    <n v="1693"/>
    <x v="12"/>
    <n v="33"/>
    <m/>
    <m/>
    <m/>
    <s v="In a Databricks Lakehouse environment, you are tasked with setting up tables for a new data pipeline. Your goal is to optimize for both performance and governance. Which of the following scenarios is best suited for using a managed table over an external table?"/>
    <s v="You have data stored in a cloud-based data lake that you want to query without moving it."/>
    <s v="You need to ensure that the lifecycle of the data is automatically managed along with the table."/>
    <s v="You need to share the data with other systems that do not use Databricks."/>
    <s v="You want to directly manage the location and format of the underlying data files."/>
    <m/>
    <m/>
    <s v="B"/>
    <s v="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_x000a_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
    <m/>
    <m/>
    <m/>
    <m/>
    <m/>
    <m/>
    <m/>
    <m/>
  </r>
  <r>
    <x v="0"/>
    <n v="1694"/>
    <x v="12"/>
    <n v="34"/>
    <m/>
    <m/>
    <m/>
    <s v="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
    <s v="numSourceRows"/>
    <s v="numTargetRowsInserted"/>
    <s v="numOutputRows"/>
    <s v="numTargetRowsUpdated"/>
    <m/>
    <m/>
    <s v="C"/>
    <s v="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_x000a_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
    <m/>
    <m/>
    <m/>
    <m/>
    <n v="1"/>
    <m/>
    <m/>
    <m/>
  </r>
  <r>
    <x v="0"/>
    <n v="1695"/>
    <x v="12"/>
    <n v="35"/>
    <m/>
    <m/>
    <m/>
    <s v="A data engineer is setting up Delta Sharing for a new partner who does not have a Databricks workspace. What is a limitation they should consider when using open sharing with OIDC token federation?"/>
    <s v="OIDC token federation requires the recipient to have a Databricks workspace."/>
    <s v="It does not support real-time data updates."/>
    <s v="It requires the recipient to manage their own authentication mechanism."/>
    <s v="OIDC tokens allow unlimited access to the shared data without requiring token renewal."/>
    <m/>
    <m/>
    <s v="C"/>
    <s v="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_x000a_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
    <m/>
    <m/>
    <m/>
    <m/>
    <m/>
    <m/>
    <m/>
    <m/>
  </r>
  <r>
    <x v="0"/>
    <n v="1696"/>
    <x v="12"/>
    <n v="36"/>
    <m/>
    <m/>
    <m/>
    <s v="A data provider has shared several Delta tables with a partner organization using Databricks-to-Databricks Delta Sharing. They now want to monitor who is accessing the shared data for governance and auditing purposes. Which feature should they use?"/>
    <s v="Enable OIDC federation to capture external IdP-level access logs"/>
    <s v="Use Unity Catalog audit logs to track access to the shared Delta tables"/>
    <s v="Configure cluster driver logs to record queries on shared data"/>
    <s v="Use Delta Sharing profiles to capture recipient usage statistics"/>
    <m/>
    <m/>
    <s v="B"/>
    <s v="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
    <m/>
    <m/>
    <m/>
    <m/>
    <m/>
    <m/>
    <m/>
    <m/>
  </r>
  <r>
    <x v="0"/>
    <n v="1697"/>
    <x v="12"/>
    <n v="37"/>
    <m/>
    <m/>
    <m/>
    <s v="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
    <s v="“org.apache.spark.sql.jdbc“"/>
    <s v="“jdbc“"/>
    <s v="“sqlite“"/>
    <s v="“delta“"/>
    <m/>
    <m/>
    <s v="B"/>
    <s v="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
    <m/>
    <m/>
    <m/>
    <n v="1"/>
    <m/>
    <m/>
    <m/>
    <m/>
  </r>
  <r>
    <x v="0"/>
    <n v="1698"/>
    <x v="12"/>
    <n v="38"/>
    <m/>
    <m/>
    <m/>
    <s v="What is the primary purpose of an alert in the Databricks SQL environment?"/>
    <s v="To trigger notifications when the result of a scheduled query meets a condition"/>
    <s v="To automatically apply cost-based optimization to SQL queries"/>
    <s v="To periodically refresh SQL dashboards and apply real-time visual filters"/>
    <s v="To track changes to Delta tables"/>
    <s v="To enforce access control policies on SQL dashboards using tags and ACLs"/>
    <m/>
    <s v="A"/>
    <s v="This question tests your understanding of the core purpose of SQL alerts in Databricks, a feature designed for automated monitoring of query results._x000a_In many data-driven environments, teams need to react to specific thresholds or anomalies in data,_x000a_for example:_x000a_Sales dropping below a daily target_x000a_Churn rate exceeding acceptable levels_x000a_Inventory counts hitting zero_x000a_Rather than relying on someone manually reviewing a dashboard, SQL alerts let you define conditions on a scheduled SQL query, such as:_x000a_SELECT total_sales FROM daily_summary WHERE total_sales &lt; 10000_x000a_You can then set up the alert to trigger notifications (via email or webhook) if the condition is met. This enables automated, real-time monitoring of important metrics."/>
    <m/>
    <m/>
    <m/>
    <m/>
    <m/>
    <m/>
    <m/>
    <m/>
  </r>
  <r>
    <x v="0"/>
    <n v="1699"/>
    <x v="12"/>
    <n v="39"/>
    <m/>
    <m/>
    <m/>
    <s v="A data engineer is implementing a medallion architecture using Spark Structured Streaming."/>
    <s v="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
    <s v="(spark.readStream .format(“delta“) .load(“/mnt/bronze“) .filter(“event_type IS NOT NULL“) .select(“user_id“, “event_type“) .writeStream .format(“delta“) .option(“checkpointLocation“, “/mnt/checkpoints/silver“) .start(“/mnt/silver“))"/>
    <s v="(spark.readStream .format(“delta“) .load(“/mnt/bronze“) .filter(“event_type IS NOT NULL“) .select(“user_id“, “event_type“, “timestamp“) .write .format(“delta“) .mode(“append“) .save(“/mnt/silver“))"/>
    <s v="(spark.readStream .format(“delta“) .load(“/mnt/bronze“) .filter(“event_type IS NOT NULL“) .select(“user_id“, “event_type“, “timestamp“) .writeStream .format(“delta“) .option(“checkpointLocation“, “/mnt/checkpoints/silver“) .start(“/mnt/silver“))"/>
    <s v="(spark.readStream .format(“delta“) .load(“/mnt/bronze“) .select(“user_id“, “event_type“, “timestamp“) .writeStream .format(“delta“) .option(“checkpointLocation“, “/mnt/checkpoints/silver“) .start(“/mnt/silver“))"/>
    <s v="(spark.read .format(“delta“) .load(“/mnt/bronze“) .filter(“event_type IS NOT NULL“) .select(“user_id“, “event_type“, “timestamp“) .write .format(“delta“) .mode(“append“) .save(“/mnt/silver“))"/>
    <s v="C"/>
    <s v="To correctly implement a Bronze-to-Silver hop in Spark Structured Streaming:_x000a__x000a_Read as a stream: readStream from the Bronze Delta table_x000a__x000a_Apply transformations: filter out null event_type and select required columns (user_id, event_type, timestamp)_x000a__x000a_Write as a stream: writeStream to the Silver Delta table_x000a__x000a_Include checkpointing: ensures fault tolerance and exactly-once semantics_x000a__x000a_Only Option C satisfies all these requirements, maintaining streaming mode and correctly implementing the described transformation."/>
    <m/>
    <m/>
    <m/>
    <m/>
    <n v="1"/>
    <m/>
    <m/>
    <m/>
  </r>
  <r>
    <x v="0"/>
    <n v="1700"/>
    <x v="12"/>
    <n v="40"/>
    <m/>
    <m/>
    <m/>
    <s v="What is a key benefit of ACID transactions in Delta Lake? (Choose 2 Choices)"/>
    <s v="They allow faster query execution using Delta caching"/>
    <s v="They ensure data consistency during concurrent reads and writes"/>
    <s v="They guarantee that write operations are either fully committed or rolled back"/>
    <s v="They automatically compact small Parquet files"/>
    <s v="They remove the need for schema enforcement"/>
    <m/>
    <s v="B,C"/>
    <s v="Delta Lake supports ACID transactions to ensure data reliability and correctness, especially in distributed, concurrent environments. These transactions guarantee that:_x000a_Atomicity: Write operations are fully completed or not applied at all, i.e., no partial writes._x000a_Consistency: Transactions always transition the table from one valid state to another._x000a_Isolation: Concurrent reads and writes dont interfere; readers see a consistent snapshot._x000a_Durability: Once a transaction is committed, the changes are permanently stored, even in the event of a failure._x000a_This behavior is critical when multiple users or jobs are interacting with the same table, such as during MERGE, UPDATE, or DELETE operations._x000a_Common misunderstandings include confusing ACID with performance enhancements (like Delta caching) or maintenance tasks (like OPTIMIZE or schema enforcement), which are separate Delta Lake features and not part of the ACID model."/>
    <m/>
    <m/>
    <m/>
    <m/>
    <m/>
    <m/>
    <m/>
    <m/>
  </r>
  <r>
    <x v="0"/>
    <n v="1701"/>
    <x v="12"/>
    <n v="41"/>
    <m/>
    <m/>
    <m/>
    <s v="A machine learning engineer is collaborating with a data science team to build and train models in Databricks._x000a__x000a_They need to ensure that:_x000a__x000a_All team members use the same version of Spark, Python libraries, and system settings_x000a__x000a_Built-in ML libraries like MLflow and scikit-learn are available without manual installation_x000a__x000a_What is the most effective way to meet these requirements?"/>
    <s v="Use a Delta Live Table pipeline to sync library versions across teams"/>
    <s v="Use a shared cluster configured with Databricks Runtime for Machine Learning"/>
    <s v="Create a Unity Catalog schema with all required ML packages attached"/>
    <s v=" Install libraries manually on each users cluster to ensure consistency"/>
    <s v="Configure a serverless SQL warehouse with MLflow installed as a custom library"/>
    <m/>
    <s v="B"/>
    <s v="To ensure consistent machine learning workflows:_x000a__x000a_Shared cluster with Databricks Runtime for Machine Learning ensures that all team members:_x000a__x000a_Run code in the same Spark runtime_x000a__x000a_Have identical Python libraries and system settings_x000a__x000a_Access preinstalled ML libraries (MLflow, scikit-learn, TensorFlow, XGBoost)_x000a__x000a_Benefits:_x000a__x000a_Eliminates manual setup_x000a__x000a_Avoids environment inconsistencies (it works on my machine)_x000a__x000a_Supports collaborative development efficiently_x000a__x000a_Other options (DLT pipelines, Unity Catalog, manual installs, SQL warehouses) either focus on data transformations, governance, or BI workloads and do not provide a unified runtime for ML tasks."/>
    <m/>
    <m/>
    <m/>
    <m/>
    <m/>
    <m/>
    <m/>
    <m/>
  </r>
  <r>
    <x v="0"/>
    <n v="1702"/>
    <x v="12"/>
    <n v="42"/>
    <m/>
    <m/>
    <m/>
    <s v="Which of the following is a limitation of Delta Sharing?"/>
    <s v="Recipients must have access to a Databricks workspace to query shared data."/>
    <s v="Delta sharing only enables sharing of data. Other databricks assets cannot be shared"/>
    <s v="Recipients can only access data in Parquet format."/>
    <s v="Both provider and recipient must be on the same cloud provider."/>
    <s v="Recipients can only query shared data in read-only mode."/>
    <m/>
    <s v="E"/>
    <s v="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
    <m/>
    <m/>
    <m/>
    <n v="1"/>
    <m/>
    <m/>
    <m/>
    <m/>
  </r>
  <r>
    <x v="0"/>
    <n v="1703"/>
    <x v="12"/>
    <n v="43"/>
    <m/>
    <m/>
    <m/>
    <s v="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
    <s v="Continuous mode"/>
    <s v="Streaming with Auto Loader mode"/>
    <s v="Triggered mode"/>
    <s v="Interactive mode"/>
    <s v="Real-time mode"/>
    <m/>
    <s v="C"/>
    <s v="Delta Live Tables supports two main pipeline modes:_x000a_Continuous for always-on, low-latency streaming_x000a_Triggered for periodic, batch-style updates with compute shut down between runs_x000a_Since the data arrives every few hours and low-latency is not required, Triggered mode is the best fit. It minimizes costs by only spinning up compute when needed, making it ideal for this IoT data scenario."/>
    <m/>
    <m/>
    <m/>
    <n v="1"/>
    <m/>
    <m/>
    <m/>
    <m/>
  </r>
  <r>
    <x v="0"/>
    <n v="1704"/>
    <x v="12"/>
    <n v="44"/>
    <m/>
    <m/>
    <m/>
    <s v="A marketing agency wants to share campaign performance data stored in Databricks with a partner that uses Tableau for analytics but does not have a Databricks workspace. The partner requires direct access from their BI tool. Which type of Delta Sharing should the agency use?"/>
    <s v="Databricks REST API"/>
    <s v="Open Sharing protocol"/>
    <s v="Lakehouse Federation"/>
    <s v="Databricks-to-Databricks protocol"/>
    <s v="Unity Catalog external locations"/>
    <m/>
    <s v="B"/>
    <s v="Delta Sharing provides two main protocols:_x000a_Databricks-to-Databricks ? for sharing with other UC-enabled workspaces, including Delta tables and additional assets._x000a_Open Sharing protocol ? for sharing only Delta tables with external tools like Tableau, Power BI, pandas, or Spark._x000a_Since the recipient in this scenario does not have Databricks, the correct solution is the Open Sharing protocol, which allows them to connect securely using a credential file without needing a Databricks workspace."/>
    <m/>
    <m/>
    <m/>
    <n v="1"/>
    <m/>
    <m/>
    <m/>
    <m/>
  </r>
  <r>
    <x v="0"/>
    <n v="1705"/>
    <x v="12"/>
    <n v="45"/>
    <m/>
    <m/>
    <m/>
    <s v="Which of the following best describes the relationship between a Data Lakehouse and a traditional data warehouse?"/>
    <s v="A Data Lakehouse is simply a cloud-hosted version of a Data Warehouse."/>
    <s v="A Data Lakehouse combines the capabilities of Data Lakes and Data Warehouses, enabling ACID transactions and support for both structured and unstructured data."/>
    <s v="A Data Lakehouse uses the same architecture as a Data Warehouse but adds streaming capabilities."/>
    <s v="A Data Lakehouse completely replaces traditional Data Warehouses by storing only structured data."/>
    <s v="A Data Lakehouse separates raw and processed data into different storage systems."/>
    <m/>
    <s v="B"/>
    <s v="The Data Lakehouse architecture aims to simplify the modern data stack by unifying the features of Data Lakes and Data Warehouses. It enables:_x000a_ACID transactions_x000a_Schema enforcement_x000a_Time travel and data versioning_x000a_BI, ML, and streaming workloads_x000a_Storage of all data types in open, scalable format_x000a_This eliminates the need for moving data between systems and reduces infrastructure complexity."/>
    <m/>
    <m/>
    <m/>
    <m/>
    <m/>
    <m/>
    <m/>
    <m/>
  </r>
  <r>
    <x v="0"/>
    <n v="1706"/>
    <x v="12"/>
    <n v="46"/>
    <m/>
    <m/>
    <m/>
    <s v="As a data engineer, you need to revert a Delta Lake table to a previous state due to an erroneous update. However, you must ensure no data is lost during this process. Which operation should you perform?"/>
    <s v="VACUUM"/>
    <s v="RESTORE"/>
    <s v="DROP TABLE"/>
    <s v="CLONE"/>
    <m/>
    <m/>
    <s v="B"/>
    <s v="To safely revert a Delta Lake table to a previous state without data loss after an erroneous update, use the RESTORE command, which leverages Delta Lakes transaction log to roll back the table to a specific version or timestamp while preserving all historical data._x000a_First, identify the correct version by running DESCRIBE HISTORY your_table; to view the tables change history._x000a_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
    <m/>
    <m/>
    <m/>
    <m/>
    <m/>
    <m/>
    <m/>
    <m/>
  </r>
  <r>
    <x v="0"/>
    <n v="1707"/>
    <x v="12"/>
    <n v="47"/>
    <m/>
    <m/>
    <m/>
    <s v="A data engineer is working with a column containing raw JSON strings and they want to retrieve the schema from one of the strings to help parse it later. Which Spark SQL function should they use to infer the schema from a JSON string?"/>
    <s v="parse_schema()"/>
    <s v="infer_json_schema()"/>
    <s v="json_schema_extract()"/>
    <s v="get_json_schema()"/>
    <s v="schema_of_json()"/>
    <m/>
    <s v="D"/>
    <s v="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_x000a_The function that enables this is: schema_of_json(json_string)_x000a_This function:_x000a_Takes a JSON string as input._x000a_Returns the inferred schema as a string in struct&lt;...&gt; format._x000a_Is commonly used to dynamically generate the schema for functions like from_json() or from_json(col, schema_of_json(col))."/>
    <m/>
    <m/>
    <m/>
    <n v="1"/>
    <m/>
    <m/>
    <m/>
    <m/>
  </r>
  <r>
    <x v="0"/>
    <n v="1708"/>
    <x v="12"/>
    <n v="48"/>
    <m/>
    <m/>
    <m/>
    <s v="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
    <s v="VACUUM"/>
    <s v="ANALYZE TABLE"/>
    <s v="MERGE INTO"/>
    <s v="COMPACT"/>
    <s v="OPTIMIZE"/>
    <m/>
    <s v="E"/>
    <s v="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
    <m/>
    <m/>
    <m/>
    <m/>
    <m/>
    <m/>
    <m/>
    <m/>
  </r>
  <r>
    <x v="0"/>
    <n v="1709"/>
    <x v="12"/>
    <n v="49"/>
    <m/>
    <m/>
    <m/>
    <s v="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
    <s v="Copy and paste the code from the config notebook into each Medallion stage notebook"/>
    <s v="Use the %run /Shared/Includes/config command at the top of each notebook"/>
    <s v="Clone the config notebook into each Medallion stage directory"/>
    <s v="Reference the config notebook via Unity Catalog schema mappings"/>
    <s v="Create a separate SQL warehouse for each layer and reference config as a parameter"/>
    <m/>
    <s v="B"/>
    <s v="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_x000a_Using %run ensures code reusability, easier maintenance, and consistency across pipeline stages."/>
    <m/>
    <m/>
    <m/>
    <m/>
    <m/>
    <m/>
    <m/>
    <m/>
  </r>
  <r>
    <x v="0"/>
    <n v="1710"/>
    <x v="12"/>
    <n v="50"/>
    <m/>
    <m/>
    <m/>
    <s v="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
    <s v="Job retry configuration"/>
    <s v="Notebook-level retry configuration"/>
    <s v="Cluster recovery configuration"/>
    <s v="Task retry configuration"/>
    <s v="Job timeout configuration"/>
    <m/>
    <s v="D"/>
    <s v="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
    <m/>
    <m/>
    <m/>
    <n v="1"/>
    <m/>
    <m/>
    <m/>
    <m/>
  </r>
  <r>
    <x v="0"/>
    <n v="1711"/>
    <x v="12"/>
    <n v="51"/>
    <m/>
    <m/>
    <m/>
    <s v="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
    <s v="Run Spark locally with sampled datasets for development."/>
    <s v="Upload Python files to Databricks and run them as scheduled jobs."/>
    <s v="Use Databricks Connect to link their IDE with a Databricks cluster for execution."/>
    <s v="Export their code as a JAR and run it from the Databricks CLI."/>
    <s v="Switch entirely to Databricks notebooks for development."/>
    <m/>
    <s v="C"/>
    <s v="The team wants to keep developing and debugging in PyCharm while running Spark against full Lakehouse data at cluster scale._x000a_Uploading code as jobs or packaging wheels executes remotely but does not give interactive, line-by-line debugging inside the IDE._x000a_Sampling data locally still hits laptop limits and does not test at realistic scale._x000a_Moving everything to notebooks gives interactivity but takes the team out of their preferred IDE workflow._x000a_Databricks Connect is the only option that lets engineers stay in PyCharm, set breakpoints, run tests, and debug locally while Spark code executes on a Databricks cluster. This preserves IDE productivity and provides the required performance and data access."/>
    <m/>
    <m/>
    <m/>
    <n v="1"/>
    <m/>
    <m/>
    <m/>
    <m/>
  </r>
  <r>
    <x v="0"/>
    <n v="1712"/>
    <x v="12"/>
    <n v="52"/>
    <m/>
    <m/>
    <m/>
    <s v="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
    <s v="Databricks Schedulers"/>
    <s v="Databricks Jobs"/>
    <s v="Databricks Triggers"/>
    <s v="Databricks Pipelines"/>
    <s v="Databricks Task Scheduler"/>
    <m/>
    <s v="B"/>
    <s v="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_x000a_Jobs also support notifications in case of success, failure, or retries, making it an ideal choice for scheduling the ETL process."/>
    <m/>
    <m/>
    <m/>
    <m/>
    <m/>
    <m/>
    <m/>
    <m/>
  </r>
  <r>
    <x v="0"/>
    <n v="1713"/>
    <x v="12"/>
    <n v="53"/>
    <m/>
    <m/>
    <m/>
    <s v="A global enterprise has data distributed across multiple cloud regions. To improve performance and reduce data movement costs, the company wants to implement Unity Catalog in a scalable way. What is the recommended best practice for configuring Unity Catalog metastores in this case?"/>
    <s v="Assign each business unit a separate catalog inside a single global metastore"/>
    <s v="Use Hive metastores with custom audit logging for each region"/>
    <s v="Create one metastore per region to minimize egress costs and improve latency"/>
    <s v="Use a single Unity Catalog metastore across all regions to simplify management"/>
    <s v="Deploy one metastore per workspace and synchronize them weekly"/>
    <m/>
    <s v="C"/>
    <s v="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_x000a_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
    <m/>
    <m/>
    <m/>
    <n v="1"/>
    <m/>
    <m/>
    <m/>
    <m/>
  </r>
  <r>
    <x v="0"/>
    <n v="1714"/>
    <x v="12"/>
    <n v="54"/>
    <m/>
    <m/>
    <m/>
    <s v="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
    <s v="The pipeline uses a batch read from Azure Data Lake"/>
    <s v="The pipeline uses Delta Lakes transaction log for ingestion"/>
    <s v="The pipeline uses Kafka for real-time JSON ingestion"/>
    <s v="The pipeline uses Auto Loader to ingest streaming JSON files"/>
    <s v="The pipeline uses COPY INTO to ingest files from the raw zone"/>
    <m/>
    <s v="D"/>
    <s v="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
    <m/>
    <m/>
    <m/>
    <m/>
    <m/>
    <m/>
    <m/>
    <m/>
  </r>
  <r>
    <x v="0"/>
    <n v="1715"/>
    <x v="12"/>
    <n v="55"/>
    <m/>
    <m/>
    <m/>
    <s v="A data engineer wants to apply a 20% value added tax to all item prices stored in a map column named item_prices, where the item names are the keys and prices are the values. Which of the following SQL expressions correctly updates the prices while keeping the keys unchanged?"/>
    <s v="SELECT transform_keys(item_prices, (k, v) -&gt; v * 1.20) FROM order_items;"/>
    <s v="SELECT map_values(item_prices, v -&gt; v * 1.20) FROM order_items;"/>
    <s v="SELECT transform(item_prices, (k, v) -&gt; struct(k, v * 1.20)) FROM order_items;"/>
    <s v="SELECT map(item_prices, (k, v) -&gt; (k, v * 1.20)) FROM order_items;"/>
    <s v="SELECT transform_values(item_prices, (k, v) -&gt; round(v * 1.20, 2)) FROM order_items;"/>
    <m/>
    <s v="E"/>
    <s v=" To apply a transformation specifically to the values of a MAP column in Spark SQL while preserving the keys, you should use the transform_values function._x000a_Why transform_values is correct:_x000a_It‘s designed to iterate over each key-value pair in a map._x000a_You can apply a transformation (like applying tax) only to the values._x000a_The keys remain unchanged, which is the requirement in this scenario._x000a_Why other options are incorrect:_x000a_transform_keys changes the keys, not values._x000a_transform is used for arrays, not maps._x000a_map() is a constructor, not a transformation function._x000a_map_values is not a valid function in Spark SQL._x000a_Using transform_values(item_prices, (k, v) -&gt; round(v * 1.20, 2)) is a clean and efficient way to apply the tax while keeping the item names intact."/>
    <m/>
    <m/>
    <m/>
    <m/>
    <n v="1"/>
    <m/>
    <m/>
    <m/>
  </r>
  <r>
    <x v="0"/>
    <n v="1716"/>
    <x v="12"/>
    <n v="56"/>
    <m/>
    <m/>
    <m/>
    <s v="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
    <s v="Enable lineage tracking for the reporting_team group in the Unity Catalog metastore."/>
    <s v="Grant the ALL PRIVILEGES on the sales_q1 schema to the reporting_team group."/>
    <s v="Grant the SELECT privilege again using the ALL PRIVILEGES keyword on the orders_summary table."/>
    <s v="Grant the USE CATALOG privilege on the analytics catalog to the reporting_team group."/>
    <s v="Assign the reporting_team group as the owner of the orders_summary table."/>
    <m/>
    <s v="D"/>
    <s v="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_x000a_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
    <m/>
    <m/>
    <m/>
    <m/>
    <n v="1"/>
    <m/>
    <m/>
    <m/>
  </r>
  <r>
    <x v="0"/>
    <n v="1717"/>
    <x v="12"/>
    <n v="57"/>
    <m/>
    <m/>
    <m/>
    <s v="A data engineer creates a table in Databricks using the following SQL command:_x000a__x000a_CREATE TABLE bronze.sales_x000a_(_x000a_order_id STRING,_x000a_customer_id STRING,_x000a_total_amount DECIMAL(10,2),_x000a_order_date DATE_x000a_);_x000a__x000a_They do not specify a storage location. The table is now available for other team members to query._x000a__x000a_Which of the following statements about this table is most likely true?"/>
    <s v="The table is a Delta Live Table"/>
    <s v="The table is global temporary object"/>
    <s v="The table an external table."/>
    <s v="The table is a temporary view"/>
    <s v="The table is a managed table"/>
    <m/>
    <s v="E"/>
    <s v="In Databricks, using CREATE TABLE without a LOCATION clause creates a managed table._x000a__x000a_Managed tables:_x000a__x000a_Store both metadata and data under the metastores control_x000a__x000a_Are persistent and available to all users with proper permissions_x000a__x000a_Automatically delete the underlying data if the table is dropped_x000a__x000a_This differs from:_x000a__x000a_External tables, which point to data outside the metastore_x000a__x000a_Views, which do not store data at all_x000a__x000a_Temporary tables, which are session-scoped and ephemeral"/>
    <m/>
    <m/>
    <m/>
    <m/>
    <m/>
    <m/>
    <m/>
    <s v="ephemeral"/>
  </r>
  <r>
    <x v="0"/>
    <n v="1718"/>
    <x v="12"/>
    <n v="58"/>
    <m/>
    <m/>
    <m/>
    <s v="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
    <s v="Enable Unity Catalog to propagate cluster configurations"/>
    <s v="Create a new notebook session to inherit the cluster changes"/>
    <s v="Restart the cluster to apply the updated environment variables"/>
    <s v="Detach and reattach the notebook to refresh the configurations"/>
    <s v="Re-run all cells in the notebook from the beginning"/>
    <m/>
    <s v="C"/>
    <s v="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_x000a_To ensure that new settings like environment variables are recognized, the engineer must restart the cluster manually."/>
    <m/>
    <m/>
    <m/>
    <m/>
    <n v="1"/>
    <m/>
    <m/>
    <m/>
  </r>
  <r>
    <x v="0"/>
    <n v="1719"/>
    <x v="12"/>
    <n v="59"/>
    <m/>
    <m/>
    <m/>
    <s v="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
    <s v="Trigger.AvailableNow(“60 seconds“)"/>
    <s v="Trigger.ProcessingTime(“1 minute“)"/>
    <s v="Trigger.Once()"/>
    <s v="Trigger.ProcessingTime(“60000“)"/>
    <s v="Trigger.Continuous(“60 seconds“)"/>
    <m/>
    <s v="B"/>
    <s v="In Spark Structured Streaming, the trigger defines how often data is processed._x000a_When you want the query to run every 60 seconds using micro-batches, the correct trigger is Trigger.ProcessingTime(“1 minute“)._x000a_This tells Spark to check for new data every 60 seconds and process it in a batch if available._x000a_It supports all standard streaming operations like aggregations, joins, and watermarking._x000a_Although Trigger.Continuous(“60 seconds“) may look similar, it uses continuous processing mode._x000a_This mode tries to process data as soon as it arrives and doesnt follow a fixed schedule._x000a_It has limited support for many operations and is not suitable for typical use cases needing micro-batch behavior._x000a_Trigger.Once() and Trigger.AvailableNow() run once or until all data is processed, then stopso they dont meet the every 60 seconds requirement._x000a_Using “60000“ as a string is invalid for ProcessingTime, because Spark expects a human-readable format like “60 seconds“."/>
    <m/>
    <m/>
    <m/>
    <n v="1"/>
    <m/>
    <m/>
    <m/>
    <m/>
  </r>
  <r>
    <x v="0"/>
    <n v="1720"/>
    <x v="12"/>
    <n v="60"/>
    <m/>
    <m/>
    <m/>
    <s v="A developer runs a PySpark application through Databricks Connect in VS Code. The code reads a Delta table, performs aggregations with Spark SQL, and then uses regular Python list comprehensions to process the collected results. Where does each part of the code run?"/>
    <s v="Both Spark and Python code execute on the Databricks cluster."/>
    <s v="Only SQL queries can be executed with Databricks Connect."/>
    <s v="Spark code executes on the Databricks cluster, while Python code executes locally."/>
    <s v="Both Spark and Python code execute locally in the IDE."/>
    <s v="Spark code executes locally in the IDE, while Python code executes on the cluster."/>
    <m/>
    <s v="C"/>
    <s v="Databricks Connect separates execution between the local environment and the Databricks cluster._x000a_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
    <m/>
    <m/>
    <m/>
    <n v="1"/>
    <m/>
    <m/>
    <m/>
    <s v="Databricks Connect"/>
  </r>
  <r>
    <x v="0"/>
    <n v="1721"/>
    <x v="13"/>
    <n v="1"/>
    <m/>
    <m/>
    <m/>
    <s v="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
    <s v="EXPLODE"/>
    <s v="WINDOW"/>
    <s v="UNION"/>
    <s v="GROUP BY"/>
    <s v="PIVOT"/>
    <m/>
    <s v="E"/>
    <s v="The correct answer is PIVOT, which is used in SQL to transform data from a long format (where each row represents a unique combination of values, such as one row per region per month) to a wide format (where each row represents a region, and months become separate columns)._x000a_This transformation is especially helpful when you want to:_x000a_Compare values across multiple columns instead of rows_x000a_Create cross-tab reports for analytics or visualization_x000a_Summarize grouped data more clearly_x000a_In Spark SQL, the PIVOT clause allows you to perform this transformation by specifying:_x000a_A grouping column (e.g., region)_x000a_A pivot column (e.g., month)_x000a_An aggregation function (e.g., SUM(sales_amount))_x000a_This results in one row per region, with separate columns like Jan, Feb, and Mar holding the corresponding sales values."/>
    <m/>
    <m/>
    <m/>
    <m/>
    <n v="1"/>
    <m/>
    <m/>
    <m/>
  </r>
  <r>
    <x v="0"/>
    <n v="1722"/>
    <x v="13"/>
    <n v="2"/>
    <m/>
    <m/>
    <m/>
    <s v="A data engineer uses Auto Loader to ingest JSON files into a Bronze Delta table. After reviewing the inferred schema, they notice that all fields are STRING, even for columns that clearly contain numeric or boolean values. What is the most likely reason for this behavior?"/>
    <s v="The checkpoint location was not configured, so schema inference failed"/>
    <s v="Spark‘s DataFrameReader was used incorrectly within Auto Loader"/>
    <s v="The JSON files are malformed and cannot be inferred reliably"/>
    <s v="Auto Loader infers all columns as STRING by default for formats without embedded types"/>
    <s v="Auto Loader cannot infer nested structures in JSON, so it defaults to STRING"/>
    <m/>
    <s v="D"/>
    <s v="This is the default behavior of Auto Loader. For formats like JSON, CSV, and XML, which do not embed data type information, Auto Loader infers all fields as STRING to avoid unsafe type assumptions, including deeply nested fields._x000a_In contrast, Apache Sparks DataFrameReader does perform type inference from sample data for these formats._x000a_To enable similar type inference behavior in Auto Loader, you can set the following option:_x000a_.option(“cloudFiles.inferColumnTypes“, “true“)_x000a_This allows Auto Loader to sample data and infer actual types, just like DataFrameReader does."/>
    <m/>
    <m/>
    <m/>
    <m/>
    <n v="1"/>
    <m/>
    <m/>
    <m/>
  </r>
  <r>
    <x v="0"/>
    <n v="1723"/>
    <x v="13"/>
    <n v="3"/>
    <m/>
    <m/>
    <m/>
    <s v="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
    <s v="map_filter"/>
    <s v="filter"/>
    <s v="transform_values"/>
    <s v="transform_keys"/>
    <s v="explode"/>
    <m/>
    <s v="C"/>
    <s v="In Spark SQL, when working with map columns, the best choice of function depends on what you want to modify:_x000a_If you want to change the values in the map (e.g. increasing prices), use transform_values_x000a_If you want to change the keys (e.g. renaming item names), use transform_keys_x000a_If you want to filter out some entries based on a condition, use map_filter_x000a_In this question, the requirement is to:_x000a_Increase all item prices by 10% (i.e., modify the values),_x000a_Leave the item names (keys) unchanged,_x000a_Retain all items (no filtering)._x000a_So, the most appropriate function is transform_values, which directly targets the values in a map without affecting the keys or structure._x000a_Other functions like explode, filter, and map_filter either operate on different data types (arrays) or modify structure or content in ways not suited for this task."/>
    <m/>
    <m/>
    <m/>
    <m/>
    <n v="1"/>
    <m/>
    <m/>
    <m/>
  </r>
  <r>
    <x v="0"/>
    <n v="1724"/>
    <x v="13"/>
    <n v="4"/>
    <m/>
    <m/>
    <m/>
    <s v="A global retailer shares product inventory tables from their Databricks workspace in AWS US-East with a supplier that consumes the data daily from Azure EU-West using Delta Sharing. What cost consideration should the retailer be aware of?"/>
    <s v="Delta Sharing charges extra licensing fees per table shared across accounts."/>
    <s v="Delta Sharing automatically eliminates all network transfer costs through compression."/>
    <s v="Delta Sharing usage is free of network costs, regardless of cloud or region."/>
    <s v="All costs are billed to the data recipient, not the provider."/>
    <s v="Cross-cloud or cross-region data sharing may incur additional egress charges."/>
    <m/>
    <s v="E"/>
    <s v="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
    <m/>
    <m/>
    <m/>
    <m/>
    <n v="1"/>
    <m/>
    <m/>
    <m/>
  </r>
  <r>
    <x v="0"/>
    <n v="1725"/>
    <x v="13"/>
    <n v="5"/>
    <m/>
    <m/>
    <m/>
    <s v="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
    <s v="Lakehouse Federation"/>
    <s v="Unity Catalog"/>
    <s v="Delta Sharing"/>
    <s v="Databricks REST APIs"/>
    <s v="Databricks Connect"/>
    <m/>
    <s v="E"/>
    <s v="In this scenario, engineers want to keep using their preferred IDEs such as VS Code or PyCharm, while still running Spark code on Databricks clusters._x000a_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_x000a_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
    <m/>
    <m/>
    <m/>
    <n v="1"/>
    <m/>
    <m/>
    <m/>
    <m/>
  </r>
  <r>
    <x v="0"/>
    <n v="1726"/>
    <x v="13"/>
    <n v="6"/>
    <m/>
    <m/>
    <m/>
    <s v="Which of the following scenarios is most appropriate for using Auto Loader?"/>
    <s v="Ingesting JSON data in real-time from a Kafka topic"/>
    <s v="Reading a static Parquet file to create a temporary Spark view"/>
    <s v="Migrating a large volume of historical records from an on-premises SQL Server"/>
    <s v="Periodically ingesting new files that arrive in cloud storage into a Bronze table"/>
    <s v="A one-time load of a large CSV file from Azure Data Lake into a Delta table"/>
    <m/>
    <s v="D"/>
    <s v="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_x000a_Auto Loader is especially useful in Bronze layer ingestion within the Medallion Architecture, where new raw data files (often in formats like JSON, CSV, or Parquet) are dropped into a landing zone and must be ingested reliably without duplication._x000a_Key benefits include:_x000a_Incremental file discovery using file metadata logs or directory listings_x000a_Schema inference and optional schema evolution_x000a_Fault tolerance and recovery via checkpointing_x000a_Low operational overhead  no need to reprocess files manually_x000a_It is not intended for one-time batch loads, static file reads, or direct ingestion from databases or message queues (like Kafka)._x000a_Thats why the correct use case is one where new files arrive over time in a cloud folder. Auto Loader can efficiently pick them up, process them, and write them to a structured format like Delta."/>
    <m/>
    <m/>
    <m/>
    <m/>
    <m/>
    <m/>
    <m/>
    <s v="Kafka "/>
  </r>
  <r>
    <x v="0"/>
    <n v="1727"/>
    <x v="13"/>
    <n v="7"/>
    <m/>
    <m/>
    <m/>
    <s v="What is the primary purpose of using a Medallion Architecture in a Data Lakehouse environment?"/>
    <s v="To store data from different departments in physically isolated locations"/>
    <s v="To improve data availability by duplicating all tables across cloud regions"/>
    <s v="To organize data into progressively refined layers for scalability, quality, and analytics readiness"/>
    <s v="To enforce strict schema rules during initial ingestion to avoid transformation steps"/>
    <s v="To ensure data is stored in multiple file formats for compatibility"/>
    <m/>
    <s v="C"/>
    <s v="The Medallion Architecture is a logical layering pattern used in Data Lakehouse implementations to incrementally refine data:_x000a_Bronze Layer: Raw ingested data (often unvalidated or semi-structured)_x000a_Silver Layer: Cleaned and enriched data with business logic applied_x000a_Gold Layer: Aggregated and analytics-ready data for reporting or ML_x000a_This structure promotes reusability, traceability, and maintainability in modern data pipelines."/>
    <m/>
    <m/>
    <m/>
    <m/>
    <m/>
    <m/>
    <m/>
    <m/>
  </r>
  <r>
    <x v="0"/>
    <n v="1728"/>
    <x v="13"/>
    <n v="8"/>
    <m/>
    <m/>
    <m/>
    <s v="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
    <s v="Implement a try-catch logic within Task C to handle dependency on Task A and B."/>
    <s v="Create Task D that monitors Task A and Task B, and triggers Task C only if both complete successfully."/>
    <s v="Configure all tasks to run in parallel with no dependencies, and handle the dependency in the code logic."/>
    <s v="Use task condition expressions in Task C to check success status of Task A and B before execution."/>
    <s v="Configure Task C to depend on both Task A and Task B directly in the job settings."/>
    <m/>
    <s v="E"/>
    <s v="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
    <m/>
    <m/>
    <m/>
    <m/>
    <m/>
    <m/>
    <m/>
    <m/>
  </r>
  <r>
    <x v="0"/>
    <n v="1729"/>
    <x v="13"/>
    <n v="9"/>
    <m/>
    <m/>
    <m/>
    <s v="A developer is creating a new Databricks Asset Bundle. They need to declare the bundle name, define resources such as jobs and clusters, and specify environment targets for dev and prod. Which configuration format must they use?"/>
    <s v="INI"/>
    <s v="XML"/>
    <s v="YAML"/>
    <s v="JSON"/>
    <s v="TOML"/>
    <m/>
    <s v="C"/>
    <s v="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
    <m/>
    <m/>
    <m/>
    <m/>
    <m/>
    <m/>
    <m/>
    <m/>
  </r>
  <r>
    <x v="0"/>
    <n v="1730"/>
    <x v="13"/>
    <n v="10"/>
    <m/>
    <m/>
    <m/>
    <s v="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
    <s v="CREATE STREAMING TABLE gold_metrics ..."/>
    <s v="CREATE OR REFRESH STREAMING VIEW gold_metrics ..."/>
    <s v="CREATE TABLE gold_metrics ..."/>
    <s v="CREATE OR REFRESH MATERIALIZED VIEW gold_metrics ..."/>
    <s v="CREATE OR REFRESH MATERIALIZED TABLE gold_metrics ..."/>
    <m/>
    <s v="D"/>
    <s v="In Delta Live Tables (DLT), different table types are used depending on the purpose and performance requirements of each layer in the medallion architecture. The Gold layer is typically used for curated, aggregated datasets, such as daily metrics or summarized KPIs._x000a_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_x000a_In contrast, STREAMING TABLE is better suited for the Bronze or Silver layers, where low-latency, real-time data processing is required. Materialized views strike the right balance by keeping data reasonably fresh while optimizing for compute cost and pipeline simplicity._x000a_This design aligns with Databricks‘ recommendation for using streaming tables for raw and refined data, and materialized views for business-level aggregates in the Gold layer."/>
    <m/>
    <m/>
    <m/>
    <n v="1"/>
    <m/>
    <m/>
    <m/>
    <m/>
  </r>
  <r>
    <x v="0"/>
    <n v="1731"/>
    <x v="13"/>
    <n v="11"/>
    <m/>
    <m/>
    <m/>
    <s v="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
    <s v="Configure each task with individual notifications and aggregate the responses manually."/>
    <s v="Use cluster event logs to detect when all tasks are completed and send a custom alert."/>
    <s v="Set a job-level notification to trigger on success."/>
    <s v="Add a fourth task that depends on all three dashboard refresh tasks, and send a notification from that task."/>
    <s v="Add a separate monitoring task at the end of the job that triggers only if all previous tasks succeed."/>
    <m/>
    <s v="C"/>
    <s v="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_x000a_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_x000a_Key takeaway: When the goal is to be notified after all tasks in a job are completed, and you want to avoid extra tasks or manual aggregation, job-level success notifications are the right tool."/>
    <m/>
    <m/>
    <m/>
    <m/>
    <m/>
    <m/>
    <m/>
    <m/>
  </r>
  <r>
    <x v="0"/>
    <n v="1732"/>
    <x v="13"/>
    <n v="12"/>
    <m/>
    <m/>
    <m/>
    <s v="Why would a data engineer apply Z-Ordering to a column in a Delta table that is frequently used in query filters?"/>
    <s v="To improve data compression by grouping similar values"/>
    <s v="To enable schema evolution during streaming writes"/>
    <s v="To increase the number of partitions and improve parallelism"/>
    <s v="To organize data in a way that enhances data skipping and read efficiency"/>
    <s v="To reduce the need for running OPTIMIZE on the table"/>
    <m/>
    <s v="D"/>
    <s v="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
    <m/>
    <m/>
    <m/>
    <m/>
    <m/>
    <m/>
    <m/>
    <m/>
  </r>
  <r>
    <x v="0"/>
    <n v="1733"/>
    <x v="13"/>
    <n v="13"/>
    <m/>
    <m/>
    <m/>
    <s v="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
    <s v="By publishing notebook changes directly to dashboards and Power BI workspaces for testing"/>
    <s v="By syncing notebooks with Git branches to support branch-based development, peer review, and external CI/CD integration"/>
    <s v="By allowing users to schedule pull requests and cluster restarts from the Databricks UI"/>
    <s v="By enabling team members to manually export notebooks as HTML for peer reviews"/>
    <s v="By automatically converting notebooks into production jobs after a pull request is created"/>
    <m/>
    <s v="B"/>
    <s v="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
    <m/>
    <m/>
    <m/>
    <m/>
    <m/>
    <m/>
    <m/>
    <m/>
  </r>
  <r>
    <x v="0"/>
    <n v="1734"/>
    <x v="13"/>
    <n v="14"/>
    <m/>
    <m/>
    <m/>
    <s v="In Delta Lake, which component is responsible for maintaining transaction metadata such as table versions, data file paths, and schema changes?"/>
    <s v="Table access control list"/>
    <s v="_delta_log transaction log"/>
    <s v="Parquet file footer"/>
    <s v="Delta caching layer"/>
    <s v="Unity Catalog"/>
    <m/>
    <s v="B"/>
    <s v="In Delta Lake, the _delta_log/ directory is the heart of the Delta transaction system. It tracks every atomic operation on the table, such as inserts, deletes, schema updates, and file-level changes. This enables features like ACID transactions, time travel, and data versioning._x000a_The log contains:_x000a_JSON files for each commit (e.g., 00000000000000000010.json)_x000a_Checkpoint Parquet files to speed up metadata access_x000a_This mechanism allows Delta Lake to operate effectively in both streaming and batch modes, while maintaining data integrity across distributed systems."/>
    <m/>
    <m/>
    <m/>
    <n v="1"/>
    <m/>
    <m/>
    <m/>
    <m/>
  </r>
  <r>
    <x v="0"/>
    <n v="1735"/>
    <x v="13"/>
    <n v="15"/>
    <m/>
    <m/>
    <m/>
    <s v="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
    <s v="SELECT s.sale_id, s.product_id, s.sale_amount, p.product_name FROM sales s JOIN products p ON s.product_id = p.product_id;"/>
    <s v="SELECT s.sale_id, s.product_id, s.sale_amount, p.product_name FROM sales s RIGHT JOIN products p ON s.product_id = p.product_id;"/>
    <s v="SELECT s.sale_id, s.product_id, s.sale_amount, p.product_name FROM sales s LEFT JOIN products p ON s.product_id = p.product_id;"/>
    <s v="SELECT s.sale_id, s.product_id, s.sale_amount, p.product_name FROM products p LEFT JOIN sales s ON s.product_id = p.product_id;"/>
    <s v="SELECT s.sale_id, s.product_id, s.sale_amount, p.product_name FROM sales s FULL OUTER JOIN products p ON s.product_id = p.product_id;"/>
    <m/>
    <s v="C"/>
    <s v="To identify sales records that do not have a matching product_id in the products table, the correct approach is to use a LEFT JOIN from sales to products._x000a_A LEFT JOIN returns all rows from the left table (sales), and any matching rows from the right table (products)._x000a_If there‘s no match, the columns from products will contain NULL values._x000a_This allows the engineer to retain all sales records, even if the product is no longer in the products table which meets the requirement._x000a_This is a common pattern in data quality checks and referential integrity analysis."/>
    <m/>
    <m/>
    <m/>
    <m/>
    <n v="1"/>
    <m/>
    <m/>
    <m/>
  </r>
  <r>
    <x v="0"/>
    <n v="1736"/>
    <x v="13"/>
    <n v="16"/>
    <m/>
    <m/>
    <m/>
    <s v="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
    <s v="Export SQL Server data as CSV files and upload them to Databricks."/>
    <s v="Replicate the SQL Server database into cloud storage"/>
    <s v="Build an ETL pipeline to ingest SQL Server data daily."/>
    <s v="Use Delta Sharing"/>
    <s v="Use Lakehouse Federation to connect to the SQL Server database"/>
    <m/>
    <s v="E"/>
    <s v="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
    <m/>
    <m/>
    <m/>
    <m/>
    <m/>
    <m/>
    <m/>
    <m/>
  </r>
  <r>
    <x v="0"/>
    <n v="1737"/>
    <x v="13"/>
    <n v="17"/>
    <m/>
    <m/>
    <m/>
    <s v="A data scientist is running an interactive analysis in a notebook using an all-purpose cluster. After stepping away for a break, they return to find that the cluster has been terminated. When they try to continue running cells, they receive an error._x000a_What is the most likely reason for this behavior?_x0009__x0009__x0009__x0009__x0009__x0009_"/>
    <s v="The cluster was configured with auto termination and was shut down due to inactivity"/>
    <s v="The notebook lost its Git connection and cannot sync"/>
    <s v="A runtime version mismatch caused the kernel to crash silently"/>
    <s v="The cluster switched to maintenance mode and queued all commands"/>
    <s v="Unity Catalog policies prevented further cell execution without user approval"/>
    <m/>
    <s v="A"/>
    <s v="Correct_x000a__x000a_? The cluster was configured with auto termination and was shut down due to inactivity_x000a__x000a_Databricks all-purpose clusters support auto termination settings to minimize cloud costs_x000a__x000a_Inactivity (no cell execution, queries, or job triggers) beyond the timeout period will terminate the cluster automatically_x000a__x000a_Notebook execution fails after termination until the cluster is restarted or reattached_x000a__x000a_Incorrect Options (Why they are wrong)_x000a_Option Reason_x000a_Notebook lost Git connection Git issues do not terminate the cluster or stop code execution_x000a_Runtime version mismatch Would cause errors or crashes, but not automatic cluster termination_x000a_Cluster maintenance mode Databricks maintenance does not queue commands in this way; cluster termination is unrelated_x000a_Unity Catalog policies Access policies may restrict data, but cannot terminate a running cluster_x000a_Explanation_x000a__x000a_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
    <m/>
    <m/>
    <m/>
    <m/>
    <m/>
    <m/>
    <m/>
    <m/>
  </r>
  <r>
    <x v="0"/>
    <n v="1738"/>
    <x v="13"/>
    <n v="18"/>
    <m/>
    <m/>
    <m/>
    <s v="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
    <s v="External table"/>
    <s v="Managed table"/>
    <s v="Materialized view"/>
    <s v="Temporary view"/>
    <s v="Global temporary view"/>
    <m/>
    <s v="E"/>
    <s v="In Databricks, when you need to temporarily share data between notebooks on the same cluster without saving it to cloud storage or registering it in the metastore, a global temporary view is the right solution._x000a_Unlike a local temporary view, which is restricted to the current session or notebook, a global temporary view is accessible across all notebooks running on the same cluster. It resides in a special schema called global_temp and is discarded only when the cluster is shut down._x000a_This makes it ideal for ETL pipelines that span multiple notebooks, where intermediate results need to be reused without writing to permanent storage or registering in Unity Catalog or Hive Metastore."/>
    <m/>
    <m/>
    <m/>
    <m/>
    <n v="1"/>
    <m/>
    <m/>
    <m/>
  </r>
  <r>
    <x v="0"/>
    <n v="1739"/>
    <x v="13"/>
    <n v="19"/>
    <m/>
    <m/>
    <m/>
    <s v="A data engineer is developing a Delta Live Tables (DLT) pipeline to clean incoming customer data. They want the pipeline to:_x0009_Automatically discard any row where email is NULL_x0009_Continue processing valid rows without failing the pipeline_x0009_Track how many rows were discarded_x0009_Which of the following SQL statements correctly implements this behavior using DLT constraints?_x0009__x0009_"/>
    <s v="CREATE OR REFRESH STREAMING TABLE clean_customers (_x0009_CONSTRAINT valid_email EXPECT (email IS NOT NULL) ON VIOLATION WARN_x0009_)_x0009_AS_x0009_SELECT * FROM STREAM(LIVE.raw_customers);_x0009__x0009_"/>
    <s v="CREATE OR REFRESH STREAMING TABLE clean_customers (_x0009_CONSTRAINT valid_email EXPECT (email IS NOT NULL) ON VIOLATION DROP RECORD_x0009_)_x0009_AS_x0009_SELECT * FROM STREAM(LIVE.raw_customers);_x0009__x0009_"/>
    <s v="CREATE OR REFRESH STREAMING TABLE clean_customers (_x0009_CONSTRAINT valid_email EXPECT (email IS NOT NULL)_x0009_)_x0009_AS_x0009_SELECT * FROM STREAM(LIVE.raw_customers);_x0009__x0009_"/>
    <s v="CREATE OR REFRESH STREAMING TABLE clean_customers (_x0009_CONSTRAINT valid_email EXPECT (email IS NOT NULL) ON VIOLATION DROP ROW_x0009_)_x0009_AS_x0009_SELECT * FROM STREAM(LIVE.raw_customers);_x0009__x0009_"/>
    <s v="CREATE OR REFRESH STREAMING TABLE clean_customers (_x0009_CONSTRAINT valid_email EXPECT (email IS NOT NULL) ON VIOLATION FAIL ROW_x0009_)_x0009_AS_x0009_SELECT * FROM STREAM(LIVE.raw_customers);_x0009__x0009_"/>
    <m/>
    <s v="D"/>
    <s v="In Delta Live Tables (DLT), EXPECT constraints are used to define data quality rules on incoming data. When a row fails an EXPECT constraint, the pipeline behavior depends on the action specified using the ON VIOLATION clause._x000a__x000a_Supported actions:_x000a__x000a_• warn (default):_x000a_  EXPECT_x000a_  Invalid records are written to the target._x000a__x000a_• drop:_x000a_  EXPECT ... ON VIOLATION DROP ROW_x000a_  Invalid records are dropped before data is written to the target._x000a_  The count of dropped records is logged in pipeline metrics._x000a__x000a_• fail:_x000a_  EXPECT ... ON VIOLATION FAIL UPDATE_x000a_  Invalid records prevent the update from succeeding._x000a_  Manual intervention is required before reprocessing._x000a_  This causes a failure of the current flow but does not cause other flows to fail._x000a__x000a_Note:_x000a_The syntax must be exactly as shown. Variants like DROP RECORD or FAIL ROW are not valid and will result in errors._x000a__x000a_Scenario requirements:_x000a_• Remove rows with NULL emails_x000a_• Keep the pipeline running without failure_x000a_• Log the number of dropped rows_x000a__x000a_This exactly matches the behavior of:_x000a_CONSTRAINT valid_email EXPECT (email IS NOT NULL) ON VIOLATION DROP ROW_x000a__x000a_ON VIOLATION DROP ROW ensures that:_x000a_• Invalid rows are excluded from the output_x000a_• The pipeline continues without interruption_x000a_• Dropped rows are tracked in metrics_x000a__x000a_So, the correct answer is:_x000a_EXPECT (email IS NOT NULL) ON VIOLATION DROP ROW"/>
    <m/>
    <m/>
    <m/>
    <n v="1"/>
    <m/>
    <m/>
    <m/>
    <m/>
  </r>
  <r>
    <x v="0"/>
    <n v="1740"/>
    <x v="13"/>
    <n v="20"/>
    <m/>
    <m/>
    <m/>
    <s v="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
    <s v="SELECT map(items, x -&gt; struct(upper(x.name), round(x.price * 1.10, 2))) FROM order_items;"/>
    <s v="SELECT explode(items) FROM order_items;"/>
    <s v="SELECT transform(items, x -&gt; struct(x.name, round(x.price * 1.10, 2))) FROM order_items;"/>
    <s v="SELECT transform(items, x -&gt; struct(x.name, x.price * 1.10)) FROM order_items;"/>
    <s v="SELECT transform(items, x -&gt; struct(upper(x.name), round(x.price * 1.10, 2))) FROM order_items;"/>
    <m/>
    <s v="E"/>
    <s v="This question tests your understanding of higher-order functions in Spark SQL, particularly how to work with arrays of structs._x000a_You are asked to:_x000a_Transform an array of structs (items)_x000a_For each struct:_x000a_Convert the name field to uppercase_x000a_Add a 10% tax to the price field and round it to two decimal places_x000a_Preserve the array structure_x000a_The correct approach is to use the transform function, which allows you to apply a lambda expression to each element in the array. Inside the lambda, you can construct a new struct with the required transformations using functions like upper() and round()._x000a_Functions like map() and explode() are not suitable here:_x000a_map() is for key-value pairs, not arrays._x000a_explode() flattens arrays into rows and does not preserve structure or apply transformations directly."/>
    <m/>
    <m/>
    <m/>
    <m/>
    <n v="1"/>
    <m/>
    <m/>
    <s v="higher-order functions in Spark SQL"/>
  </r>
  <r>
    <x v="0"/>
    <n v="1741"/>
    <x v="13"/>
    <n v="21"/>
    <m/>
    <m/>
    <m/>
    <s v="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
    <s v="MODIFY"/>
    <s v="SELECT"/>
    <s v="ALL PRIVILEGES"/>
    <s v="USAGE"/>
    <s v="EXECUTE"/>
    <m/>
    <s v="E"/>
    <s v="In Unity Catalog, functions are securable objects that require specific privileges to be executed. When you want to allow a user or group to run a function but not modify it or access any other data objects, you should grant the EXECUTE privilege on that function._x000a_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_x000a_To meet the requirement, the engineer should execute:_x000a_GRANT EXECUTE ON FUNCTION projects.ml_utils.predict_score TO model_training;"/>
    <m/>
    <m/>
    <m/>
    <n v="1"/>
    <m/>
    <m/>
    <m/>
    <m/>
  </r>
  <r>
    <x v="0"/>
    <n v="1742"/>
    <x v="13"/>
    <n v="22"/>
    <m/>
    <m/>
    <m/>
    <s v="A data engineer is working in a Databricks notebook and wants to load an existing table named silver.customers into a PySpark DataFrame for further transformation. Which of the following code snippets correctly loads the table as a Spark DataFrame? (Select 2 Choices)"/>
    <s v="df = spark.table(“silver.customers“)"/>
    <s v="df = spark.read.table(“silver.customers“)"/>
    <s v="df = spark.sql(“SELECT * FROM silver.customers“)"/>
    <s v="df = read.table(“silver.customers“)"/>
    <s v="df = spark.read.load(“silver.customers“)"/>
    <m/>
    <s v="A,C"/>
    <s v="Correct_x000a_Option A. df = spark.table(&quot;silver.customers&quot;)_x000a__x000a_Explanation:_x000a_This is the most common and concise way to load a table into a Spark DataFrame._x000a_spark.table() directly reads a registered table from the metastore into a DataFrame._x000a_Works perfectly for silver.customers._x000a_Option C. df = spark.sql(&quot;SELECT * FROM silver.customers&quot;)_x000a__x000a_Explanation:_x000a_This uses Spark SQL to query the table and return the results as a DataFrame._x000a_It is valid and often used when you want to run SQL queries directly in PySpark._x000a_The result is still a Spark DataFrame, making it correct._x000a_Incorrect_x000a_Option B. df = spark.read.table(&quot;silver.customers&quot;)_x000a__x000a_Incorrect because spark.read does not have a .table() method._x000a_The correct usage is spark.table() or spark.read.format(...).load(...)._x000a_Option D. df = read.table(&quot;silver.customers&quot;)_x000a__x000a_Incorrect because read is not a standalone object in PySpark._x000a_You must use spark.read or spark.table._x000a_Option E. df = spark.read.load(&quot;silver.customers&quot;)_x000a__x000a_Incorrect because .load() expects a file path or data source, not a table name._x000a_Using a table name here will result in an error."/>
    <m/>
    <m/>
    <m/>
    <n v="1"/>
    <m/>
    <m/>
    <m/>
    <m/>
  </r>
  <r>
    <x v="0"/>
    <n v="1743"/>
    <x v="13"/>
    <n v="23"/>
    <m/>
    <m/>
    <m/>
    <s v="Scenario: A data engineer needs to update a Delta table named customers with new data from a staging table named staging_customers. The update should:_x0009_Update existing customer records if the customer_id matches_x0009_Insert new records if no matching customer_id exists in the target table_x0009_Question: Which SQL command should the engineer use to perform both updates and inserts in a single atomic operation?_x0009__x0009__x0009_"/>
    <s v="UPSERT"/>
    <s v="INSERT"/>
    <s v="MERGE"/>
    <s v="UPDATE"/>
    <s v="REPLACE"/>
    <m/>
    <s v="C"/>
    <s v="Correct_x000a_Option C: MERGE_x000a__x000a_Explanation:_x000a__x000a_In Databricks with Delta Lake, the MERGE command (sometimes referred to as “upsert”) allows you to perform updates and inserts in one atomic operation._x000a_Syntax example:_x000a_sql_x000a_MERGE INTO customers AS target_x000a_USING staging_customers AS source_x000a_ON target.customer_id = source.customer_id_x000a_WHEN MATCHED THEN UPDATE SET *_x000a_WHEN NOT MATCHED THEN INSERT *_x000a_This ensures consistency and avoids race conditions, making it the correct choice for this scenario._x000a_Incorrect_x000a_Option A: UPSERT_x000a__x000a_While “upsert” is a common term, Databricks SQL does not have a direct UPSERT command._x000a_The functionality is achieved through MERGE._x000a_Option B: INSERT_x000a__x000a_INSERT only adds new rows._x000a_It cannot update existing records, so it fails to meet the requirement._x000a_Option D: UPDATE_x000a__x000a_UPDATE only modifies existing rows._x000a_It cannot insert new records, so it does not satisfy the requirement._x000a_Option E: REPLACE_x000a__x000a_REPLACE is not a valid SQL command in Databricks for Delta tables._x000a_It cannot handle both updates and inserts atomically."/>
    <m/>
    <m/>
    <m/>
    <m/>
    <m/>
    <m/>
    <m/>
    <m/>
  </r>
  <r>
    <x v="0"/>
    <n v="1744"/>
    <x v="13"/>
    <n v="24"/>
    <m/>
    <m/>
    <m/>
    <s v="Scenario: A data engineering team maintains a structured streaming pipeline based on the Medallion Architecture._x000a__x000a_Bronze: Raw JSON ingested with Auto Loader._x000a_Silver: Cleaned data written via streaming query._x000a_Gold: Aggregated data for reporting._x000a_They now want to create a new streaming query that reads from the Silver table, performs a time-based aggregation, and writes results into a Gold table._x000a__x000a_Question: Which code snippet correctly implements the hop from Silver → Gold?"/>
    <s v="(spark.readStream_x000a_.format(“delta“)_x000a_.load(“/mnt/bronze_data“)_x000a_.groupBy(“device_id“)_x000a_.count()_x000a_.writeStream_x000a_.format(“delta“)_x000a_.start(“/mnt/gold_data“))"/>
    <s v=" (spark.readStream_x000a_.format(“json“)_x000a_.load(“/mnt/silver_data“)_x000a_.groupBy(“device_id“)_x000a_.count()_x000a_.writeStream_x000a_.format(“delta“)_x000a_.start(“/mnt/gold_data“))"/>
    <s v="(spark.read_x000a_.format(“delta“)_x000a_.load(“/mnt/silver_data“)_x000a_.groupBy(“device_id“)_x000a_.count()_x000a_.write_x000a_.format(“delta“)_x000a_.mode(“append“)_x000a_.save(“/mnt/gold_data“))"/>
    <s v="(spark.readStream_x000a_.format(“delta“)_x000a_.load(“/mnt/silver_data“)_x000a_.groupBy(“device_id“)_x000a_.count()_x000a_.writeStream_x000a_.format(“delta“)_x000a_.option(“checkpointLocation“, “/mnt/checkpoints/gold“)_x000a_.start(“/mnt/gold_data“))"/>
    <s v="(spark.readStream_x000a_.format(“delta“)_x000a_.load(“/mnt/silver_data“)_x000a_.groupBy(“device_id“)_x000a_.count()_x000a_.writeStream_x000a_.format(“delta“)_x000a_.save(“/mnt/gold_data“))"/>
    <m/>
    <s v="D"/>
    <s v="Correct_x000a_Option D:_x000a__x000a_python_x000a_(spark.readStream_x000a_      .format(&quot;delta&quot;)_x000a_      .load(&quot;/mnt/silver_data&quot;)_x000a_      .groupBy(&quot;device_id&quot;)_x000a_      .count()_x000a_      .writeStream_x000a_      .format(&quot;delta&quot;)_x000a_      .option(&quot;checkpointLocation&quot;, &quot;/mnt/checkpoints/gold&quot;)_x000a_      .start(&quot;/mnt/gold_data&quot;))_x000a_Explanation:_x000a__x000a_Uses readStream with Delta format → correct for streaming from Silver._x000a_Performs aggregation (groupBy + count)._x000a_Uses writeStream with Delta format → correct for streaming output to Gold._x000a_Includes checkpointLocation, which is mandatory for structured streaming to ensure fault tolerance and exactly-once semantics._x000a_This is the correct implementation of the Silver → Gold hop in a streaming pipeline._x000a_Incorrect_x000a_Option A:_x000a__x000a_python_x000a_(spark.readStream_x000a_      .format(&quot;delta&quot;)_x000a_      .load(&quot;/mnt/bronze_data&quot;)_x000a_      ..._x000a_      .writeStream_x000a_      .format(&quot;delta&quot;)_x000a_      .start(&quot;/mnt/gold_data&quot;))_x000a_Reads from Bronze, not Silver._x000a_Skips the cleaned Silver stage, violating Medallion Architecture principles._x000a_Option B:_x000a__x000a_python_x000a_(spark.readStream_x000a_      .format(&quot;json&quot;)_x000a_      .load(&quot;/mnt/silver_data&quot;)_x000a_      ..._x000a_      .writeStream_x000a_      .format(&quot;delta&quot;)_x000a_      .start(&quot;/mnt/gold_data&quot;))_x000a_Reads Silver data as JSON, but Silver is stored as Delta._x000a_Incorrect format usage._x000a_Option C:_x000a__x000a_python_x000a_(spark.read_x000a_      .format(&quot;delta&quot;)_x000a_      .load(&quot;/mnt/silver_data&quot;)_x000a_      ..._x000a_      .write_x000a_      .format(&quot;delta&quot;)_x000a_      .mode(&quot;append&quot;)_x000a_      .save(&quot;/mnt/gold_data&quot;))_x000a_Uses batch read/write (spark.read and write) instead of streaming (readStream and writeStream)._x000a_Not suitable for continuous streaming pipelines._x000a_Option E:_x000a__x000a_python_x000a_(spark.readStream_x000a_      .format(&quot;delta&quot;)_x000a_      .load(&quot;/mnt/silver_data&quot;)_x000a_      ..._x000a_      .writeStream_x000a_      .format(&quot;delta&quot;)_x000a_      .save(&quot;/mnt/gold_data&quot;))_x000a_writeStream.save() is invalid in Spark Structured Streaming._x000a_Must use .start(path) with a checkpoint."/>
    <m/>
    <m/>
    <m/>
    <n v="1"/>
    <m/>
    <m/>
    <m/>
    <m/>
  </r>
  <r>
    <x v="0"/>
    <n v="1745"/>
    <x v="13"/>
    <n v="25"/>
    <m/>
    <m/>
    <m/>
    <s v="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
    <s v="System information_schema"/>
    <s v="Global Search"/>
    <s v="Lineage tab within Catalog Explorer"/>
    <s v="SQL Dashboard audit history"/>
    <s v="Delta Lake transaction log"/>
    <m/>
    <s v="C"/>
    <s v="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_x000a_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_x000a_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
    <m/>
    <m/>
    <m/>
    <m/>
    <m/>
    <m/>
    <m/>
    <m/>
  </r>
  <r>
    <x v="0"/>
    <n v="1746"/>
    <x v="13"/>
    <n v="26"/>
    <m/>
    <m/>
    <m/>
    <s v="Which of the following Git operations are available directly within Databricks Repos?"/>
    <s v="Automatically resolving merge conflicts across multiple branches"/>
    <s v="Rebasing and cherry-picking commits across branches"/>
    <s v="Running automated unit tests before pushing code"/>
    <s v="Pulling, committing, and pushing changes to a connected Git repo"/>
    <s v="Creating pull requests and managing code reviews directly from Databricks"/>
    <m/>
    <s v="D"/>
    <s v="Databricks Repos provides direct integration with Git, allowing basic version control operations such as pulling, committing, and pushing. However, more complex workflows like pull requests, test automation, and conflict resolution are handled by external Git platforms and CI/CD tools."/>
    <m/>
    <m/>
    <m/>
    <m/>
    <m/>
    <m/>
    <m/>
    <m/>
  </r>
  <r>
    <x v="0"/>
    <n v="1747"/>
    <x v="13"/>
    <n v="27"/>
    <m/>
    <m/>
    <m/>
    <s v="A data engineer is preparing raw customer data stored in JSON files and wants to make it easily accessible to data analysts for ad-hoc analysis._x000a_They want to register a reusable object of the raw data that allows analysts to query the data without dealing with file paths or reloading the files. This object should:_x000a__x000a_Persist beyond the current session or cluster_x000a__x000a_Be discoverable in the catalog for lineage and governance_x000a__x000a_Support role-based access control_x000a__x000a_Not store physical data but reflect the results of a SQL query_x000a__x000a_Which type of object should the engineer create?"/>
    <s v="Global Temporary View"/>
    <s v="Managed Table"/>
    <s v="View"/>
    <s v="External Table"/>
    <s v="Temporary View"/>
    <m/>
    <s v="C"/>
    <s v="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
    <m/>
    <m/>
    <m/>
    <m/>
    <n v="1"/>
    <m/>
    <m/>
    <m/>
  </r>
  <r>
    <x v="0"/>
    <n v="1748"/>
    <x v="13"/>
    <n v="28"/>
    <m/>
    <m/>
    <m/>
    <s v="A data engineering team uses a numeric payment_status column (1 = Success, 2 = Pending, etc.) across multiple ETL pipelines. They want to convert these codes to descriptive strings without repeating logic in every query. Which of the following is the best solution?"/>
    <s v="Use a JOIN with a lookup table in every query."/>
    <s v="Use a CASE WHEN statement in each query to convert the status code."/>
    <s v="Create a SQL user-defined function (UDF) that maps status codes to descriptive text and use the UDF in every query"/>
    <s v="Manually document the mappings and inform all team members to apply them consistently."/>
    <s v="Replace all numeric codes with strings directly in the source table."/>
    <m/>
    <s v="C"/>
    <s v="When working with repeated logic, such as translating numeric status codes into human-readable strings (e.g., 1 ? “Success“, 2 ? “Pending“), the best practice is to encapsulate that logic into a reusable and centralized component._x000a_In Databricks SQL, a User-Defined Function (UDF) is ideal for this purpose. It allows you to define the mapping once and reuse it across multiple ETL pipelines, queries, and notebooks  without duplicating the logic._x000a_This approach:_x000a_Promotes code reuse_x000a_Ensures consistency across all queries_x000a_Makes maintenance easier  changes only need to be made in one place_x000a_Keeps your queries cleaner and more readable_x000a_Other options like hardcoding CASE WHEN statements, manually documenting logic, or joining a lookup table every time are either inefficient or error-prone."/>
    <m/>
    <m/>
    <m/>
    <m/>
    <m/>
    <m/>
    <m/>
    <m/>
  </r>
  <r>
    <x v="0"/>
    <n v="1749"/>
    <x v="13"/>
    <n v="29"/>
    <m/>
    <m/>
    <m/>
    <s v="A developer tries to run a PySpark app through Databricks Connect. The cluster is on Databricks Runtime 15.4 LTS with Python 3.11. The developer sees runtime errors when starting the session. What could be the reason?"/>
    <s v="The Databricks Connect library only supports SQL, not PySpark"/>
    <s v="The developer must use notebooks instead of an IDE with Connect"/>
    <s v="The cluster needs to be restarted after every Connect session"/>
    <s v="The developers local Python version is incompatible with the cluster runtime"/>
    <s v="The cluster does not support Databricks Connect"/>
    <m/>
    <s v="D"/>
    <s v="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
    <m/>
    <m/>
    <m/>
    <m/>
    <n v="1"/>
    <m/>
    <m/>
    <m/>
  </r>
  <r>
    <x v="0"/>
    <n v="1750"/>
    <x v="13"/>
    <n v="30"/>
    <m/>
    <m/>
    <m/>
    <s v="A company discovers that sensitive customer data may have been accessed by unauthorized users, but there is no record of who accessed it or when. Which of the following governance gaps is most likely responsible for these issues?"/>
    <s v="Inadequate access controls and missing audit logs ?"/>
    <s v="Schema evolution during ingestion and lack of version control"/>
    <s v="Inefficient job scheduling and lack of cluster pooling"/>
    <s v="Misconfigured task dependencies and low task retries"/>
    <s v="Lack of query result caching and auto-termination policies"/>
    <m/>
    <s v="A"/>
    <s v="This question tests your understanding of core governance responsibilities, specifically data access control and auditability._x000a_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_x000a_The other options in the question relate to performance tuning, workflow reliability, and data quality. They are important concepts, but not directly relevant to the governance failures described."/>
    <m/>
    <m/>
    <m/>
    <m/>
    <n v="1"/>
    <m/>
    <m/>
    <m/>
  </r>
  <r>
    <x v="0"/>
    <n v="1751"/>
    <x v="13"/>
    <n v="31"/>
    <m/>
    <m/>
    <m/>
    <s v="Which of the following technologies form the core of Databricks Data Lakehouse architecture?"/>
    <s v="Apache Airflow, Delta Lake, Unity Catalog, and Amazon Redshift"/>
    <s v="Apache Spark, Delta Lake, Azure Synapse, and GitHub Actions"/>
    <s v="Apache Spark, Parquet, MLflow, and Hadoop HDFS"/>
    <s v="Apache Hive, Delta Lake, Power BI, and Unity Catalog"/>
    <s v="Apache Spark, Delta Lake, Unity Catalog, and Databricks SQL"/>
    <m/>
    <s v="E"/>
    <s v="Correct_x000a__x000a_Apache Spark, Delta Lake, Unity Catalog, and Databricks SQL_x000a__x000a_Apache Spark powers distributed batch and streaming data processing_x000a__x000a_Delta Lake enables ACID transactions, schema enforcement, and reliability on data lakes_x000a__x000a_Unity Catalog delivers centralized governance and fine-grained access control_x000a__x000a_Databricks SQL enables BI-style analytics, dashboards, and SQL workloads_x000a__x000a_Incorrect_x000a__x000a_Apache Airflow, Delta Lake, Unity Catalog, and Amazon Redshift_x000a__x000a_Amazon Redshift is an external cloud data warehouse, not part of Databricks_x000a__x000a_Apache Spark, Delta Lake, Azure Synapse, and GitHub Actions_x000a__x000a_GitHub Actions can be used for CI/CD, but it is not a core architecture component_x000a__x000a_Apache Spark, Parquet, MLflow, and Hadoop HDFS_x000a__x000a_MLflow supports the ML lifecycle but is not a core Lakehouse building block_x000a__x000a_HDFS is not part of Databricks cloud-native storage architecture_x000a__x000a_Apache Hive, Delta Lake, Power BI, and Unity Catalog_x000a__x000a_Power BI is a downstream reporting tool, not part of the Lakehouse core_x000a__x000a_Hive is a legacy compute engine, not a core Databricks Lakehouse technology_x000a__x000a_Explanation_x000a__x000a_The Databricks Lakehouse architecture is built on four foundational technologies:_x000a__x000a_Component Role in Lakehouse_x000a_Apache Spark Unified processing engine for batch, streaming, and ML_x000a_Delta Lake Reliability layer adding ACID transactions to data lakes_x000a_Unity Catalog Centralized governance, lineage, and security_x000a_Databricks SQL SQL analytics and BI interface for the Lakehouse_x000a__x000a_Together, these deliver the scalability of a Data Lake with the performance and governance of a Data Warehouse in a single Lakehouse platform."/>
    <m/>
    <m/>
    <m/>
    <m/>
    <n v="1"/>
    <m/>
    <m/>
    <m/>
  </r>
  <r>
    <x v="0"/>
    <n v="1752"/>
    <x v="13"/>
    <n v="32"/>
    <m/>
    <m/>
    <m/>
    <s v="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
    <s v="Adopt a Data Lakehouse architecture"/>
    <s v="Implement a data virtualization layer to combine both systems"/>
    <s v="Replace the Data Lake with a larger Data Warehouse cluster"/>
    <s v="Migrate all analytics workloads to a real-time streaming platform"/>
    <s v="Create separate pipelines optimized for each workload"/>
    <m/>
    <s v="A"/>
    <s v="A Data Lakehouse architecture offers a unified approach to data management. It allows the company to:_x000a_Store all data types (structured, semi-structured, unstructured) in one location_x000a_Support multiple use cases (ETL, BI, ML, real-time analytics)_x000a_Maintain governance and performance comparable to a traditional Data Warehouse_x000a_Lower costs and complexity by eliminating redundant systems and pipelines_x000a_Its the ideal solution when a business needs both flexibility and reliability across roles like data engineers, analysts, and data scientists."/>
    <m/>
    <m/>
    <m/>
    <m/>
    <m/>
    <m/>
    <m/>
    <m/>
  </r>
  <r>
    <x v="0"/>
    <n v="1753"/>
    <x v="13"/>
    <n v="33"/>
    <m/>
    <m/>
    <m/>
    <s v="A data engineer is working with a column containing JSON strings and wants to convert each string into a structured format using a predefined schema. Which Spark SQL function should they use to perform this transformation?"/>
    <s v="to_json()"/>
    <s v="json_tuple()"/>
    <s v="get_json_object()"/>
    <s v="schema_of_json()"/>
    <s v="from_json()"/>
    <m/>
    <s v="E"/>
    <s v="When working with JSON string columns in Spark SQL, use from_json() to convert the strings into structured formats (e.g., structs or arrays) based on a known schema. This is especially useful after schema inference or when working with nested JSON data."/>
    <m/>
    <m/>
    <m/>
    <m/>
    <n v="1"/>
    <m/>
    <m/>
    <m/>
  </r>
  <r>
    <x v="0"/>
    <n v="1754"/>
    <x v="13"/>
    <n v="34"/>
    <m/>
    <m/>
    <m/>
    <s v="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
    <s v="The Auto Loader source has gone stale and blocked shutdown"/>
    <s v="The cluster is caching Auto Loader state in memory for faster startup"/>
    <s v="The pipeline is waiting to checkpoint before releasing compute"/>
    <s v="Continuous mode keeps compute resources active regardless of data arrival"/>
    <s v="The pipeline is caching data in memory, causing charges"/>
    <m/>
    <s v="D"/>
    <s v="Delta Live Tables (DLT) offers two main pipeline execution modes: continuous and triggered._x000a_In continuous mode, the pipeline is designed to stay always on, constantly watching for new data and ready to process it as soon as it arrives. This behavior makes it ideal for low-latency streaming applications, where real-time responsiveness is important._x000a_However, the trade-off is that the underlying compute resources remain active at all times  even during long periods of inactivity. As a result, the organization continues to incur compute costs, regardless of whether new data is being ingested._x000a_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
    <m/>
    <m/>
    <m/>
    <m/>
    <m/>
    <m/>
    <m/>
    <m/>
  </r>
  <r>
    <x v="0"/>
    <n v="1755"/>
    <x v="13"/>
    <n v="35"/>
    <m/>
    <m/>
    <m/>
    <s v="A team of analysts frequently runs concurrent queries against a Databricks SQL warehouse. As usage increases, they begin to observe degraded performance due to high query concurrency. What is the most appropriate configuration change to improve performance?"/>
    <s v="Increase the cluster size"/>
    <s v="Increase the maximum number of clusters"/>
    <s v="Enable query result caching"/>
    <s v="Restart the SQL warehouse"/>
    <s v="Extend the auto-stop timeout"/>
    <m/>
    <s v="B"/>
    <s v="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_x000a_While increasing cluster size can help with heavy individual queries, it doesnt address the number of queries being processed in parallel. Therefore, to handle high query concurrency, the most appropriate step is to increase the maximum number of clusters."/>
    <m/>
    <m/>
    <m/>
    <n v="1"/>
    <m/>
    <m/>
    <m/>
    <s v=" Databricks SQL warehouse"/>
  </r>
  <r>
    <x v="0"/>
    <n v="1756"/>
    <x v="13"/>
    <n v="36"/>
    <m/>
    <m/>
    <m/>
    <s v="An engineering team needs to schedule a Databricks job to run on the first Monday of every month at 7:00 AM. They want to implement this schedule within Databricks without relying on external tools or manual steps. What is the best way to configure this job schedule?"/>
    <s v="Use the Databricks Job UI and select “Monthly“ scheduling mode with weekday filters"/>
    <s v="Use a custom cron expression in the job configuration"/>
    <s v="Trigger the job manually on the first Monday of each month"/>
    <s v="Create a notebook task that checks the date and runs only if its the first Monday of the month"/>
    <s v="Use the Retry setting to run the job periodically until its the correct date"/>
    <m/>
    <s v="B"/>
    <s v="To schedule a job in Databricks to run on complex time-based rules  such as the first Monday of every month at 7:00 AM  the most appropriate method is to use a custom cron expression in the job configuration._x000a_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_x000a_Alternatives like running the job daily and checking the date within the notebook may work but are inefficient, error-prone, and waste compute resources. Retry settings and manual triggers are also not relevant to time-based scheduling._x000a_Therefore, custom cron expressions are the preferred and scalable approach for this type of requirement in Databricks."/>
    <m/>
    <m/>
    <m/>
    <m/>
    <n v="1"/>
    <m/>
    <m/>
    <s v="cron"/>
  </r>
  <r>
    <x v="0"/>
    <n v="1757"/>
    <x v="13"/>
    <n v="37"/>
    <m/>
    <m/>
    <m/>
    <s v="Which command is used in a Databricks notebook to run another notebook and import its contents into the current session?"/>
    <s v="%include"/>
    <s v="%import"/>
    <s v="%run"/>
    <s v="%attach"/>
    <s v="%notebook"/>
    <m/>
    <s v="C"/>
    <s v="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
    <m/>
    <m/>
    <m/>
    <m/>
    <m/>
    <m/>
    <m/>
    <m/>
  </r>
  <r>
    <x v="0"/>
    <n v="1758"/>
    <x v="13"/>
    <n v="38"/>
    <m/>
    <m/>
    <m/>
    <s v="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
    <s v="Save versioned copies of notebooks using the Databricks file system (DBFS)."/>
    <s v="Periodically export notebooks and manually upload them to a shared cloud drive."/>
    <s v="Enable built-in notebook revision history in the workspace."/>
    <s v="Use Databricks Repos linked to a Git provider like GitHub or Azure DevOps."/>
    <s v="Rely on cluster event logs and job history to review changes to code."/>
    <m/>
    <s v="D"/>
    <s v="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
    <m/>
    <m/>
    <m/>
    <m/>
    <m/>
    <m/>
    <m/>
    <m/>
  </r>
  <r>
    <x v="0"/>
    <n v="1759"/>
    <x v="13"/>
    <n v="39"/>
    <m/>
    <m/>
    <m/>
    <s v="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
    <s v="SELECT COUNT(*) FROM user_activity WHERE session_duration IS NOT NULL;"/>
    <s v="SELECT COUNT(*) FROM user_activity WHERE session_duration &lt;&gt; NULL;"/>
    <s v="SELECT COUNT(*) FROM user_activity WHERE session_duration &gt; NULL;"/>
    <s v="SELECT COUNT(session_duration) FROM user_activity;"/>
    <s v="SELECT COUNT(*) FROM user_activity WHERE session_duration != NULL;"/>
    <m/>
    <s v="A,D"/>
    <s v="Correct_x000a__x000a_A. SELECT COUNT(*) FROM user_activity WHERE session_duration IS NOT NULL;_x000a__x000a_Uses IS NOT NULL, which is the correct SQL syntax to filter non-null values_x000a__x000a_D. SELECT COUNT(session_duration) FROM user_activity;_x000a__x000a_COUNT(column_name) automatically ignores NULL, returning only the count of non-null values_x000a__x000a_Incorrect_x000a__x000a_B. session_duration &lt;&gt; NULL_x000a__x000a_NULL cannot be compared with &lt;&gt; or =, so this condition never returns true_x000a__x000a_C. session_duration &gt; NULL_x000a__x000a_Any comparison with NULL results in UNKNOWN, so no rows are counted_x000a__x000a_E. session_duration != NULL_x000a__x000a_Same issue as above; comparisons with NULL always fail unless IS NULL / IS NOT NULL is used_x000a__x000a_Explanation_x000a__x000a_In SQL (including Spark SQL), NULL means unknown, and because of that:_x000a__x000a_Operation Behavior_x000a_COUNT(column_name) Counts only non-null values_x000a_IS NULL / IS NOT NULL Correct way to test for null conditions_x000a_=, !=, &lt;&gt;, &gt; NULL Invalid for null comparison ?_x000a__x000a_To count non-null values, always use either:_x000a__x000a_COUNT(column) or_x000a__x000a_WHERE column IS NOT NULL_x000a__x000a_Both return the correct non-null row count."/>
    <m/>
    <m/>
    <m/>
    <n v="1"/>
    <m/>
    <m/>
    <m/>
    <m/>
  </r>
  <r>
    <x v="0"/>
    <n v="1760"/>
    <x v="13"/>
    <n v="40"/>
    <m/>
    <m/>
    <m/>
    <s v="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
    <s v="Use Unity Catalog to assign different language permissions to each notebook cell"/>
    <s v="Export Python cells as scripts and import them into a SQL dashboard"/>
    <s v="Use language-specific magic commands like %sql and %python in the same notebook"/>
    <s v="Set the default language of the notebook to Scala to support both users"/>
    <s v="Use a notebook widget to switch the default language between SQL and Python"/>
    <m/>
    <s v="C"/>
    <s v="Correct_x000a__x000a_C. Use language-specific magic commands like %sql and %python in the same notebook_x000a__x000a_%sql allows the analyst to run SQL queries_x000a__x000a_%python allows the data scientist to run Python code for modeling and visualization_x000a__x000a_Both can work in one notebook without switching environments_x000a__x000a_Incorrect_x000a__x000a_A. Unity Catalog controls data governance, not cell-level language behavior_x000a_B. Exporting scripts defeats the goal of seamless collaboration in one notebook_x000a_D. Setting Scala as the default doesnt enable Python + SQL usage together_x000a_E. Widgets do not control notebook language execution_x000a__x000a_Explanation_x000a__x000a_Databricks supports multiple languages in the same notebook using magic commands such as:_x000a__x000a_%sql for SQL queries_x000a__x000a_%python for Python_x000a__x000a_%scala for Scala_x000a__x000a_%sh for shell commands_x000a__x000a_This makes collaboration easy, allowing SQL users and Python users to share one notebook and one workflow without switching contexts."/>
    <m/>
    <m/>
    <m/>
    <m/>
    <m/>
    <m/>
    <m/>
    <m/>
  </r>
  <r>
    <x v="0"/>
    <n v="1761"/>
    <x v="13"/>
    <n v="41"/>
    <m/>
    <m/>
    <m/>
    <s v="A data engineer creates a Delta table using a CREATE TABLE command without specifying a LOCATION clause. Later, they use DROP TABLE to remove it. What will happen to the underlying data files?"/>
    <s v="The files will be deleted automatically from managed storage"/>
    <s v="The files will be archived to the _delta_log folder"/>
    <s v="The files will remain only if the table was cached"/>
    <s v="The files will be removed from the catalog but data files are retained on storage"/>
    <s v="The files will persist, as the table was created externally"/>
    <m/>
    <s v="A"/>
    <s v="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_x000a_In contrast, external tables require a LOCATION clause. Dropping an external table removes only the metadata, while the data files are preserved."/>
    <m/>
    <m/>
    <m/>
    <m/>
    <m/>
    <m/>
    <m/>
    <m/>
  </r>
  <r>
    <x v="0"/>
    <n v="1762"/>
    <x v="13"/>
    <n v="42"/>
    <m/>
    <m/>
    <m/>
    <s v="A data engineer is working with customer transaction data stored as monthly JSON files in the folder:_x000a__x000a_/Volumes/commerce/landing/transactions/_x000a__x000a_The folder contains:_x000a__x000a_transactions_2023_oct.json_x000a_transactions_2023_nov.json_x000a_transactions_2023_dec.json_x000a_transactions_2024_jan.json_x000a__x000a_The engineer wants to write a query that selects data only from the 2023 files using a wildcard pattern in Spark SQL._x000a_Which of the following queries meets this requirement?"/>
    <s v="SELECT *_x000a_   FROM json./Volumes/commerce/landing/transactions/transactions_2023_*.json"/>
    <s v="SELECT *_x000a_   FROM json./Volumes/commerce/landing/transactions/transactions_2023%.json"/>
    <s v="SELECT *_x000a_   FROM json./Volumes/commerce/landing/transactions/transactions_*.json_x000a_   WHERE file_name LIKE ‘%2023%‘"/>
    <s v="SELECT *_x000a_   FROM json./Volumes/commerce/landing/transactions/transactions_2023_*.parquet"/>
    <s v="SELECT *_x000a_   FROM json./Volumes/commerce/landing/transactions/_x000a_   WHERE file_name LIKE ‘transactions_2023_%‘"/>
    <m/>
    <s v="A"/>
    <s v="Correct_x000a__x000a_A. SELECT * FROM json.\/Volumes/…/transactions_2023_*.json′′_x000a__x000a_Spark SQL supports Unix-style wildcards (*) directly in file paths_x000a__x000a_transactions_2023_*.json ensures only 2023 JSON files are read_x000a__x000a_Spark will skip 2024 files entirely during file discovery_x000a__x000a_Incorrect_x000a__x000a_B. % is valid only in a LIKE clause, not in file path patterns_x000a_C. Loads all files first, then filters rows ? inefficient and not what is asked_x000a_D. Uses parquet extension, which doesnt match the .json files_x000a_E. Reads the full folder ? wildcard in WHERE does not limit file reads_x000a__x000a_Explanation_x000a__x000a_When querying files in Spark SQL, you can limit which files get read by using Unix-style wildcards (*, ?) in the file path itself. This avoids scanning unnecessary files and improves performance._x000a__x000a_Use * in the path to filter files at read time ?_x000a__x000a_Use % only in SQL LIKE filters ?_x000a__x000a_By specifying:_x000a__x000a_transactions_2023_*.json_x000a__x000a_Spark reads only the 2023 files, matching the requirement efficiently."/>
    <m/>
    <m/>
    <m/>
    <n v="1"/>
    <m/>
    <m/>
    <m/>
    <m/>
  </r>
  <r>
    <x v="0"/>
    <n v="1763"/>
    <x v="13"/>
    <n v="43"/>
    <m/>
    <m/>
    <m/>
    <s v="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
    <s v="Use conditional formatting in the dashboard and configure Slack integration from the dashboard settings"/>
    <s v="Configure a Databricks SQL alert on the scheduled query and set the destination to a Slack webhook"/>
    <s v="Schedule a notebook that queries the churn rate and sends a Slack message using dbutils.notebook.run()"/>
    <s v="Enable alerting through Unity Catalog audit logs with Slack as a configured sink"/>
    <s v="Export the dashboard to Slack weekly using the “Share via Slack“ option and manually monitor churn"/>
    <m/>
    <s v="B"/>
    <s v="This question tests your understanding of how Databricks SQL alerts work, particularly how they can be used to automatically notify users or external systems (like Slack) when the result of a query meets a specific condition._x000a_In the scenario, the analyst wants to:_x000a_Monitor a scheduled query (which runs every Monday)_x000a_Automatically detect if churn exceeds 5%_x000a_Send a Slack notification if that happens_x000a_The most appropriate Databricks feature for this is a SQL alert. Alerts in Databricks SQL let you:_x000a_Attach a condition (e.g., churn_rate &gt; 0.05) to a query_x000a_Schedule the query to run regularly_x000a_Define one or more alert destinations, such as:_x000a_Email_x000a_Slack webhook_x000a_Microsoft Teams, PagerDuty, etc._x000a_This allows fully automated monitoring of business KPIs without writing custom code or relying on manual review."/>
    <m/>
    <m/>
    <m/>
    <m/>
    <n v="1"/>
    <m/>
    <m/>
    <s v="customer churn"/>
  </r>
  <r>
    <x v="0"/>
    <n v="1764"/>
    <x v="13"/>
    <n v="44"/>
    <m/>
    <m/>
    <m/>
    <s v="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
    <s v="Manually copying notebooks"/>
    <s v="Databricks Asset Bundles"/>
    <s v="Terraform provider"/>
    <s v="Databricks REST APIs"/>
    <s v="dbx from Databricks Labs"/>
    <m/>
    <s v="D"/>
    <s v="In Databricks (and Spark SQL), tables can be either managed or external:_x000a_For managed table, Databricks manages both data and metadata. Dropping a managed table deletes both the metadata and the underlying data files._x000a_An external table is linked to data that already exists in an external storage location (e.g., ADLS, S3). When you specify a LOCATION during table creation, Spark treats the table as external. For external table, Databricks/ Spark manages only the metadata, and not the underlying data files._x000a_Dropping an external table only removes its metadata from the metastore. The underlying data files are not deleted, ensuring data safety."/>
    <m/>
    <m/>
    <m/>
    <m/>
    <n v="1"/>
    <m/>
    <m/>
    <m/>
  </r>
  <r>
    <x v="0"/>
    <n v="1765"/>
    <x v="13"/>
    <n v="45"/>
    <m/>
    <m/>
    <m/>
    <s v="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
    <s v="Delta Sharing"/>
    <s v="Replicating the data into the regulators cloud account"/>
    <s v="Lakehouse Federation"/>
    <s v="Databricks REST APIs"/>
    <s v="Exporting parquet files into cloud storage"/>
    <m/>
    <s v="B"/>
    <s v="Before Asset Bundles, teams relied on REST APIs, Terraform, or dbx, each with limitations:_x000a_APIs required fragile scripting, Terraform was too complex for projects, and dbx lacked official support._x000a_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
    <m/>
    <m/>
    <m/>
    <m/>
    <n v="1"/>
    <m/>
    <m/>
    <m/>
  </r>
  <r>
    <x v="0"/>
    <n v="1766"/>
    <x v="13"/>
    <n v="46"/>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s v="Which type of Databricks cluster is most appropriate for this use case?"/>
    <s v="Delta Live Table pipeline cluster"/>
    <s v="Job cluster with ephemeral lifetime"/>
    <s v="Kubernetes cluster designed for containerized microservices"/>
    <s v="All-purpose cluster"/>
    <s v="Serverless SQL Warehouse"/>
    <s v="A"/>
    <s v="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
    <m/>
    <m/>
    <m/>
    <n v="1"/>
    <m/>
    <m/>
    <m/>
    <m/>
  </r>
  <r>
    <x v="0"/>
    <n v="1767"/>
    <x v="13"/>
    <n v="47"/>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_x000a__x000a_Which type of Databricks cluster is most appropriate for this use case?"/>
    <s v="Delta Live Table pipeline cluster"/>
    <s v="Job cluster with ephemeral lifetime"/>
    <s v="Kubernetes cluster designed for containerized microservices"/>
    <s v="All-purpose cluster"/>
    <s v="Serverless SQL Warehouse"/>
    <m/>
    <s v="D"/>
    <s v="Correct_x000a_All-purpose cluster_x000a_ Designed for interactive, real-time, collaborative development inside Databricks notebooks_x000a_ Supports multiple users working simultaneously_x000a_ Allows dynamic installation of libraries during exploration_x000a_ Ideal for ad hoc development, data science prototyping, and exploratory analysis_x000a__x000a_Incorrect Options (Why they are wrong)_x000a_Option Why Incorrect_x000a_Delta Live Table pipeline cluster Used for ETL pipelines and scheduled streaming/batch jobs, not interactive exploratory work_x000a_Job cluster with ephemeral lifetime Ephemeral and single-use, created for scheduled jobs; not suited for multi-user interactive sessions_x000a_Kubernetes cluster for microservices Requires significant setup; lacks built-in Databricks notebook and Spark integration_x000a_Serverless SQL Warehouse Optimized for SQL queries and BI workloads, not for multi-language interactive development with Python/Scala_x000a__x000a_Explanation_x000a_All-purpose clusters in Databricks are optimized for interactive workloads:_x000a_ Persist across sessions for ongoing development_x000a_ Enable collaboration between multiple users in the same notebook_x000a_ Support multiple languages (SQL, Python, Scala, R)_x000a_ Allow on-the-fly library installations for experimentation_x000a_This makes them the ideal choice for exploratory, collaborative, and unscheduled workloads, exactly as described in the scenario."/>
    <m/>
    <m/>
    <m/>
    <m/>
    <m/>
    <m/>
    <m/>
    <m/>
  </r>
  <r>
    <x v="1"/>
    <n v="1768"/>
    <x v="0"/>
    <n v="1"/>
    <s v="Compute"/>
    <s v="Clusters"/>
    <s v="Hard"/>
    <s v="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_x0009__x0009__x0009__x0009__x0009_"/>
    <s v="daily_revenue_df = billing_df.groupBy(&quot;billing_date&quot;).agg(     sum(&quot;amount_billed&quot;).alias(&quot;total_revenue&quot;),     sum(&quot;billing_id&quot;).alias(&quot;total_invoices&quot;) )_x0009__x0009__x0009__x0009__x0009_"/>
    <s v="daily_revenue_df = billing_df.groupBy(&quot;billing_date&quot;).agg(     col(&quot;amount_billed&quot;).alias(&quot;total_revenue&quot;),      count(&quot;billing_id&quot;).alias(&quot;total_invoices&quot;) )_x0009__x0009__x0009__x0009__x0009_"/>
    <s v="daily_revenue_df = billing_df.groupBy(&quot;billing_date&quot;).agg(     sum(&quot;amount_billed&quot;).alias(&quot;total_revenue&quot;),     count_distinct(&quot;patient_id&quot;).alias(&quot;total_invoices&quot;) )_x0009__x0009__x0009__x0009__x0009_"/>
    <s v="D. daily_revenue_df = billing_df.groupBy(&quot;billing_date&quot;).agg(     sum(&quot;amount_billed&quot;).alias(&quot;total_revenue&quot;),     count_distinct(&quot;billing_id&quot;).alias(&quot;total_invoices&quot;) )_x0009__x0009__x0009__x0009__x0009_"/>
    <m/>
    <m/>
    <m/>
    <m/>
    <m/>
    <m/>
    <m/>
    <m/>
    <m/>
    <m/>
    <m/>
    <m/>
  </r>
  <r>
    <x v="1"/>
    <n v="1769"/>
    <x v="0"/>
    <n v="2"/>
    <s v="Governance"/>
    <s v="Unity Catalog"/>
    <s v="Hard"/>
    <s v="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_x0009__x0009__x0009__x0009__x0009_"/>
    <s v="GRANT ALL PRIVILEGES ON SCHEMA sales_data TO analysts; "/>
    <s v="GRANT SELECT ON SCHEMA sales_data TO analysts; "/>
    <s v="GRANT INSERT ON SCHEMA sales_data TO analysts; "/>
    <s v="GRANT SELECT ON ALL TABLES IN SCHEMA sales_data TO analysts; "/>
    <m/>
    <m/>
    <m/>
    <m/>
    <m/>
    <m/>
    <m/>
    <m/>
    <m/>
    <m/>
    <m/>
    <m/>
  </r>
  <r>
    <x v="1"/>
    <n v="1770"/>
    <x v="0"/>
    <n v="3"/>
    <s v="Storage"/>
    <s v="Delta Lake"/>
    <s v="Hard"/>
    <s v="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
    <s v="Grant READ permissions to external partners through the Delta Share and READ/WRITE permissions to internal teams on Unity Catalog. "/>
    <s v="Create a Delta Share, add the internal team's tables and views, and assign READ/WRITE permissions to both external partners and internal teams. "/>
    <s v="Create READ permissions to external partners and READ/WRITE permissions to internal teams through Delta Share. "/>
    <s v="Create a Delta Share, set up a secure access URL for internal teams and external partners, and distribute the URL to provide them access to the shared data. "/>
    <m/>
    <m/>
    <m/>
    <m/>
    <m/>
    <m/>
    <m/>
    <m/>
    <m/>
    <m/>
    <m/>
    <m/>
  </r>
  <r>
    <x v="1"/>
    <n v="1771"/>
    <x v="0"/>
    <n v="4"/>
    <s v="Storage"/>
    <s v="Delta Lake"/>
    <s v="Hard"/>
    <s v="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
    <s v="CREATE OR REPLACE TABLE table_name ( employeeId STRING, startDate DATE, avgRating FLOAT ) "/>
    <s v="CREATE TABLE IF NOT EXISTS table_name ( employeeId STRING, startDate DATE, avgRating FLOAT ) "/>
    <s v="CREATE TABLE table_name AS SELECT employeeId STRING, startDate DATE, avgRating FLOAT "/>
    <s v="CREATE OR REPLACE TABLE table_name WITH COLUMNS ( employeeId STRING, startDate DATE, avgRating FLOAT ) USING DELTA "/>
    <m/>
    <m/>
    <m/>
    <m/>
    <m/>
    <m/>
    <m/>
    <m/>
    <m/>
    <m/>
    <m/>
    <m/>
  </r>
  <r>
    <x v="1"/>
    <n v="1772"/>
    <x v="0"/>
    <n v="5"/>
    <s v="General"/>
    <s v="Conceptual"/>
    <s v="Easy"/>
    <s v="Objective: Identify DDL (Data Definition Language)/DML features. A data engineer has been given a new record of data: id STRING = 'a1' rank INTEGER = 6 rating FLOAT = 9.4 "/>
    <s v="UPDATE VALUES ('a1', 6, 9.4) my_table "/>
    <s v="UPDATE my_table VALUES ('a1', 6, 9.4) "/>
    <s v="INSERT VALUES ('a1', 6, 9.4) INTO my_table "/>
    <s v="INSERT INTO my_table VALUES ('a1', 6, 9.4) "/>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7ABB5-2D3A-4025-BCA0-13CA2D83ADE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24">
    <pivotField axis="axisRow" showAll="0">
      <items count="3">
        <item x="1"/>
        <item x="0"/>
        <item t="default"/>
      </items>
    </pivotField>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2">
    <field x="0"/>
    <field x="2"/>
  </rowFields>
  <rowItems count="18">
    <i>
      <x/>
    </i>
    <i r="1">
      <x/>
    </i>
    <i>
      <x v="1"/>
    </i>
    <i r="1">
      <x/>
    </i>
    <i r="1">
      <x v="1"/>
    </i>
    <i r="1">
      <x v="2"/>
    </i>
    <i r="1">
      <x v="3"/>
    </i>
    <i r="1">
      <x v="4"/>
    </i>
    <i r="1">
      <x v="5"/>
    </i>
    <i r="1">
      <x v="6"/>
    </i>
    <i r="1">
      <x v="7"/>
    </i>
    <i r="1">
      <x v="8"/>
    </i>
    <i r="1">
      <x v="9"/>
    </i>
    <i r="1">
      <x v="10"/>
    </i>
    <i r="1">
      <x v="11"/>
    </i>
    <i r="1">
      <x v="12"/>
    </i>
    <i r="1">
      <x v="13"/>
    </i>
    <i t="grand">
      <x/>
    </i>
  </rowItems>
  <colFields count="1">
    <field x="-2"/>
  </colFields>
  <colItems count="3">
    <i>
      <x/>
    </i>
    <i i="1">
      <x v="1"/>
    </i>
    <i i="2">
      <x v="2"/>
    </i>
  </colItems>
  <dataFields count="3">
    <dataField name="Count of Question" fld="7" subtotal="count" baseField="0" baseItem="0"/>
    <dataField name="Count of CorrectLetter" fld="14" subtotal="count" baseField="0" baseItem="0"/>
    <dataField name="Sum of Incorrect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BAB4-8E4A-42B7-BAF0-A2DEBBEE78E2}">
  <dimension ref="A1:F97"/>
  <sheetViews>
    <sheetView workbookViewId="0"/>
  </sheetViews>
  <sheetFormatPr defaultRowHeight="15"/>
  <sheetData>
    <row r="1" spans="1:6">
      <c r="A1" t="s">
        <v>4315</v>
      </c>
      <c r="B1" s="18">
        <v>46117</v>
      </c>
    </row>
    <row r="2" spans="1:6">
      <c r="A2" t="s">
        <v>4493</v>
      </c>
      <c r="B2">
        <v>767</v>
      </c>
    </row>
    <row r="4" spans="1:6">
      <c r="A4" t="s">
        <v>4494</v>
      </c>
      <c r="B4" t="s">
        <v>4495</v>
      </c>
    </row>
    <row r="5" spans="1:6">
      <c r="A5" t="s">
        <v>4316</v>
      </c>
      <c r="B5">
        <v>680</v>
      </c>
    </row>
    <row r="6" spans="1:6">
      <c r="A6" t="s">
        <v>4331</v>
      </c>
      <c r="B6">
        <v>41</v>
      </c>
    </row>
    <row r="7" spans="1:6">
      <c r="A7" t="s">
        <v>4386</v>
      </c>
      <c r="B7">
        <v>46</v>
      </c>
    </row>
    <row r="10" spans="1:6">
      <c r="A10" t="s">
        <v>4496</v>
      </c>
      <c r="B10" t="s">
        <v>0</v>
      </c>
      <c r="C10" t="s">
        <v>4494</v>
      </c>
      <c r="D10" t="s">
        <v>4497</v>
      </c>
      <c r="E10" t="s">
        <v>4310</v>
      </c>
      <c r="F10" t="s">
        <v>13</v>
      </c>
    </row>
    <row r="11" spans="1:6">
      <c r="A11">
        <v>9</v>
      </c>
      <c r="B11">
        <v>1008</v>
      </c>
      <c r="C11" t="s">
        <v>4331</v>
      </c>
      <c r="D11" t="s">
        <v>10</v>
      </c>
      <c r="E11" t="s">
        <v>9</v>
      </c>
      <c r="F11" t="s">
        <v>4333</v>
      </c>
    </row>
    <row r="12" spans="1:6">
      <c r="A12">
        <v>41</v>
      </c>
      <c r="B12">
        <v>1040</v>
      </c>
      <c r="C12" t="s">
        <v>4386</v>
      </c>
      <c r="D12" t="s">
        <v>9</v>
      </c>
      <c r="F12" t="s">
        <v>4387</v>
      </c>
    </row>
    <row r="13" spans="1:6">
      <c r="A13">
        <v>48</v>
      </c>
      <c r="B13">
        <v>1047</v>
      </c>
      <c r="C13" t="s">
        <v>4386</v>
      </c>
      <c r="D13" t="s">
        <v>11</v>
      </c>
      <c r="F13" t="s">
        <v>4398</v>
      </c>
    </row>
    <row r="14" spans="1:6">
      <c r="A14">
        <v>114</v>
      </c>
      <c r="B14">
        <v>1113</v>
      </c>
      <c r="C14" t="s">
        <v>4386</v>
      </c>
      <c r="D14" t="s">
        <v>10</v>
      </c>
      <c r="F14" t="s">
        <v>4572</v>
      </c>
    </row>
    <row r="15" spans="1:6">
      <c r="A15">
        <v>160</v>
      </c>
      <c r="B15">
        <v>1159</v>
      </c>
      <c r="C15" t="s">
        <v>4331</v>
      </c>
      <c r="D15" t="s">
        <v>9</v>
      </c>
      <c r="E15" t="s">
        <v>7</v>
      </c>
      <c r="F15" t="s">
        <v>4618</v>
      </c>
    </row>
    <row r="16" spans="1:6">
      <c r="A16">
        <v>183</v>
      </c>
      <c r="B16">
        <v>1182</v>
      </c>
      <c r="C16" t="s">
        <v>4331</v>
      </c>
      <c r="D16" t="s">
        <v>9</v>
      </c>
      <c r="E16" t="s">
        <v>9</v>
      </c>
      <c r="F16" t="s">
        <v>4641</v>
      </c>
    </row>
    <row r="17" spans="1:6">
      <c r="A17">
        <v>186</v>
      </c>
      <c r="B17">
        <v>1185</v>
      </c>
      <c r="C17" t="s">
        <v>4386</v>
      </c>
      <c r="D17" t="s">
        <v>9</v>
      </c>
      <c r="F17" t="s">
        <v>4644</v>
      </c>
    </row>
    <row r="18" spans="1:6">
      <c r="A18">
        <v>198</v>
      </c>
      <c r="B18">
        <v>1197</v>
      </c>
      <c r="C18" t="s">
        <v>4386</v>
      </c>
      <c r="D18" t="s">
        <v>8</v>
      </c>
      <c r="F18" t="s">
        <v>4657</v>
      </c>
    </row>
    <row r="19" spans="1:6">
      <c r="A19">
        <v>207</v>
      </c>
      <c r="B19">
        <v>1206</v>
      </c>
      <c r="C19" t="s">
        <v>4386</v>
      </c>
      <c r="D19" t="s">
        <v>9</v>
      </c>
      <c r="F19" t="s">
        <v>4667</v>
      </c>
    </row>
    <row r="20" spans="1:6">
      <c r="A20">
        <v>208</v>
      </c>
      <c r="B20">
        <v>1207</v>
      </c>
      <c r="C20" t="s">
        <v>4386</v>
      </c>
      <c r="D20" t="s">
        <v>8</v>
      </c>
      <c r="F20" t="s">
        <v>4668</v>
      </c>
    </row>
    <row r="21" spans="1:6">
      <c r="A21">
        <v>218</v>
      </c>
      <c r="B21">
        <v>1217</v>
      </c>
      <c r="C21" t="s">
        <v>4331</v>
      </c>
      <c r="D21" t="s">
        <v>9</v>
      </c>
      <c r="E21" t="s">
        <v>7</v>
      </c>
      <c r="F21" t="s">
        <v>4679</v>
      </c>
    </row>
    <row r="22" spans="1:6">
      <c r="A22">
        <v>224</v>
      </c>
      <c r="B22">
        <v>1223</v>
      </c>
      <c r="C22" t="s">
        <v>4331</v>
      </c>
      <c r="D22" t="s">
        <v>8</v>
      </c>
      <c r="E22" t="s">
        <v>9</v>
      </c>
      <c r="F22" t="s">
        <v>4685</v>
      </c>
    </row>
    <row r="23" spans="1:6">
      <c r="A23">
        <v>225</v>
      </c>
      <c r="B23">
        <v>1224</v>
      </c>
      <c r="C23" t="s">
        <v>4331</v>
      </c>
      <c r="D23" t="s">
        <v>9</v>
      </c>
      <c r="E23" t="s">
        <v>10</v>
      </c>
      <c r="F23" t="s">
        <v>4686</v>
      </c>
    </row>
    <row r="24" spans="1:6">
      <c r="A24">
        <v>240</v>
      </c>
      <c r="B24">
        <v>1239</v>
      </c>
      <c r="C24" t="s">
        <v>4331</v>
      </c>
      <c r="D24" t="s">
        <v>10</v>
      </c>
      <c r="E24" t="s">
        <v>9</v>
      </c>
      <c r="F24" t="s">
        <v>4701</v>
      </c>
    </row>
    <row r="25" spans="1:6">
      <c r="A25">
        <v>255</v>
      </c>
      <c r="B25">
        <v>1254</v>
      </c>
      <c r="C25" t="s">
        <v>4331</v>
      </c>
      <c r="D25" t="s">
        <v>11</v>
      </c>
      <c r="E25" t="s">
        <v>8</v>
      </c>
      <c r="F25" t="s">
        <v>4716</v>
      </c>
    </row>
    <row r="26" spans="1:6">
      <c r="A26">
        <v>256</v>
      </c>
      <c r="B26">
        <v>1255</v>
      </c>
      <c r="C26" t="s">
        <v>4331</v>
      </c>
      <c r="D26" t="s">
        <v>8</v>
      </c>
      <c r="E26" t="s">
        <v>7</v>
      </c>
      <c r="F26" t="s">
        <v>4717</v>
      </c>
    </row>
    <row r="27" spans="1:6">
      <c r="A27">
        <v>262</v>
      </c>
      <c r="B27">
        <v>1261</v>
      </c>
      <c r="C27" t="s">
        <v>4331</v>
      </c>
      <c r="D27" t="s">
        <v>10</v>
      </c>
      <c r="E27" t="s">
        <v>8</v>
      </c>
      <c r="F27" t="s">
        <v>4723</v>
      </c>
    </row>
    <row r="28" spans="1:6">
      <c r="A28">
        <v>285</v>
      </c>
      <c r="B28">
        <v>1284</v>
      </c>
      <c r="C28" t="s">
        <v>4331</v>
      </c>
      <c r="D28" t="s">
        <v>9</v>
      </c>
      <c r="E28" t="s">
        <v>11</v>
      </c>
      <c r="F28" t="s">
        <v>4746</v>
      </c>
    </row>
    <row r="29" spans="1:6">
      <c r="A29">
        <v>300</v>
      </c>
      <c r="B29">
        <v>1299</v>
      </c>
      <c r="C29" t="s">
        <v>4331</v>
      </c>
      <c r="D29" t="s">
        <v>7</v>
      </c>
      <c r="E29" t="s">
        <v>8</v>
      </c>
      <c r="F29" t="s">
        <v>4762</v>
      </c>
    </row>
    <row r="30" spans="1:6">
      <c r="A30">
        <v>303</v>
      </c>
      <c r="B30">
        <v>1302</v>
      </c>
      <c r="C30" t="s">
        <v>4386</v>
      </c>
      <c r="D30" t="s">
        <v>7</v>
      </c>
      <c r="F30" t="s">
        <v>4766</v>
      </c>
    </row>
    <row r="31" spans="1:6">
      <c r="A31">
        <v>304</v>
      </c>
      <c r="B31">
        <v>1303</v>
      </c>
      <c r="C31" t="s">
        <v>4386</v>
      </c>
      <c r="D31" t="s">
        <v>10</v>
      </c>
      <c r="F31" t="s">
        <v>4767</v>
      </c>
    </row>
    <row r="32" spans="1:6">
      <c r="A32">
        <v>313</v>
      </c>
      <c r="B32">
        <v>1312</v>
      </c>
      <c r="C32" t="s">
        <v>4331</v>
      </c>
      <c r="D32" t="s">
        <v>11</v>
      </c>
      <c r="E32" t="s">
        <v>10</v>
      </c>
      <c r="F32" t="s">
        <v>4777</v>
      </c>
    </row>
    <row r="33" spans="1:6">
      <c r="A33">
        <v>314</v>
      </c>
      <c r="B33">
        <v>1313</v>
      </c>
      <c r="C33" t="s">
        <v>4386</v>
      </c>
      <c r="D33" t="s">
        <v>9</v>
      </c>
      <c r="F33" t="s">
        <v>4779</v>
      </c>
    </row>
    <row r="34" spans="1:6">
      <c r="A34">
        <v>340</v>
      </c>
      <c r="B34">
        <v>1339</v>
      </c>
      <c r="C34" t="s">
        <v>4331</v>
      </c>
      <c r="D34" t="s">
        <v>8</v>
      </c>
      <c r="E34" t="s">
        <v>7</v>
      </c>
      <c r="F34" t="s">
        <v>4809</v>
      </c>
    </row>
    <row r="35" spans="1:6">
      <c r="A35">
        <v>345</v>
      </c>
      <c r="B35">
        <v>1344</v>
      </c>
      <c r="C35" t="s">
        <v>4331</v>
      </c>
      <c r="D35" t="s">
        <v>8</v>
      </c>
      <c r="E35" t="s">
        <v>10</v>
      </c>
      <c r="F35" t="s">
        <v>4815</v>
      </c>
    </row>
    <row r="36" spans="1:6">
      <c r="A36">
        <v>354</v>
      </c>
      <c r="B36">
        <v>1353</v>
      </c>
      <c r="C36" t="s">
        <v>4331</v>
      </c>
      <c r="D36" t="s">
        <v>9</v>
      </c>
      <c r="E36" t="s">
        <v>11</v>
      </c>
      <c r="F36" t="s">
        <v>4846</v>
      </c>
    </row>
    <row r="37" spans="1:6">
      <c r="A37">
        <v>361</v>
      </c>
      <c r="B37">
        <v>1360</v>
      </c>
      <c r="C37" t="s">
        <v>4386</v>
      </c>
      <c r="D37" t="s">
        <v>8</v>
      </c>
      <c r="F37" t="s">
        <v>4854</v>
      </c>
    </row>
    <row r="38" spans="1:6">
      <c r="A38">
        <v>362</v>
      </c>
      <c r="B38">
        <v>1361</v>
      </c>
      <c r="C38" t="s">
        <v>4386</v>
      </c>
      <c r="D38" t="s">
        <v>9</v>
      </c>
      <c r="F38" t="s">
        <v>4856</v>
      </c>
    </row>
    <row r="39" spans="1:6">
      <c r="A39">
        <v>367</v>
      </c>
      <c r="B39">
        <v>1366</v>
      </c>
      <c r="C39" t="s">
        <v>4386</v>
      </c>
      <c r="D39" t="s">
        <v>7</v>
      </c>
      <c r="F39" t="s">
        <v>4863</v>
      </c>
    </row>
    <row r="40" spans="1:6">
      <c r="A40">
        <v>373</v>
      </c>
      <c r="B40">
        <v>1372</v>
      </c>
      <c r="C40" t="s">
        <v>4386</v>
      </c>
      <c r="D40" t="s">
        <v>9</v>
      </c>
      <c r="F40" t="s">
        <v>4870</v>
      </c>
    </row>
    <row r="41" spans="1:6">
      <c r="A41">
        <v>383</v>
      </c>
      <c r="B41">
        <v>1382</v>
      </c>
      <c r="C41" t="s">
        <v>4386</v>
      </c>
      <c r="D41" t="s">
        <v>9</v>
      </c>
      <c r="F41" t="s">
        <v>4883</v>
      </c>
    </row>
    <row r="42" spans="1:6">
      <c r="A42">
        <v>390</v>
      </c>
      <c r="B42">
        <v>1389</v>
      </c>
      <c r="C42" t="s">
        <v>4386</v>
      </c>
      <c r="D42" t="s">
        <v>11</v>
      </c>
      <c r="F42" t="s">
        <v>4891</v>
      </c>
    </row>
    <row r="43" spans="1:6">
      <c r="A43">
        <v>393</v>
      </c>
      <c r="B43">
        <v>1392</v>
      </c>
      <c r="C43" t="s">
        <v>4386</v>
      </c>
      <c r="D43" t="s">
        <v>9</v>
      </c>
      <c r="F43" t="s">
        <v>4895</v>
      </c>
    </row>
    <row r="44" spans="1:6">
      <c r="A44">
        <v>396</v>
      </c>
      <c r="B44">
        <v>1395</v>
      </c>
      <c r="C44" t="s">
        <v>4386</v>
      </c>
      <c r="D44" t="s">
        <v>10</v>
      </c>
      <c r="F44" t="s">
        <v>4899</v>
      </c>
    </row>
    <row r="45" spans="1:6">
      <c r="A45">
        <v>402</v>
      </c>
      <c r="B45">
        <v>1401</v>
      </c>
      <c r="C45" t="s">
        <v>4331</v>
      </c>
      <c r="D45" t="s">
        <v>11</v>
      </c>
      <c r="E45" t="s">
        <v>10</v>
      </c>
      <c r="F45" t="s">
        <v>4932</v>
      </c>
    </row>
    <row r="46" spans="1:6">
      <c r="A46">
        <v>405</v>
      </c>
      <c r="B46">
        <v>1404</v>
      </c>
      <c r="C46" t="s">
        <v>4386</v>
      </c>
      <c r="D46" t="s">
        <v>8</v>
      </c>
      <c r="F46" t="s">
        <v>4935</v>
      </c>
    </row>
    <row r="47" spans="1:6">
      <c r="A47">
        <v>428</v>
      </c>
      <c r="B47">
        <v>1427</v>
      </c>
      <c r="C47" t="s">
        <v>4386</v>
      </c>
      <c r="D47" t="s">
        <v>8</v>
      </c>
      <c r="F47" t="s">
        <v>4961</v>
      </c>
    </row>
    <row r="48" spans="1:6">
      <c r="A48">
        <v>431</v>
      </c>
      <c r="B48">
        <v>1430</v>
      </c>
      <c r="C48" t="s">
        <v>4386</v>
      </c>
      <c r="D48" t="s">
        <v>10</v>
      </c>
      <c r="F48" t="s">
        <v>4964</v>
      </c>
    </row>
    <row r="49" spans="1:6">
      <c r="A49">
        <v>435</v>
      </c>
      <c r="B49">
        <v>1434</v>
      </c>
      <c r="C49" t="s">
        <v>4331</v>
      </c>
      <c r="D49" t="s">
        <v>9</v>
      </c>
      <c r="E49" t="s">
        <v>8</v>
      </c>
      <c r="F49" t="s">
        <v>5132</v>
      </c>
    </row>
    <row r="50" spans="1:6">
      <c r="A50">
        <v>436</v>
      </c>
      <c r="B50">
        <v>1435</v>
      </c>
      <c r="C50" t="s">
        <v>4386</v>
      </c>
      <c r="D50" t="s">
        <v>7</v>
      </c>
      <c r="F50" t="s">
        <v>4969</v>
      </c>
    </row>
    <row r="51" spans="1:6">
      <c r="A51">
        <v>452</v>
      </c>
      <c r="B51">
        <v>1451</v>
      </c>
      <c r="C51" t="s">
        <v>4331</v>
      </c>
      <c r="D51" t="s">
        <v>8</v>
      </c>
      <c r="E51" t="s">
        <v>7</v>
      </c>
      <c r="F51" t="s">
        <v>4998</v>
      </c>
    </row>
    <row r="52" spans="1:6">
      <c r="A52">
        <v>460</v>
      </c>
      <c r="B52">
        <v>1459</v>
      </c>
      <c r="C52" t="s">
        <v>4331</v>
      </c>
      <c r="D52" t="s">
        <v>11</v>
      </c>
      <c r="E52" t="s">
        <v>7</v>
      </c>
      <c r="F52" t="s">
        <v>5011</v>
      </c>
    </row>
    <row r="53" spans="1:6">
      <c r="A53">
        <v>462</v>
      </c>
      <c r="B53">
        <v>1461</v>
      </c>
      <c r="C53" t="s">
        <v>4386</v>
      </c>
      <c r="D53" t="s">
        <v>11</v>
      </c>
      <c r="F53" t="s">
        <v>5013</v>
      </c>
    </row>
    <row r="54" spans="1:6">
      <c r="A54">
        <v>465</v>
      </c>
      <c r="B54">
        <v>1464</v>
      </c>
      <c r="C54" t="s">
        <v>4331</v>
      </c>
      <c r="D54" t="s">
        <v>9</v>
      </c>
      <c r="E54" t="s">
        <v>11</v>
      </c>
      <c r="F54" t="s">
        <v>5016</v>
      </c>
    </row>
    <row r="55" spans="1:6">
      <c r="A55">
        <v>474</v>
      </c>
      <c r="B55">
        <v>1473</v>
      </c>
      <c r="C55" t="s">
        <v>4331</v>
      </c>
      <c r="D55" t="s">
        <v>9</v>
      </c>
      <c r="E55" t="s">
        <v>8</v>
      </c>
      <c r="F55" t="s">
        <v>5025</v>
      </c>
    </row>
    <row r="56" spans="1:6">
      <c r="A56">
        <v>481</v>
      </c>
      <c r="B56">
        <v>1480</v>
      </c>
      <c r="C56" t="s">
        <v>4386</v>
      </c>
      <c r="D56" t="s">
        <v>8</v>
      </c>
      <c r="F56" t="s">
        <v>5032</v>
      </c>
    </row>
    <row r="57" spans="1:6">
      <c r="A57">
        <v>482</v>
      </c>
      <c r="B57">
        <v>1481</v>
      </c>
      <c r="C57" t="s">
        <v>4386</v>
      </c>
      <c r="D57" t="s">
        <v>8</v>
      </c>
      <c r="F57" t="s">
        <v>5034</v>
      </c>
    </row>
    <row r="58" spans="1:6">
      <c r="A58">
        <v>483</v>
      </c>
      <c r="B58">
        <v>1482</v>
      </c>
      <c r="C58" t="s">
        <v>4386</v>
      </c>
      <c r="D58" t="s">
        <v>8</v>
      </c>
      <c r="F58" t="s">
        <v>5036</v>
      </c>
    </row>
    <row r="59" spans="1:6">
      <c r="A59">
        <v>484</v>
      </c>
      <c r="B59">
        <v>1483</v>
      </c>
      <c r="C59" t="s">
        <v>4331</v>
      </c>
      <c r="D59" t="s">
        <v>10</v>
      </c>
      <c r="E59" t="s">
        <v>8</v>
      </c>
      <c r="F59" t="s">
        <v>5037</v>
      </c>
    </row>
    <row r="60" spans="1:6">
      <c r="A60">
        <v>489</v>
      </c>
      <c r="B60">
        <v>1488</v>
      </c>
      <c r="C60" t="s">
        <v>4386</v>
      </c>
      <c r="D60" t="s">
        <v>10</v>
      </c>
      <c r="F60" t="s">
        <v>5042</v>
      </c>
    </row>
    <row r="61" spans="1:6">
      <c r="A61">
        <v>491</v>
      </c>
      <c r="B61">
        <v>1490</v>
      </c>
      <c r="C61" t="s">
        <v>4331</v>
      </c>
      <c r="D61" t="s">
        <v>11</v>
      </c>
      <c r="E61" t="s">
        <v>8</v>
      </c>
      <c r="F61" t="s">
        <v>5044</v>
      </c>
    </row>
    <row r="62" spans="1:6">
      <c r="A62">
        <v>493</v>
      </c>
      <c r="B62">
        <v>1492</v>
      </c>
      <c r="C62" t="s">
        <v>4331</v>
      </c>
      <c r="D62" t="s">
        <v>8</v>
      </c>
      <c r="E62" t="s">
        <v>10</v>
      </c>
      <c r="F62" t="s">
        <v>5045</v>
      </c>
    </row>
    <row r="63" spans="1:6">
      <c r="A63">
        <v>494</v>
      </c>
      <c r="B63">
        <v>1493</v>
      </c>
      <c r="C63" t="s">
        <v>4331</v>
      </c>
      <c r="D63" t="s">
        <v>7</v>
      </c>
      <c r="E63" t="s">
        <v>11</v>
      </c>
      <c r="F63" t="s">
        <v>5046</v>
      </c>
    </row>
    <row r="64" spans="1:6">
      <c r="A64">
        <v>506</v>
      </c>
      <c r="B64">
        <v>1505</v>
      </c>
      <c r="C64" t="s">
        <v>4331</v>
      </c>
      <c r="D64" t="s">
        <v>9</v>
      </c>
      <c r="E64" t="s">
        <v>10</v>
      </c>
      <c r="F64" t="s">
        <v>5076</v>
      </c>
    </row>
    <row r="65" spans="1:6">
      <c r="A65">
        <v>507</v>
      </c>
      <c r="B65">
        <v>1506</v>
      </c>
      <c r="C65" t="s">
        <v>4331</v>
      </c>
      <c r="D65" t="s">
        <v>10</v>
      </c>
      <c r="E65" t="s">
        <v>7</v>
      </c>
      <c r="F65" t="s">
        <v>5078</v>
      </c>
    </row>
    <row r="66" spans="1:6">
      <c r="A66">
        <v>508</v>
      </c>
      <c r="B66">
        <v>1507</v>
      </c>
      <c r="C66" t="s">
        <v>4331</v>
      </c>
      <c r="D66" t="s">
        <v>7</v>
      </c>
      <c r="E66" t="s">
        <v>11</v>
      </c>
      <c r="F66" t="s">
        <v>5080</v>
      </c>
    </row>
    <row r="67" spans="1:6">
      <c r="A67">
        <v>514</v>
      </c>
      <c r="B67">
        <v>1513</v>
      </c>
      <c r="C67" t="s">
        <v>4331</v>
      </c>
      <c r="D67" t="s">
        <v>10</v>
      </c>
      <c r="E67" t="s">
        <v>7</v>
      </c>
      <c r="F67" t="s">
        <v>5087</v>
      </c>
    </row>
    <row r="68" spans="1:6">
      <c r="A68">
        <v>516</v>
      </c>
      <c r="B68">
        <v>1515</v>
      </c>
      <c r="C68" t="s">
        <v>4331</v>
      </c>
      <c r="D68" t="s">
        <v>9</v>
      </c>
      <c r="E68" t="s">
        <v>10</v>
      </c>
      <c r="F68" t="s">
        <v>5089</v>
      </c>
    </row>
    <row r="69" spans="1:6">
      <c r="A69">
        <v>517</v>
      </c>
      <c r="B69">
        <v>1516</v>
      </c>
      <c r="C69" t="s">
        <v>4386</v>
      </c>
      <c r="D69" t="s">
        <v>9</v>
      </c>
      <c r="F69" t="s">
        <v>5090</v>
      </c>
    </row>
    <row r="70" spans="1:6">
      <c r="A70">
        <v>519</v>
      </c>
      <c r="B70">
        <v>1518</v>
      </c>
      <c r="C70" t="s">
        <v>4331</v>
      </c>
      <c r="D70" t="s">
        <v>4199</v>
      </c>
      <c r="E70" t="s">
        <v>7</v>
      </c>
      <c r="F70" t="s">
        <v>5092</v>
      </c>
    </row>
    <row r="71" spans="1:6">
      <c r="A71">
        <v>523</v>
      </c>
      <c r="B71">
        <v>1522</v>
      </c>
      <c r="C71" t="s">
        <v>4386</v>
      </c>
      <c r="D71" t="s">
        <v>9</v>
      </c>
      <c r="F71" t="s">
        <v>5096</v>
      </c>
    </row>
    <row r="72" spans="1:6">
      <c r="A72">
        <v>525</v>
      </c>
      <c r="B72">
        <v>1524</v>
      </c>
      <c r="C72" t="s">
        <v>4331</v>
      </c>
      <c r="D72" t="s">
        <v>8</v>
      </c>
      <c r="E72" t="s">
        <v>11</v>
      </c>
      <c r="F72" t="s">
        <v>5099</v>
      </c>
    </row>
    <row r="73" spans="1:6">
      <c r="A73">
        <v>531</v>
      </c>
      <c r="B73">
        <v>1530</v>
      </c>
      <c r="C73" t="s">
        <v>4386</v>
      </c>
      <c r="D73" t="s">
        <v>10</v>
      </c>
      <c r="F73" t="s">
        <v>5105</v>
      </c>
    </row>
    <row r="74" spans="1:6">
      <c r="A74">
        <v>532</v>
      </c>
      <c r="B74">
        <v>1531</v>
      </c>
      <c r="C74" t="s">
        <v>4386</v>
      </c>
      <c r="D74" t="s">
        <v>7</v>
      </c>
      <c r="F74" t="s">
        <v>5107</v>
      </c>
    </row>
    <row r="75" spans="1:6">
      <c r="A75">
        <v>534</v>
      </c>
      <c r="B75">
        <v>1533</v>
      </c>
      <c r="C75" t="s">
        <v>4386</v>
      </c>
      <c r="D75" t="s">
        <v>11</v>
      </c>
      <c r="F75" t="s">
        <v>5110</v>
      </c>
    </row>
    <row r="76" spans="1:6">
      <c r="A76">
        <v>542</v>
      </c>
      <c r="B76">
        <v>1541</v>
      </c>
      <c r="C76" t="s">
        <v>4386</v>
      </c>
      <c r="D76" t="s">
        <v>7</v>
      </c>
      <c r="F76" t="s">
        <v>5120</v>
      </c>
    </row>
    <row r="77" spans="1:6">
      <c r="A77">
        <v>559</v>
      </c>
      <c r="B77">
        <v>1558</v>
      </c>
      <c r="C77" t="s">
        <v>4386</v>
      </c>
      <c r="D77" t="s">
        <v>7</v>
      </c>
      <c r="F77" t="s">
        <v>5157</v>
      </c>
    </row>
    <row r="78" spans="1:6">
      <c r="A78">
        <v>571</v>
      </c>
      <c r="B78">
        <v>1570</v>
      </c>
      <c r="C78" t="s">
        <v>4331</v>
      </c>
      <c r="D78" t="s">
        <v>7</v>
      </c>
      <c r="E78" t="s">
        <v>9</v>
      </c>
      <c r="F78" t="s">
        <v>5175</v>
      </c>
    </row>
    <row r="79" spans="1:6">
      <c r="A79">
        <v>601</v>
      </c>
      <c r="B79">
        <v>1600</v>
      </c>
      <c r="C79" t="s">
        <v>4331</v>
      </c>
      <c r="D79" t="s">
        <v>9</v>
      </c>
      <c r="E79" t="s">
        <v>8</v>
      </c>
      <c r="F79" t="s">
        <v>5212</v>
      </c>
    </row>
    <row r="80" spans="1:6">
      <c r="A80">
        <v>610</v>
      </c>
      <c r="B80">
        <v>1609</v>
      </c>
      <c r="C80" t="s">
        <v>4386</v>
      </c>
      <c r="D80" t="s">
        <v>9</v>
      </c>
      <c r="F80" t="s">
        <v>5254</v>
      </c>
    </row>
    <row r="81" spans="1:6">
      <c r="A81">
        <v>616</v>
      </c>
      <c r="B81">
        <v>1615</v>
      </c>
      <c r="C81" t="s">
        <v>4386</v>
      </c>
      <c r="D81" t="s">
        <v>7</v>
      </c>
      <c r="F81" t="s">
        <v>5261</v>
      </c>
    </row>
    <row r="82" spans="1:6">
      <c r="A82">
        <v>618</v>
      </c>
      <c r="B82">
        <v>1617</v>
      </c>
      <c r="C82" t="s">
        <v>4386</v>
      </c>
      <c r="D82" t="s">
        <v>10</v>
      </c>
      <c r="F82" t="s">
        <v>5263</v>
      </c>
    </row>
    <row r="83" spans="1:6">
      <c r="A83">
        <v>619</v>
      </c>
      <c r="B83">
        <v>1618</v>
      </c>
      <c r="C83" t="s">
        <v>4331</v>
      </c>
      <c r="D83" t="s">
        <v>7</v>
      </c>
      <c r="E83" t="s">
        <v>8</v>
      </c>
      <c r="F83" t="s">
        <v>5264</v>
      </c>
    </row>
    <row r="84" spans="1:6">
      <c r="A84">
        <v>631</v>
      </c>
      <c r="B84">
        <v>1630</v>
      </c>
      <c r="C84" t="s">
        <v>4331</v>
      </c>
      <c r="D84" t="s">
        <v>8</v>
      </c>
      <c r="E84" t="s">
        <v>7</v>
      </c>
      <c r="F84" t="s">
        <v>5278</v>
      </c>
    </row>
    <row r="85" spans="1:6">
      <c r="A85">
        <v>644</v>
      </c>
      <c r="B85">
        <v>1643</v>
      </c>
      <c r="C85" t="s">
        <v>4386</v>
      </c>
      <c r="D85" t="s">
        <v>9</v>
      </c>
      <c r="F85" t="s">
        <v>5292</v>
      </c>
    </row>
    <row r="86" spans="1:6">
      <c r="A86">
        <v>645</v>
      </c>
      <c r="B86">
        <v>1644</v>
      </c>
      <c r="C86" t="s">
        <v>4386</v>
      </c>
      <c r="D86" t="s">
        <v>8</v>
      </c>
      <c r="F86" t="s">
        <v>5294</v>
      </c>
    </row>
    <row r="87" spans="1:6">
      <c r="A87">
        <v>649</v>
      </c>
      <c r="B87">
        <v>1648</v>
      </c>
      <c r="C87" t="s">
        <v>4386</v>
      </c>
      <c r="D87" t="s">
        <v>9</v>
      </c>
      <c r="F87" t="s">
        <v>5300</v>
      </c>
    </row>
    <row r="88" spans="1:6">
      <c r="A88">
        <v>658</v>
      </c>
      <c r="B88">
        <v>1657</v>
      </c>
      <c r="C88" t="s">
        <v>4386</v>
      </c>
      <c r="D88" t="s">
        <v>8</v>
      </c>
      <c r="F88" t="s">
        <v>5317</v>
      </c>
    </row>
    <row r="89" spans="1:6">
      <c r="A89">
        <v>661</v>
      </c>
      <c r="B89">
        <v>1660</v>
      </c>
      <c r="C89" t="s">
        <v>4386</v>
      </c>
      <c r="D89" t="s">
        <v>7</v>
      </c>
      <c r="F89" t="s">
        <v>5320</v>
      </c>
    </row>
    <row r="90" spans="1:6">
      <c r="A90">
        <v>678</v>
      </c>
      <c r="B90">
        <v>1677</v>
      </c>
      <c r="C90" t="s">
        <v>4331</v>
      </c>
      <c r="D90" t="s">
        <v>4208</v>
      </c>
      <c r="E90" t="s">
        <v>3936</v>
      </c>
      <c r="F90" t="s">
        <v>5341</v>
      </c>
    </row>
    <row r="91" spans="1:6">
      <c r="A91">
        <v>688</v>
      </c>
      <c r="B91">
        <v>1687</v>
      </c>
      <c r="C91" t="s">
        <v>4386</v>
      </c>
      <c r="D91" t="s">
        <v>11</v>
      </c>
      <c r="F91" t="s">
        <v>5353</v>
      </c>
    </row>
    <row r="92" spans="1:6">
      <c r="A92">
        <v>700</v>
      </c>
      <c r="B92">
        <v>1699</v>
      </c>
      <c r="C92" t="s">
        <v>4386</v>
      </c>
      <c r="D92" t="s">
        <v>9</v>
      </c>
      <c r="F92" t="s">
        <v>5365</v>
      </c>
    </row>
    <row r="93" spans="1:6">
      <c r="A93">
        <v>708</v>
      </c>
      <c r="B93">
        <v>1707</v>
      </c>
      <c r="C93" t="s">
        <v>4331</v>
      </c>
      <c r="D93" t="s">
        <v>10</v>
      </c>
      <c r="E93" t="s">
        <v>11</v>
      </c>
      <c r="F93" t="s">
        <v>5385</v>
      </c>
    </row>
    <row r="94" spans="1:6">
      <c r="A94">
        <v>743</v>
      </c>
      <c r="B94">
        <v>1742</v>
      </c>
      <c r="C94" t="s">
        <v>4386</v>
      </c>
      <c r="D94" t="s">
        <v>4265</v>
      </c>
      <c r="F94" t="s">
        <v>5424</v>
      </c>
    </row>
    <row r="95" spans="1:6">
      <c r="A95">
        <v>765</v>
      </c>
      <c r="B95">
        <v>1764</v>
      </c>
      <c r="C95" t="s">
        <v>4331</v>
      </c>
      <c r="D95" t="s">
        <v>10</v>
      </c>
      <c r="E95" t="s">
        <v>8</v>
      </c>
      <c r="F95" t="s">
        <v>5448</v>
      </c>
    </row>
    <row r="96" spans="1:6">
      <c r="A96">
        <v>766</v>
      </c>
      <c r="B96">
        <v>1765</v>
      </c>
      <c r="C96" t="s">
        <v>4331</v>
      </c>
      <c r="D96" t="s">
        <v>8</v>
      </c>
      <c r="E96" t="s">
        <v>7</v>
      </c>
      <c r="F96" t="s">
        <v>5449</v>
      </c>
    </row>
    <row r="97" spans="1:6">
      <c r="A97">
        <v>767</v>
      </c>
      <c r="B97">
        <v>1766</v>
      </c>
      <c r="C97" t="s">
        <v>4386</v>
      </c>
      <c r="D97" t="s">
        <v>7</v>
      </c>
      <c r="F97" t="s">
        <v>5450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30C2-67D7-4360-A234-353D29263089}">
  <dimension ref="A1:C110"/>
  <sheetViews>
    <sheetView workbookViewId="0"/>
  </sheetViews>
  <sheetFormatPr defaultRowHeight="15"/>
  <sheetData>
    <row r="1" spans="1:3">
      <c r="A1" t="s">
        <v>4404</v>
      </c>
      <c r="B1" t="s">
        <v>4405</v>
      </c>
      <c r="C1" t="s">
        <v>4406</v>
      </c>
    </row>
    <row r="2" spans="1:3">
      <c r="A2" t="s">
        <v>4407</v>
      </c>
      <c r="B2" t="s">
        <v>4408</v>
      </c>
      <c r="C2" t="s">
        <v>4409</v>
      </c>
    </row>
    <row r="3" spans="1:3">
      <c r="A3" t="s">
        <v>4321</v>
      </c>
      <c r="B3" t="s">
        <v>4410</v>
      </c>
      <c r="C3" t="s">
        <v>4411</v>
      </c>
    </row>
    <row r="4" spans="1:3">
      <c r="A4" t="s">
        <v>4323</v>
      </c>
      <c r="B4" t="s">
        <v>224</v>
      </c>
      <c r="C4" t="s">
        <v>4412</v>
      </c>
    </row>
    <row r="5" spans="1:3">
      <c r="A5" t="s">
        <v>4325</v>
      </c>
      <c r="B5" t="s">
        <v>91</v>
      </c>
      <c r="C5" t="s">
        <v>4413</v>
      </c>
    </row>
    <row r="6" spans="1:3">
      <c r="A6" t="s">
        <v>4327</v>
      </c>
      <c r="B6" t="s">
        <v>4414</v>
      </c>
      <c r="C6" t="s">
        <v>4415</v>
      </c>
    </row>
    <row r="7" spans="1:3">
      <c r="A7" t="s">
        <v>4330</v>
      </c>
      <c r="B7" t="s">
        <v>4416</v>
      </c>
      <c r="C7" t="s">
        <v>4417</v>
      </c>
    </row>
    <row r="8" spans="1:3">
      <c r="A8" t="s">
        <v>4418</v>
      </c>
      <c r="B8" t="s">
        <v>4419</v>
      </c>
      <c r="C8" t="s">
        <v>4420</v>
      </c>
    </row>
    <row r="9" spans="1:3">
      <c r="A9" t="s">
        <v>4336</v>
      </c>
      <c r="B9" t="s">
        <v>4421</v>
      </c>
      <c r="C9" t="s">
        <v>4422</v>
      </c>
    </row>
    <row r="10" spans="1:3">
      <c r="A10" t="s">
        <v>4338</v>
      </c>
      <c r="B10" t="s">
        <v>4423</v>
      </c>
      <c r="C10" t="s">
        <v>4424</v>
      </c>
    </row>
    <row r="11" spans="1:3">
      <c r="A11" t="s">
        <v>4425</v>
      </c>
      <c r="B11" t="s">
        <v>4426</v>
      </c>
      <c r="C11" t="s">
        <v>4427</v>
      </c>
    </row>
    <row r="12" spans="1:3">
      <c r="A12" t="s">
        <v>4344</v>
      </c>
      <c r="B12" t="s">
        <v>4428</v>
      </c>
      <c r="C12" t="s">
        <v>4429</v>
      </c>
    </row>
    <row r="13" spans="1:3">
      <c r="A13" t="s">
        <v>4430</v>
      </c>
      <c r="B13" t="s">
        <v>4431</v>
      </c>
      <c r="C13" t="s">
        <v>4432</v>
      </c>
    </row>
    <row r="14" spans="1:3">
      <c r="A14" t="s">
        <v>4433</v>
      </c>
      <c r="B14" t="s">
        <v>4434</v>
      </c>
      <c r="C14" t="s">
        <v>4435</v>
      </c>
    </row>
    <row r="15" spans="1:3">
      <c r="A15" t="s">
        <v>4436</v>
      </c>
      <c r="B15" t="s">
        <v>4437</v>
      </c>
      <c r="C15" t="s">
        <v>4438</v>
      </c>
    </row>
    <row r="16" spans="1:3">
      <c r="A16" t="s">
        <v>4350</v>
      </c>
      <c r="B16" t="s">
        <v>4439</v>
      </c>
      <c r="C16" t="s">
        <v>4440</v>
      </c>
    </row>
    <row r="17" spans="1:3">
      <c r="A17" t="s">
        <v>4441</v>
      </c>
      <c r="B17" t="s">
        <v>4442</v>
      </c>
      <c r="C17" t="s">
        <v>4443</v>
      </c>
    </row>
    <row r="18" spans="1:3">
      <c r="A18" t="s">
        <v>4444</v>
      </c>
      <c r="B18" t="s">
        <v>4445</v>
      </c>
      <c r="C18" t="s">
        <v>4446</v>
      </c>
    </row>
    <row r="19" spans="1:3">
      <c r="A19" t="s">
        <v>4354</v>
      </c>
      <c r="B19" t="s">
        <v>4447</v>
      </c>
      <c r="C19" t="s">
        <v>4448</v>
      </c>
    </row>
    <row r="20" spans="1:3">
      <c r="A20" t="s">
        <v>4382</v>
      </c>
      <c r="B20" t="s">
        <v>4449</v>
      </c>
      <c r="C20" t="s">
        <v>4450</v>
      </c>
    </row>
    <row r="21" spans="1:3">
      <c r="A21" t="s">
        <v>4359</v>
      </c>
      <c r="B21" t="s">
        <v>4451</v>
      </c>
      <c r="C21" t="s">
        <v>4452</v>
      </c>
    </row>
    <row r="22" spans="1:3">
      <c r="A22" t="s">
        <v>4453</v>
      </c>
      <c r="B22" t="s">
        <v>4454</v>
      </c>
      <c r="C22" t="s">
        <v>4455</v>
      </c>
    </row>
    <row r="23" spans="1:3">
      <c r="A23" t="s">
        <v>4364</v>
      </c>
      <c r="B23" t="s">
        <v>4456</v>
      </c>
      <c r="C23" t="s">
        <v>4457</v>
      </c>
    </row>
    <row r="24" spans="1:3">
      <c r="A24" t="s">
        <v>4366</v>
      </c>
      <c r="B24" t="s">
        <v>3865</v>
      </c>
      <c r="C24" t="s">
        <v>4458</v>
      </c>
    </row>
    <row r="25" spans="1:3">
      <c r="A25" t="s">
        <v>4371</v>
      </c>
      <c r="B25" t="s">
        <v>4459</v>
      </c>
      <c r="C25" t="s">
        <v>4460</v>
      </c>
    </row>
    <row r="26" spans="1:3">
      <c r="A26" t="s">
        <v>4369</v>
      </c>
      <c r="B26" t="s">
        <v>4461</v>
      </c>
      <c r="C26" t="s">
        <v>4462</v>
      </c>
    </row>
    <row r="27" spans="1:3">
      <c r="A27" t="s">
        <v>4377</v>
      </c>
      <c r="B27" t="s">
        <v>4463</v>
      </c>
      <c r="C27" t="s">
        <v>4464</v>
      </c>
    </row>
    <row r="28" spans="1:3">
      <c r="A28" t="s">
        <v>4465</v>
      </c>
      <c r="B28" t="s">
        <v>4466</v>
      </c>
      <c r="C28" t="s">
        <v>4467</v>
      </c>
    </row>
    <row r="29" spans="1:3">
      <c r="A29" t="s">
        <v>4468</v>
      </c>
      <c r="B29" t="s">
        <v>4469</v>
      </c>
      <c r="C29" t="s">
        <v>4470</v>
      </c>
    </row>
    <row r="30" spans="1:3">
      <c r="A30" t="s">
        <v>4402</v>
      </c>
      <c r="B30" t="s">
        <v>4471</v>
      </c>
      <c r="C30" t="s">
        <v>4472</v>
      </c>
    </row>
    <row r="31" spans="1:3">
      <c r="A31" t="s">
        <v>4473</v>
      </c>
      <c r="B31" t="s">
        <v>4474</v>
      </c>
      <c r="C31" t="s">
        <v>4475</v>
      </c>
    </row>
    <row r="32" spans="1:3">
      <c r="A32" t="s">
        <v>4399</v>
      </c>
      <c r="B32" t="s">
        <v>4476</v>
      </c>
      <c r="C32" t="s">
        <v>4477</v>
      </c>
    </row>
    <row r="33" spans="1:3">
      <c r="A33" t="s">
        <v>4478</v>
      </c>
      <c r="B33" t="s">
        <v>4479</v>
      </c>
      <c r="C33" t="s">
        <v>4480</v>
      </c>
    </row>
    <row r="34" spans="1:3">
      <c r="A34" t="s">
        <v>4481</v>
      </c>
      <c r="B34" t="s">
        <v>4482</v>
      </c>
      <c r="C34" t="s">
        <v>4483</v>
      </c>
    </row>
    <row r="35" spans="1:3">
      <c r="A35" t="s">
        <v>4484</v>
      </c>
      <c r="B35" t="s">
        <v>4485</v>
      </c>
      <c r="C35" t="s">
        <v>4486</v>
      </c>
    </row>
    <row r="36" spans="1:3">
      <c r="A36" t="s">
        <v>4487</v>
      </c>
      <c r="B36" t="s">
        <v>4488</v>
      </c>
      <c r="C36" t="s">
        <v>4489</v>
      </c>
    </row>
    <row r="37" spans="1:3">
      <c r="A37" t="s">
        <v>4490</v>
      </c>
      <c r="B37" t="s">
        <v>4491</v>
      </c>
      <c r="C37" t="s">
        <v>4492</v>
      </c>
    </row>
    <row r="38" spans="1:3">
      <c r="A38" t="s">
        <v>4551</v>
      </c>
      <c r="B38" t="s">
        <v>4556</v>
      </c>
      <c r="C38" t="s">
        <v>4557</v>
      </c>
    </row>
    <row r="39" spans="1:3">
      <c r="A39" t="s">
        <v>4502</v>
      </c>
      <c r="B39" t="s">
        <v>4825</v>
      </c>
      <c r="C39" t="s">
        <v>4826</v>
      </c>
    </row>
    <row r="40" spans="1:3">
      <c r="A40" t="s">
        <v>4567</v>
      </c>
      <c r="B40" t="s">
        <v>4827</v>
      </c>
      <c r="C40" t="s">
        <v>4828</v>
      </c>
    </row>
    <row r="41" spans="1:3">
      <c r="A41" t="s">
        <v>4790</v>
      </c>
      <c r="B41" t="s">
        <v>4829</v>
      </c>
      <c r="C41" t="s">
        <v>4830</v>
      </c>
    </row>
    <row r="42" spans="1:3">
      <c r="A42" t="s">
        <v>4794</v>
      </c>
      <c r="B42" t="s">
        <v>4831</v>
      </c>
      <c r="C42" t="s">
        <v>4832</v>
      </c>
    </row>
    <row r="43" spans="1:3">
      <c r="A43" t="s">
        <v>4833</v>
      </c>
      <c r="B43" t="s">
        <v>4834</v>
      </c>
      <c r="C43" t="s">
        <v>4835</v>
      </c>
    </row>
    <row r="44" spans="1:3">
      <c r="A44" t="s">
        <v>4778</v>
      </c>
      <c r="B44" t="s">
        <v>221</v>
      </c>
      <c r="C44" t="s">
        <v>4836</v>
      </c>
    </row>
    <row r="45" spans="1:3">
      <c r="A45" t="s">
        <v>4792</v>
      </c>
      <c r="B45" t="s">
        <v>4837</v>
      </c>
      <c r="C45" t="s">
        <v>4838</v>
      </c>
    </row>
    <row r="46" spans="1:3">
      <c r="A46" t="s">
        <v>4817</v>
      </c>
      <c r="B46" t="s">
        <v>4839</v>
      </c>
      <c r="C46" t="s">
        <v>4840</v>
      </c>
    </row>
    <row r="47" spans="1:3">
      <c r="A47" t="s">
        <v>4820</v>
      </c>
      <c r="B47" t="s">
        <v>4466</v>
      </c>
      <c r="C47" t="s">
        <v>4841</v>
      </c>
    </row>
    <row r="48" spans="1:3">
      <c r="A48" t="s">
        <v>4823</v>
      </c>
      <c r="B48" t="s">
        <v>4451</v>
      </c>
      <c r="C48" t="s">
        <v>4842</v>
      </c>
    </row>
    <row r="49" spans="1:3">
      <c r="A49" t="s">
        <v>4875</v>
      </c>
      <c r="B49" t="s">
        <v>4906</v>
      </c>
      <c r="C49" t="s">
        <v>4907</v>
      </c>
    </row>
    <row r="50" spans="1:3">
      <c r="A50" t="s">
        <v>4908</v>
      </c>
      <c r="B50" t="s">
        <v>4909</v>
      </c>
      <c r="C50" t="s">
        <v>4910</v>
      </c>
    </row>
    <row r="51" spans="1:3">
      <c r="A51" t="s">
        <v>4911</v>
      </c>
      <c r="B51" t="s">
        <v>4912</v>
      </c>
      <c r="C51" t="s">
        <v>4913</v>
      </c>
    </row>
    <row r="52" spans="1:3">
      <c r="A52" t="s">
        <v>4914</v>
      </c>
      <c r="B52" t="s">
        <v>4915</v>
      </c>
      <c r="C52" t="s">
        <v>4916</v>
      </c>
    </row>
    <row r="53" spans="1:3">
      <c r="A53" t="s">
        <v>4871</v>
      </c>
      <c r="B53" t="s">
        <v>4917</v>
      </c>
      <c r="C53" t="s">
        <v>4918</v>
      </c>
    </row>
    <row r="54" spans="1:3">
      <c r="A54" t="s">
        <v>4882</v>
      </c>
      <c r="B54" t="s">
        <v>4919</v>
      </c>
      <c r="C54" t="s">
        <v>4920</v>
      </c>
    </row>
    <row r="55" spans="1:3">
      <c r="A55" t="s">
        <v>4844</v>
      </c>
      <c r="B55" t="s">
        <v>4921</v>
      </c>
      <c r="C55" t="s">
        <v>4922</v>
      </c>
    </row>
    <row r="56" spans="1:3">
      <c r="A56" t="s">
        <v>4896</v>
      </c>
      <c r="B56" t="s">
        <v>4923</v>
      </c>
      <c r="C56" t="s">
        <v>4924</v>
      </c>
    </row>
    <row r="57" spans="1:3">
      <c r="A57" t="s">
        <v>4857</v>
      </c>
      <c r="B57" t="s">
        <v>4476</v>
      </c>
      <c r="C57" t="s">
        <v>4925</v>
      </c>
    </row>
    <row r="58" spans="1:3">
      <c r="A58" t="s">
        <v>4865</v>
      </c>
      <c r="B58" t="s">
        <v>4926</v>
      </c>
      <c r="C58" t="s">
        <v>4927</v>
      </c>
    </row>
    <row r="59" spans="1:3">
      <c r="A59" t="s">
        <v>4892</v>
      </c>
      <c r="B59" t="s">
        <v>4928</v>
      </c>
      <c r="C59" t="s">
        <v>4929</v>
      </c>
    </row>
    <row r="60" spans="1:3">
      <c r="A60" t="s">
        <v>4887</v>
      </c>
      <c r="B60" t="s">
        <v>4930</v>
      </c>
      <c r="C60" t="s">
        <v>4931</v>
      </c>
    </row>
    <row r="61" spans="1:3">
      <c r="A61" t="s">
        <v>4936</v>
      </c>
      <c r="B61" t="s">
        <v>4988</v>
      </c>
      <c r="C61" t="s">
        <v>4989</v>
      </c>
    </row>
    <row r="62" spans="1:3">
      <c r="A62" t="s">
        <v>4958</v>
      </c>
      <c r="B62" t="s">
        <v>4990</v>
      </c>
      <c r="C62" t="s">
        <v>4991</v>
      </c>
    </row>
    <row r="63" spans="1:3">
      <c r="A63" t="s">
        <v>4979</v>
      </c>
      <c r="B63" t="s">
        <v>4992</v>
      </c>
      <c r="C63" t="s">
        <v>4993</v>
      </c>
    </row>
    <row r="64" spans="1:3">
      <c r="A64" t="s">
        <v>4965</v>
      </c>
      <c r="B64" t="s">
        <v>4994</v>
      </c>
      <c r="C64" t="s">
        <v>4995</v>
      </c>
    </row>
    <row r="65" spans="1:3">
      <c r="A65" t="s">
        <v>4947</v>
      </c>
      <c r="B65" t="s">
        <v>4996</v>
      </c>
      <c r="C65" t="s">
        <v>4997</v>
      </c>
    </row>
    <row r="66" spans="1:3">
      <c r="A66" t="s">
        <v>4999</v>
      </c>
      <c r="B66" t="s">
        <v>5055</v>
      </c>
      <c r="C66" t="s">
        <v>5056</v>
      </c>
    </row>
    <row r="67" spans="1:3">
      <c r="A67" t="s">
        <v>5001</v>
      </c>
      <c r="B67" t="s">
        <v>5057</v>
      </c>
      <c r="C67" t="s">
        <v>5058</v>
      </c>
    </row>
    <row r="68" spans="1:3">
      <c r="A68" t="s">
        <v>5008</v>
      </c>
      <c r="B68" t="s">
        <v>5059</v>
      </c>
      <c r="C68" t="s">
        <v>5060</v>
      </c>
    </row>
    <row r="69" spans="1:3">
      <c r="A69" t="s">
        <v>5033</v>
      </c>
      <c r="B69" t="s">
        <v>5061</v>
      </c>
      <c r="C69" t="s">
        <v>5062</v>
      </c>
    </row>
    <row r="70" spans="1:3">
      <c r="A70" t="s">
        <v>5063</v>
      </c>
      <c r="B70" t="s">
        <v>5064</v>
      </c>
      <c r="C70" t="s">
        <v>5065</v>
      </c>
    </row>
    <row r="71" spans="1:3">
      <c r="A71" t="s">
        <v>5066</v>
      </c>
      <c r="B71" t="s">
        <v>5067</v>
      </c>
      <c r="C71" t="s">
        <v>5068</v>
      </c>
    </row>
    <row r="72" spans="1:3">
      <c r="A72" t="s">
        <v>5053</v>
      </c>
      <c r="B72" t="s">
        <v>540</v>
      </c>
      <c r="C72" t="s">
        <v>5069</v>
      </c>
    </row>
    <row r="73" spans="1:3">
      <c r="A73" t="s">
        <v>5006</v>
      </c>
      <c r="B73" t="s">
        <v>5070</v>
      </c>
      <c r="C73" t="s">
        <v>5071</v>
      </c>
    </row>
    <row r="74" spans="1:3">
      <c r="A74" t="s">
        <v>5113</v>
      </c>
      <c r="B74" t="s">
        <v>5134</v>
      </c>
      <c r="C74" t="s">
        <v>5135</v>
      </c>
    </row>
    <row r="75" spans="1:3">
      <c r="A75" t="s">
        <v>5077</v>
      </c>
      <c r="B75" t="s">
        <v>5136</v>
      </c>
      <c r="C75" t="s">
        <v>5137</v>
      </c>
    </row>
    <row r="76" spans="1:3">
      <c r="A76" t="s">
        <v>5097</v>
      </c>
      <c r="B76" t="s">
        <v>5138</v>
      </c>
      <c r="C76" t="s">
        <v>5139</v>
      </c>
    </row>
    <row r="77" spans="1:3">
      <c r="A77" t="s">
        <v>5129</v>
      </c>
      <c r="B77" t="s">
        <v>5140</v>
      </c>
      <c r="C77" t="s">
        <v>5141</v>
      </c>
    </row>
    <row r="78" spans="1:3">
      <c r="A78" t="s">
        <v>5108</v>
      </c>
      <c r="B78" t="s">
        <v>5142</v>
      </c>
      <c r="C78" t="s">
        <v>5143</v>
      </c>
    </row>
    <row r="79" spans="1:3">
      <c r="A79" t="s">
        <v>5081</v>
      </c>
      <c r="B79" t="s">
        <v>5144</v>
      </c>
      <c r="C79" t="s">
        <v>5145</v>
      </c>
    </row>
    <row r="80" spans="1:3">
      <c r="A80" t="s">
        <v>5079</v>
      </c>
      <c r="B80" t="s">
        <v>5146</v>
      </c>
      <c r="C80" t="s">
        <v>5147</v>
      </c>
    </row>
    <row r="81" spans="1:3">
      <c r="A81" t="s">
        <v>5153</v>
      </c>
      <c r="B81" t="s">
        <v>5214</v>
      </c>
      <c r="C81" t="s">
        <v>5215</v>
      </c>
    </row>
    <row r="82" spans="1:3">
      <c r="A82" t="s">
        <v>5172</v>
      </c>
      <c r="B82" t="s">
        <v>5216</v>
      </c>
      <c r="C82" t="s">
        <v>5217</v>
      </c>
    </row>
    <row r="83" spans="1:3">
      <c r="A83" t="s">
        <v>5174</v>
      </c>
      <c r="B83" t="s">
        <v>4449</v>
      </c>
      <c r="C83" t="s">
        <v>4450</v>
      </c>
    </row>
    <row r="84" spans="1:3">
      <c r="A84" t="s">
        <v>5176</v>
      </c>
      <c r="B84" t="s">
        <v>5218</v>
      </c>
      <c r="C84" t="s">
        <v>5219</v>
      </c>
    </row>
    <row r="85" spans="1:3">
      <c r="A85" t="s">
        <v>5158</v>
      </c>
      <c r="B85" t="s">
        <v>5220</v>
      </c>
      <c r="C85" t="s">
        <v>5221</v>
      </c>
    </row>
    <row r="86" spans="1:3">
      <c r="A86" t="s">
        <v>5162</v>
      </c>
      <c r="B86" t="s">
        <v>5222</v>
      </c>
      <c r="C86" t="s">
        <v>5223</v>
      </c>
    </row>
    <row r="87" spans="1:3">
      <c r="A87" t="s">
        <v>5199</v>
      </c>
      <c r="B87" t="s">
        <v>5224</v>
      </c>
      <c r="C87" t="s">
        <v>5225</v>
      </c>
    </row>
    <row r="88" spans="1:3">
      <c r="A88" t="s">
        <v>5186</v>
      </c>
      <c r="B88" t="s">
        <v>5226</v>
      </c>
      <c r="C88" t="s">
        <v>5227</v>
      </c>
    </row>
    <row r="89" spans="1:3">
      <c r="A89" t="s">
        <v>5164</v>
      </c>
      <c r="B89" t="s">
        <v>5228</v>
      </c>
      <c r="C89" t="s">
        <v>5229</v>
      </c>
    </row>
    <row r="90" spans="1:3">
      <c r="A90" t="s">
        <v>5193</v>
      </c>
      <c r="B90" t="s">
        <v>5230</v>
      </c>
      <c r="C90" t="s">
        <v>5231</v>
      </c>
    </row>
    <row r="91" spans="1:3">
      <c r="A91" t="s">
        <v>5191</v>
      </c>
      <c r="B91" t="s">
        <v>5232</v>
      </c>
      <c r="C91" t="s">
        <v>5233</v>
      </c>
    </row>
    <row r="92" spans="1:3">
      <c r="A92" t="s">
        <v>5234</v>
      </c>
      <c r="B92" t="s">
        <v>5235</v>
      </c>
      <c r="C92" t="s">
        <v>5236</v>
      </c>
    </row>
    <row r="93" spans="1:3">
      <c r="A93" t="s">
        <v>5237</v>
      </c>
      <c r="B93" t="s">
        <v>5238</v>
      </c>
      <c r="C93" t="s">
        <v>5239</v>
      </c>
    </row>
    <row r="94" spans="1:3">
      <c r="A94" t="s">
        <v>5169</v>
      </c>
      <c r="B94" t="s">
        <v>5240</v>
      </c>
      <c r="C94" t="s">
        <v>5241</v>
      </c>
    </row>
    <row r="95" spans="1:3">
      <c r="A95" t="s">
        <v>5201</v>
      </c>
      <c r="B95" t="s">
        <v>5242</v>
      </c>
      <c r="C95" t="s">
        <v>5243</v>
      </c>
    </row>
    <row r="96" spans="1:3">
      <c r="A96" t="s">
        <v>5151</v>
      </c>
      <c r="B96" t="s">
        <v>5244</v>
      </c>
      <c r="C96" t="s">
        <v>5245</v>
      </c>
    </row>
    <row r="97" spans="1:3">
      <c r="A97" t="s">
        <v>5258</v>
      </c>
      <c r="B97" t="s">
        <v>5303</v>
      </c>
      <c r="C97" t="s">
        <v>5304</v>
      </c>
    </row>
    <row r="98" spans="1:3">
      <c r="A98" t="s">
        <v>5293</v>
      </c>
      <c r="B98" t="s">
        <v>5305</v>
      </c>
      <c r="C98" t="s">
        <v>5306</v>
      </c>
    </row>
    <row r="99" spans="1:3">
      <c r="A99" t="s">
        <v>5274</v>
      </c>
      <c r="B99" t="s">
        <v>5307</v>
      </c>
      <c r="C99" t="s">
        <v>5308</v>
      </c>
    </row>
    <row r="100" spans="1:3">
      <c r="A100" t="s">
        <v>5295</v>
      </c>
      <c r="B100" t="s">
        <v>5309</v>
      </c>
      <c r="C100" t="s">
        <v>5310</v>
      </c>
    </row>
    <row r="101" spans="1:3">
      <c r="A101" t="s">
        <v>5321</v>
      </c>
      <c r="B101" t="s">
        <v>5367</v>
      </c>
      <c r="C101" t="s">
        <v>5368</v>
      </c>
    </row>
    <row r="102" spans="1:3">
      <c r="A102" t="s">
        <v>5338</v>
      </c>
      <c r="B102" t="s">
        <v>5369</v>
      </c>
      <c r="C102" t="s">
        <v>5370</v>
      </c>
    </row>
    <row r="103" spans="1:3">
      <c r="A103" t="s">
        <v>5371</v>
      </c>
      <c r="B103" t="s">
        <v>4912</v>
      </c>
      <c r="C103" t="s">
        <v>5372</v>
      </c>
    </row>
    <row r="104" spans="1:3">
      <c r="A104" t="s">
        <v>5373</v>
      </c>
      <c r="B104" t="s">
        <v>5374</v>
      </c>
      <c r="C104" t="s">
        <v>5375</v>
      </c>
    </row>
    <row r="105" spans="1:3">
      <c r="A105" t="s">
        <v>5349</v>
      </c>
      <c r="B105" t="s">
        <v>5376</v>
      </c>
      <c r="C105" t="s">
        <v>5377</v>
      </c>
    </row>
    <row r="106" spans="1:3">
      <c r="A106" t="s">
        <v>5379</v>
      </c>
      <c r="B106" t="s">
        <v>5452</v>
      </c>
      <c r="C106" t="s">
        <v>5453</v>
      </c>
    </row>
    <row r="107" spans="1:3">
      <c r="A107" t="s">
        <v>5394</v>
      </c>
      <c r="B107" t="s">
        <v>5454</v>
      </c>
      <c r="C107" t="s">
        <v>5455</v>
      </c>
    </row>
    <row r="108" spans="1:3">
      <c r="A108" t="s">
        <v>5425</v>
      </c>
      <c r="B108" t="s">
        <v>5456</v>
      </c>
      <c r="C108" t="s">
        <v>5457</v>
      </c>
    </row>
    <row r="109" spans="1:3">
      <c r="A109" t="s">
        <v>5386</v>
      </c>
      <c r="B109" t="s">
        <v>5458</v>
      </c>
      <c r="C109" t="s">
        <v>5459</v>
      </c>
    </row>
    <row r="110" spans="1:3">
      <c r="A110" t="s">
        <v>5406</v>
      </c>
      <c r="B110" t="s">
        <v>5460</v>
      </c>
      <c r="C110" t="s">
        <v>5461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D768"/>
  <sheetViews>
    <sheetView tabSelected="1" workbookViewId="0">
      <pane ySplit="1" topLeftCell="A255" activePane="bottomLeft" state="frozen"/>
      <selection pane="bottomLeft" activeCell="X340" sqref="X340"/>
    </sheetView>
  </sheetViews>
  <sheetFormatPr defaultRowHeight="15"/>
  <cols>
    <col min="1" max="1" width="9.140625" customWidth="1"/>
    <col min="2" max="2" width="6.5703125" customWidth="1"/>
    <col min="3" max="3" width="5.7109375" bestFit="1" customWidth="1"/>
    <col min="4" max="4" width="8.28515625" bestFit="1" customWidth="1"/>
    <col min="5" max="7" width="17.42578125" customWidth="1"/>
    <col min="8" max="8" width="43.140625" customWidth="1"/>
    <col min="9" max="13" width="20.140625" customWidth="1"/>
    <col min="14" max="14" width="8.42578125" customWidth="1"/>
    <col min="15" max="15" width="12.7109375" bestFit="1" customWidth="1"/>
    <col min="16" max="16" width="50" customWidth="1"/>
    <col min="17" max="17" width="9.42578125" customWidth="1"/>
    <col min="18" max="18" width="5.85546875" customWidth="1"/>
    <col min="19" max="19" width="7.42578125" customWidth="1"/>
    <col min="20" max="20" width="14.28515625" bestFit="1" customWidth="1"/>
    <col min="21" max="21" width="14.140625" bestFit="1" customWidth="1"/>
    <col min="22" max="22" width="7.140625" bestFit="1" customWidth="1"/>
    <col min="23" max="23" width="12.140625" customWidth="1"/>
    <col min="24" max="24" width="14.28515625" bestFit="1" customWidth="1"/>
    <col min="25" max="25" width="17.42578125" bestFit="1" customWidth="1"/>
    <col min="26" max="26" width="19.5703125" bestFit="1" customWidth="1"/>
    <col min="27" max="27" width="27" bestFit="1" customWidth="1"/>
    <col min="28" max="28" width="239" bestFit="1" customWidth="1"/>
    <col min="29" max="29" width="22" bestFit="1" customWidth="1"/>
    <col min="30" max="30" width="10.85546875" bestFit="1" customWidth="1"/>
  </cols>
  <sheetData>
    <row r="1" spans="1:30">
      <c r="A1" s="3" t="s">
        <v>964</v>
      </c>
      <c r="B1" s="3" t="s">
        <v>0</v>
      </c>
      <c r="C1" s="3" t="s">
        <v>1</v>
      </c>
      <c r="D1" s="3" t="s">
        <v>2</v>
      </c>
      <c r="E1" s="3" t="s">
        <v>3</v>
      </c>
      <c r="F1" s="3" t="s">
        <v>4</v>
      </c>
      <c r="G1" s="3" t="s">
        <v>5</v>
      </c>
      <c r="H1" s="3" t="s">
        <v>6</v>
      </c>
      <c r="I1" s="3" t="s">
        <v>7</v>
      </c>
      <c r="J1" s="3" t="s">
        <v>8</v>
      </c>
      <c r="K1" s="3" t="s">
        <v>9</v>
      </c>
      <c r="L1" s="3" t="s">
        <v>10</v>
      </c>
      <c r="M1" s="3" t="s">
        <v>11</v>
      </c>
      <c r="N1" s="3" t="s">
        <v>1197</v>
      </c>
      <c r="O1" s="3" t="s">
        <v>12</v>
      </c>
      <c r="P1" s="3" t="s">
        <v>54</v>
      </c>
      <c r="Q1" s="3" t="s">
        <v>13</v>
      </c>
      <c r="R1" s="3" t="s">
        <v>14</v>
      </c>
      <c r="S1" s="3" t="s">
        <v>15</v>
      </c>
      <c r="T1" s="3" t="s">
        <v>16</v>
      </c>
      <c r="U1" s="3" t="s">
        <v>17</v>
      </c>
      <c r="V1" s="3" t="s">
        <v>18</v>
      </c>
      <c r="W1" s="3" t="s">
        <v>1177</v>
      </c>
      <c r="X1" s="3" t="s">
        <v>3883</v>
      </c>
      <c r="Y1" t="s">
        <v>4310</v>
      </c>
      <c r="Z1" t="s">
        <v>4311</v>
      </c>
      <c r="AA1" t="s">
        <v>4312</v>
      </c>
      <c r="AB1" t="s">
        <v>4313</v>
      </c>
      <c r="AC1" t="s">
        <v>4314</v>
      </c>
      <c r="AD1" t="s">
        <v>4315</v>
      </c>
    </row>
    <row r="2" spans="1:30" ht="240" hidden="1">
      <c r="A2" s="1" t="s">
        <v>965</v>
      </c>
      <c r="B2" s="1">
        <v>1001</v>
      </c>
      <c r="C2" s="1">
        <v>1</v>
      </c>
      <c r="D2" s="1">
        <v>1</v>
      </c>
      <c r="E2" s="1" t="s">
        <v>4290</v>
      </c>
      <c r="F2" s="1" t="s">
        <v>4291</v>
      </c>
      <c r="G2" s="1" t="s">
        <v>20</v>
      </c>
      <c r="H2" s="1" t="s">
        <v>21</v>
      </c>
      <c r="I2" s="1" t="s">
        <v>22</v>
      </c>
      <c r="J2" s="1" t="s">
        <v>23</v>
      </c>
      <c r="K2" s="1" t="s">
        <v>24</v>
      </c>
      <c r="L2" s="1" t="s">
        <v>25</v>
      </c>
      <c r="M2" s="1"/>
      <c r="N2" s="1"/>
      <c r="O2" s="1" t="s">
        <v>9</v>
      </c>
      <c r="P2" s="1" t="s">
        <v>5462</v>
      </c>
      <c r="Q2" s="1"/>
      <c r="R2" s="1"/>
      <c r="S2" s="1"/>
      <c r="T2" s="1"/>
      <c r="U2" s="1"/>
      <c r="V2" s="1"/>
      <c r="Y2" t="s">
        <v>9</v>
      </c>
      <c r="Z2" t="s">
        <v>4316</v>
      </c>
      <c r="AA2" t="s">
        <v>4317</v>
      </c>
      <c r="AB2" t="s">
        <v>4318</v>
      </c>
      <c r="AC2" t="s">
        <v>4319</v>
      </c>
      <c r="AD2" s="18">
        <v>46112</v>
      </c>
    </row>
    <row r="3" spans="1:30" ht="195" hidden="1">
      <c r="A3" s="1" t="s">
        <v>965</v>
      </c>
      <c r="B3" s="1">
        <v>1002</v>
      </c>
      <c r="C3" s="1">
        <v>1</v>
      </c>
      <c r="D3" s="1">
        <v>2</v>
      </c>
      <c r="E3" s="1" t="s">
        <v>4292</v>
      </c>
      <c r="F3" s="1" t="s">
        <v>4293</v>
      </c>
      <c r="G3" s="1" t="s">
        <v>4294</v>
      </c>
      <c r="H3" s="1" t="s">
        <v>26</v>
      </c>
      <c r="I3" s="1" t="s">
        <v>27</v>
      </c>
      <c r="J3" s="1" t="s">
        <v>28</v>
      </c>
      <c r="K3" s="1" t="s">
        <v>29</v>
      </c>
      <c r="L3" s="1" t="s">
        <v>30</v>
      </c>
      <c r="M3" s="1" t="s">
        <v>31</v>
      </c>
      <c r="N3" s="1"/>
      <c r="O3" s="1" t="s">
        <v>11</v>
      </c>
      <c r="P3" s="1" t="s">
        <v>32</v>
      </c>
      <c r="Q3" s="1"/>
      <c r="R3" s="1"/>
      <c r="S3" s="1"/>
      <c r="T3" s="1"/>
      <c r="U3" s="1"/>
      <c r="V3" s="1"/>
      <c r="Y3" t="s">
        <v>11</v>
      </c>
      <c r="Z3" t="s">
        <v>4316</v>
      </c>
      <c r="AA3" t="s">
        <v>4317</v>
      </c>
      <c r="AB3" t="s">
        <v>4320</v>
      </c>
      <c r="AC3" t="s">
        <v>4321</v>
      </c>
      <c r="AD3" s="18">
        <v>46112</v>
      </c>
    </row>
    <row r="4" spans="1:30" ht="135" hidden="1">
      <c r="A4" s="1" t="s">
        <v>965</v>
      </c>
      <c r="B4" s="1">
        <v>1003</v>
      </c>
      <c r="C4" s="1">
        <v>1</v>
      </c>
      <c r="D4" s="1">
        <v>3</v>
      </c>
      <c r="E4" s="1" t="s">
        <v>4292</v>
      </c>
      <c r="F4" s="1" t="s">
        <v>4304</v>
      </c>
      <c r="G4" s="1" t="s">
        <v>40</v>
      </c>
      <c r="H4" s="1" t="s">
        <v>33</v>
      </c>
      <c r="I4" s="1" t="s">
        <v>34</v>
      </c>
      <c r="J4" s="1" t="s">
        <v>35</v>
      </c>
      <c r="K4" s="1" t="s">
        <v>36</v>
      </c>
      <c r="L4" s="1" t="s">
        <v>37</v>
      </c>
      <c r="M4" s="1" t="s">
        <v>38</v>
      </c>
      <c r="N4" s="1"/>
      <c r="O4" s="1" t="s">
        <v>7</v>
      </c>
      <c r="P4" s="1" t="s">
        <v>39</v>
      </c>
      <c r="Q4" s="1"/>
      <c r="R4" s="1"/>
      <c r="S4" s="1"/>
      <c r="T4" s="1"/>
      <c r="U4" s="1"/>
      <c r="V4" s="1"/>
      <c r="Y4" t="s">
        <v>7</v>
      </c>
      <c r="Z4" t="s">
        <v>4316</v>
      </c>
      <c r="AA4" t="s">
        <v>4317</v>
      </c>
      <c r="AB4" t="s">
        <v>4322</v>
      </c>
      <c r="AC4" t="s">
        <v>4323</v>
      </c>
      <c r="AD4" s="18">
        <v>46112</v>
      </c>
    </row>
    <row r="5" spans="1:30" ht="409.5" hidden="1">
      <c r="A5" s="1" t="s">
        <v>965</v>
      </c>
      <c r="B5" s="1">
        <v>1004</v>
      </c>
      <c r="C5" s="1">
        <v>1</v>
      </c>
      <c r="D5" s="1">
        <v>4</v>
      </c>
      <c r="E5" s="1" t="s">
        <v>4297</v>
      </c>
      <c r="F5" s="1" t="s">
        <v>4298</v>
      </c>
      <c r="G5" s="1" t="s">
        <v>40</v>
      </c>
      <c r="H5" s="1" t="s">
        <v>41</v>
      </c>
      <c r="I5" s="1" t="s">
        <v>42</v>
      </c>
      <c r="J5" s="1" t="s">
        <v>43</v>
      </c>
      <c r="K5" s="1" t="s">
        <v>44</v>
      </c>
      <c r="L5" s="1" t="s">
        <v>45</v>
      </c>
      <c r="M5" s="1"/>
      <c r="N5" s="1"/>
      <c r="O5" s="1" t="s">
        <v>8</v>
      </c>
      <c r="P5" s="1" t="s">
        <v>46</v>
      </c>
      <c r="Q5" s="1"/>
      <c r="R5" s="1"/>
      <c r="S5" s="1"/>
      <c r="T5" s="1"/>
      <c r="U5" s="1"/>
      <c r="V5" s="1"/>
      <c r="Y5" t="s">
        <v>8</v>
      </c>
      <c r="Z5" t="s">
        <v>4316</v>
      </c>
      <c r="AA5" t="s">
        <v>4317</v>
      </c>
      <c r="AB5" t="s">
        <v>4324</v>
      </c>
      <c r="AC5" t="s">
        <v>4325</v>
      </c>
      <c r="AD5" s="18">
        <v>46112</v>
      </c>
    </row>
    <row r="6" spans="1:30" ht="315" hidden="1">
      <c r="A6" s="1" t="s">
        <v>965</v>
      </c>
      <c r="B6" s="1">
        <v>1005</v>
      </c>
      <c r="C6" s="1">
        <v>1</v>
      </c>
      <c r="D6" s="1">
        <v>5</v>
      </c>
      <c r="E6" s="1" t="s">
        <v>4297</v>
      </c>
      <c r="F6" s="1" t="s">
        <v>4298</v>
      </c>
      <c r="G6" s="1" t="s">
        <v>4294</v>
      </c>
      <c r="H6" s="1" t="s">
        <v>47</v>
      </c>
      <c r="I6" s="1" t="s">
        <v>48</v>
      </c>
      <c r="J6" s="1" t="s">
        <v>49</v>
      </c>
      <c r="K6" s="1" t="s">
        <v>50</v>
      </c>
      <c r="L6" s="1" t="s">
        <v>51</v>
      </c>
      <c r="M6" s="1" t="s">
        <v>52</v>
      </c>
      <c r="N6" s="1"/>
      <c r="O6" s="1" t="s">
        <v>8</v>
      </c>
      <c r="P6" s="1" t="s">
        <v>53</v>
      </c>
      <c r="Q6" s="1"/>
      <c r="R6" s="1"/>
      <c r="S6" s="1"/>
      <c r="T6" s="1"/>
      <c r="U6" s="1"/>
      <c r="V6" s="1"/>
      <c r="Y6" t="s">
        <v>8</v>
      </c>
      <c r="Z6" t="s">
        <v>4316</v>
      </c>
      <c r="AA6" t="s">
        <v>4317</v>
      </c>
      <c r="AB6" t="s">
        <v>4326</v>
      </c>
      <c r="AC6" t="s">
        <v>4327</v>
      </c>
      <c r="AD6" s="18">
        <v>46112</v>
      </c>
    </row>
    <row r="7" spans="1:30" ht="315" hidden="1">
      <c r="A7" s="1" t="s">
        <v>965</v>
      </c>
      <c r="B7" s="1">
        <v>1006</v>
      </c>
      <c r="C7" s="1">
        <v>1</v>
      </c>
      <c r="D7" s="1">
        <v>6</v>
      </c>
      <c r="E7" s="1" t="s">
        <v>4297</v>
      </c>
      <c r="F7" s="1" t="s">
        <v>4298</v>
      </c>
      <c r="G7" s="1" t="s">
        <v>20</v>
      </c>
      <c r="H7" s="1" t="s">
        <v>55</v>
      </c>
      <c r="I7" s="1" t="s">
        <v>56</v>
      </c>
      <c r="J7" s="1" t="s">
        <v>57</v>
      </c>
      <c r="K7" s="1" t="s">
        <v>58</v>
      </c>
      <c r="L7" s="1" t="s">
        <v>59</v>
      </c>
      <c r="M7" s="1" t="s">
        <v>60</v>
      </c>
      <c r="N7" s="1"/>
      <c r="O7" s="1" t="s">
        <v>8</v>
      </c>
      <c r="P7" s="1" t="s">
        <v>61</v>
      </c>
      <c r="Q7" s="1"/>
      <c r="R7" s="1"/>
      <c r="S7" s="1"/>
      <c r="T7" s="1"/>
      <c r="U7" s="1"/>
      <c r="V7" s="1"/>
      <c r="Y7" t="s">
        <v>8</v>
      </c>
      <c r="Z7" t="s">
        <v>4316</v>
      </c>
      <c r="AA7" t="s">
        <v>4317</v>
      </c>
      <c r="AB7" t="s">
        <v>4328</v>
      </c>
      <c r="AC7" t="s">
        <v>4325</v>
      </c>
      <c r="AD7" s="18">
        <v>46112</v>
      </c>
    </row>
    <row r="8" spans="1:30" ht="405" hidden="1">
      <c r="A8" s="1" t="s">
        <v>965</v>
      </c>
      <c r="B8" s="1">
        <v>1007</v>
      </c>
      <c r="C8" s="1">
        <v>1</v>
      </c>
      <c r="D8" s="1">
        <v>7</v>
      </c>
      <c r="E8" s="1" t="s">
        <v>4297</v>
      </c>
      <c r="F8" s="1" t="s">
        <v>4298</v>
      </c>
      <c r="G8" s="1" t="s">
        <v>40</v>
      </c>
      <c r="H8" s="1" t="s">
        <v>62</v>
      </c>
      <c r="I8" s="1" t="s">
        <v>63</v>
      </c>
      <c r="J8" s="1" t="s">
        <v>64</v>
      </c>
      <c r="K8" s="1" t="s">
        <v>65</v>
      </c>
      <c r="L8" s="1" t="s">
        <v>66</v>
      </c>
      <c r="M8" s="1" t="s">
        <v>67</v>
      </c>
      <c r="N8" s="1"/>
      <c r="O8" s="1" t="s">
        <v>8</v>
      </c>
      <c r="P8" s="1" t="s">
        <v>5463</v>
      </c>
      <c r="Q8" s="1"/>
      <c r="R8" s="1"/>
      <c r="S8" s="1"/>
      <c r="T8" s="1"/>
      <c r="U8" s="1"/>
      <c r="V8" s="1"/>
      <c r="Y8" t="s">
        <v>8</v>
      </c>
      <c r="Z8" t="s">
        <v>4316</v>
      </c>
      <c r="AA8" t="s">
        <v>4317</v>
      </c>
      <c r="AB8" t="s">
        <v>4329</v>
      </c>
      <c r="AC8" t="s">
        <v>4330</v>
      </c>
      <c r="AD8" s="18">
        <v>46112</v>
      </c>
    </row>
    <row r="9" spans="1:30" ht="255">
      <c r="A9" s="1" t="s">
        <v>965</v>
      </c>
      <c r="B9" s="1">
        <v>1008</v>
      </c>
      <c r="C9" s="1">
        <v>1</v>
      </c>
      <c r="D9" s="1">
        <v>8</v>
      </c>
      <c r="E9" s="1" t="s">
        <v>4297</v>
      </c>
      <c r="F9" s="1" t="s">
        <v>4298</v>
      </c>
      <c r="G9" s="1" t="s">
        <v>4294</v>
      </c>
      <c r="H9" s="1" t="s">
        <v>68</v>
      </c>
      <c r="I9" s="1" t="s">
        <v>69</v>
      </c>
      <c r="J9" s="1" t="s">
        <v>70</v>
      </c>
      <c r="K9" s="1" t="s">
        <v>71</v>
      </c>
      <c r="L9" s="1" t="s">
        <v>72</v>
      </c>
      <c r="M9" s="1" t="s">
        <v>72</v>
      </c>
      <c r="N9" s="1"/>
      <c r="O9" s="1" t="s">
        <v>10</v>
      </c>
      <c r="P9" s="1" t="s">
        <v>73</v>
      </c>
      <c r="Q9" s="1"/>
      <c r="R9" s="1"/>
      <c r="S9" s="1"/>
      <c r="T9" s="1"/>
      <c r="U9" s="1"/>
      <c r="V9" s="1"/>
      <c r="Y9" t="s">
        <v>9</v>
      </c>
      <c r="Z9" t="s">
        <v>4331</v>
      </c>
      <c r="AA9" t="s">
        <v>4332</v>
      </c>
      <c r="AB9" t="s">
        <v>4333</v>
      </c>
      <c r="AC9" t="s">
        <v>4334</v>
      </c>
      <c r="AD9" s="18">
        <v>46112</v>
      </c>
    </row>
    <row r="10" spans="1:30" ht="90" hidden="1">
      <c r="A10" s="1" t="s">
        <v>965</v>
      </c>
      <c r="B10" s="1">
        <v>1009</v>
      </c>
      <c r="C10" s="1">
        <v>1</v>
      </c>
      <c r="D10" s="1">
        <v>9</v>
      </c>
      <c r="E10" s="1" t="s">
        <v>4297</v>
      </c>
      <c r="F10" s="1" t="s">
        <v>4299</v>
      </c>
      <c r="G10" s="1" t="s">
        <v>4294</v>
      </c>
      <c r="H10" s="1" t="s">
        <v>74</v>
      </c>
      <c r="I10" s="1" t="s">
        <v>75</v>
      </c>
      <c r="J10" s="1" t="s">
        <v>76</v>
      </c>
      <c r="K10" s="1" t="s">
        <v>77</v>
      </c>
      <c r="L10" s="1" t="s">
        <v>78</v>
      </c>
      <c r="M10" s="1" t="s">
        <v>79</v>
      </c>
      <c r="N10" s="1"/>
      <c r="O10" s="1" t="s">
        <v>9</v>
      </c>
      <c r="P10" s="1" t="s">
        <v>80</v>
      </c>
      <c r="Q10" s="1"/>
      <c r="R10" s="1"/>
      <c r="S10" s="1"/>
      <c r="T10" s="1"/>
      <c r="U10" s="1"/>
      <c r="V10" s="1"/>
      <c r="Y10" t="s">
        <v>9</v>
      </c>
      <c r="Z10" t="s">
        <v>4316</v>
      </c>
      <c r="AA10" t="s">
        <v>4317</v>
      </c>
      <c r="AB10" t="s">
        <v>4335</v>
      </c>
      <c r="AC10" t="s">
        <v>4336</v>
      </c>
      <c r="AD10" s="18">
        <v>46112</v>
      </c>
    </row>
    <row r="11" spans="1:30" ht="225" hidden="1">
      <c r="A11" s="1" t="s">
        <v>965</v>
      </c>
      <c r="B11" s="1">
        <v>1010</v>
      </c>
      <c r="C11" s="1">
        <v>1</v>
      </c>
      <c r="D11" s="1">
        <v>10</v>
      </c>
      <c r="E11" s="1" t="s">
        <v>4297</v>
      </c>
      <c r="F11" s="1" t="s">
        <v>4298</v>
      </c>
      <c r="G11" s="1" t="s">
        <v>4294</v>
      </c>
      <c r="H11" s="1" t="s">
        <v>81</v>
      </c>
      <c r="I11" s="1" t="s">
        <v>82</v>
      </c>
      <c r="J11" s="1" t="s">
        <v>83</v>
      </c>
      <c r="K11" s="1" t="s">
        <v>84</v>
      </c>
      <c r="L11" s="1" t="s">
        <v>85</v>
      </c>
      <c r="M11" s="1" t="s">
        <v>86</v>
      </c>
      <c r="N11" s="1"/>
      <c r="O11" s="1" t="s">
        <v>10</v>
      </c>
      <c r="P11" s="1" t="s">
        <v>87</v>
      </c>
      <c r="Q11" s="1"/>
      <c r="R11" s="1"/>
      <c r="S11" s="1"/>
      <c r="T11" s="1"/>
      <c r="U11" s="1"/>
      <c r="V11" s="1"/>
      <c r="Y11" t="s">
        <v>10</v>
      </c>
      <c r="Z11" t="s">
        <v>4316</v>
      </c>
      <c r="AA11" t="s">
        <v>4317</v>
      </c>
      <c r="AB11" t="s">
        <v>4337</v>
      </c>
      <c r="AC11" t="s">
        <v>4338</v>
      </c>
      <c r="AD11" s="18">
        <v>46112</v>
      </c>
    </row>
    <row r="12" spans="1:30" ht="409.5" hidden="1">
      <c r="A12" s="1" t="s">
        <v>965</v>
      </c>
      <c r="B12" s="1">
        <v>1011</v>
      </c>
      <c r="C12" s="1">
        <v>1</v>
      </c>
      <c r="D12" s="1">
        <v>11</v>
      </c>
      <c r="E12" s="1" t="s">
        <v>4297</v>
      </c>
      <c r="F12" s="1" t="s">
        <v>4298</v>
      </c>
      <c r="G12" s="1" t="s">
        <v>20</v>
      </c>
      <c r="H12" s="1" t="s">
        <v>88</v>
      </c>
      <c r="I12" s="1" t="s">
        <v>89</v>
      </c>
      <c r="J12" s="1" t="s">
        <v>90</v>
      </c>
      <c r="K12" s="1" t="s">
        <v>91</v>
      </c>
      <c r="L12" s="1" t="s">
        <v>92</v>
      </c>
      <c r="M12" s="1" t="s">
        <v>93</v>
      </c>
      <c r="N12" s="1"/>
      <c r="O12" s="1" t="s">
        <v>11</v>
      </c>
      <c r="P12" s="1" t="s">
        <v>94</v>
      </c>
      <c r="Q12" s="1"/>
      <c r="R12" s="1"/>
      <c r="S12" s="1"/>
      <c r="T12" s="1"/>
      <c r="U12" s="1"/>
      <c r="V12" s="1"/>
      <c r="Y12" t="s">
        <v>11</v>
      </c>
      <c r="Z12" t="s">
        <v>4316</v>
      </c>
      <c r="AA12" t="s">
        <v>4317</v>
      </c>
      <c r="AB12" t="s">
        <v>4339</v>
      </c>
      <c r="AC12" t="s">
        <v>4340</v>
      </c>
      <c r="AD12" s="18">
        <v>46112</v>
      </c>
    </row>
    <row r="13" spans="1:30" ht="105" hidden="1">
      <c r="A13" s="1" t="s">
        <v>965</v>
      </c>
      <c r="B13" s="1">
        <v>1012</v>
      </c>
      <c r="C13" s="1">
        <v>1</v>
      </c>
      <c r="D13" s="1">
        <v>12</v>
      </c>
      <c r="E13" s="1" t="s">
        <v>4297</v>
      </c>
      <c r="F13" s="1" t="s">
        <v>4299</v>
      </c>
      <c r="G13" s="1" t="s">
        <v>20</v>
      </c>
      <c r="H13" s="1" t="s">
        <v>95</v>
      </c>
      <c r="I13" s="1" t="s">
        <v>96</v>
      </c>
      <c r="J13" s="1" t="s">
        <v>97</v>
      </c>
      <c r="K13" s="1" t="s">
        <v>98</v>
      </c>
      <c r="L13" s="1" t="s">
        <v>99</v>
      </c>
      <c r="M13" s="1" t="s">
        <v>100</v>
      </c>
      <c r="N13" s="1"/>
      <c r="O13" s="1" t="s">
        <v>9</v>
      </c>
      <c r="P13" s="1" t="s">
        <v>101</v>
      </c>
      <c r="Q13" s="1"/>
      <c r="R13" s="1"/>
      <c r="S13" s="1"/>
      <c r="T13" s="1"/>
      <c r="U13" s="1"/>
      <c r="V13" s="1"/>
      <c r="Y13" t="s">
        <v>9</v>
      </c>
      <c r="Z13" t="s">
        <v>4316</v>
      </c>
      <c r="AA13" t="s">
        <v>4317</v>
      </c>
      <c r="AB13" t="s">
        <v>4341</v>
      </c>
      <c r="AC13" t="s">
        <v>4336</v>
      </c>
      <c r="AD13" s="18">
        <v>46112</v>
      </c>
    </row>
    <row r="14" spans="1:30" ht="60" hidden="1">
      <c r="A14" s="1" t="s">
        <v>965</v>
      </c>
      <c r="B14" s="1">
        <v>1013</v>
      </c>
      <c r="C14" s="1">
        <v>1</v>
      </c>
      <c r="D14" s="1">
        <v>13</v>
      </c>
      <c r="E14" s="1" t="s">
        <v>4297</v>
      </c>
      <c r="F14" s="1" t="s">
        <v>4299</v>
      </c>
      <c r="G14" s="1" t="s">
        <v>20</v>
      </c>
      <c r="H14" s="1" t="s">
        <v>102</v>
      </c>
      <c r="I14" s="1" t="s">
        <v>103</v>
      </c>
      <c r="J14" s="1" t="s">
        <v>104</v>
      </c>
      <c r="K14" s="1" t="s">
        <v>105</v>
      </c>
      <c r="L14" s="1" t="s">
        <v>106</v>
      </c>
      <c r="M14" s="1" t="s">
        <v>107</v>
      </c>
      <c r="N14" s="1"/>
      <c r="O14" s="1" t="s">
        <v>7</v>
      </c>
      <c r="P14" s="1" t="s">
        <v>108</v>
      </c>
      <c r="Q14" s="1"/>
      <c r="R14" s="1"/>
      <c r="S14" s="1"/>
      <c r="T14" s="1"/>
      <c r="U14" s="1"/>
      <c r="V14" s="1"/>
      <c r="Y14" t="s">
        <v>7</v>
      </c>
      <c r="Z14" t="s">
        <v>4316</v>
      </c>
      <c r="AA14" t="s">
        <v>4317</v>
      </c>
      <c r="AB14" t="s">
        <v>4342</v>
      </c>
      <c r="AD14" s="18">
        <v>46112</v>
      </c>
    </row>
    <row r="15" spans="1:30" ht="195" hidden="1">
      <c r="A15" s="1" t="s">
        <v>965</v>
      </c>
      <c r="B15" s="1">
        <v>1014</v>
      </c>
      <c r="C15" s="1">
        <v>1</v>
      </c>
      <c r="D15" s="1">
        <v>14</v>
      </c>
      <c r="E15" s="1" t="s">
        <v>4295</v>
      </c>
      <c r="F15" s="1" t="s">
        <v>4296</v>
      </c>
      <c r="G15" s="1" t="s">
        <v>20</v>
      </c>
      <c r="H15" s="1" t="s">
        <v>109</v>
      </c>
      <c r="I15" s="1" t="s">
        <v>110</v>
      </c>
      <c r="J15" s="1" t="s">
        <v>111</v>
      </c>
      <c r="K15" s="1" t="s">
        <v>112</v>
      </c>
      <c r="L15" s="1" t="s">
        <v>113</v>
      </c>
      <c r="M15" s="1" t="s">
        <v>114</v>
      </c>
      <c r="N15" s="1"/>
      <c r="O15" s="1" t="s">
        <v>11</v>
      </c>
      <c r="P15" s="1" t="s">
        <v>5464</v>
      </c>
      <c r="Q15" s="1"/>
      <c r="R15" s="1"/>
      <c r="S15" s="1"/>
      <c r="T15" s="1"/>
      <c r="U15" s="1"/>
      <c r="V15" s="1"/>
      <c r="Y15" t="s">
        <v>11</v>
      </c>
      <c r="Z15" t="s">
        <v>4316</v>
      </c>
      <c r="AA15" t="s">
        <v>4317</v>
      </c>
      <c r="AB15" t="s">
        <v>4343</v>
      </c>
      <c r="AC15" t="s">
        <v>4344</v>
      </c>
      <c r="AD15" s="18">
        <v>46112</v>
      </c>
    </row>
    <row r="16" spans="1:30" ht="255" hidden="1">
      <c r="A16" s="1" t="s">
        <v>965</v>
      </c>
      <c r="B16" s="1">
        <v>1015</v>
      </c>
      <c r="C16" s="1">
        <v>1</v>
      </c>
      <c r="D16" s="1">
        <v>15</v>
      </c>
      <c r="E16" s="1" t="s">
        <v>4297</v>
      </c>
      <c r="F16" s="1" t="s">
        <v>4301</v>
      </c>
      <c r="G16" s="1" t="s">
        <v>20</v>
      </c>
      <c r="H16" s="1" t="s">
        <v>115</v>
      </c>
      <c r="I16" s="1" t="s">
        <v>116</v>
      </c>
      <c r="J16" s="1" t="s">
        <v>117</v>
      </c>
      <c r="K16" s="1" t="s">
        <v>118</v>
      </c>
      <c r="L16" s="1" t="s">
        <v>119</v>
      </c>
      <c r="M16" s="1" t="s">
        <v>120</v>
      </c>
      <c r="N16" s="1"/>
      <c r="O16" s="1" t="s">
        <v>8</v>
      </c>
      <c r="P16" s="1" t="s">
        <v>121</v>
      </c>
      <c r="Q16" s="1"/>
      <c r="R16" s="1"/>
      <c r="S16" s="1"/>
      <c r="T16" s="1"/>
      <c r="U16" s="1"/>
      <c r="V16" s="1"/>
      <c r="Y16" t="s">
        <v>8</v>
      </c>
      <c r="Z16" t="s">
        <v>4316</v>
      </c>
      <c r="AA16" t="s">
        <v>4317</v>
      </c>
      <c r="AB16" t="s">
        <v>4345</v>
      </c>
      <c r="AC16" t="s">
        <v>4346</v>
      </c>
      <c r="AD16" s="18">
        <v>46112</v>
      </c>
    </row>
    <row r="17" spans="1:30" ht="165" hidden="1">
      <c r="A17" s="1" t="s">
        <v>965</v>
      </c>
      <c r="B17" s="1">
        <v>1016</v>
      </c>
      <c r="C17" s="1">
        <v>1</v>
      </c>
      <c r="D17" s="1">
        <v>16</v>
      </c>
      <c r="E17" s="1" t="s">
        <v>4290</v>
      </c>
      <c r="F17" s="1" t="s">
        <v>4302</v>
      </c>
      <c r="G17" s="1" t="s">
        <v>40</v>
      </c>
      <c r="H17" s="1" t="s">
        <v>122</v>
      </c>
      <c r="I17" s="1" t="s">
        <v>123</v>
      </c>
      <c r="J17" s="1" t="s">
        <v>124</v>
      </c>
      <c r="K17" s="1" t="s">
        <v>125</v>
      </c>
      <c r="L17" s="1" t="s">
        <v>126</v>
      </c>
      <c r="M17" s="1" t="s">
        <v>127</v>
      </c>
      <c r="N17" s="1"/>
      <c r="O17" s="1" t="s">
        <v>9</v>
      </c>
      <c r="P17" s="1" t="s">
        <v>5465</v>
      </c>
      <c r="Q17" s="1"/>
      <c r="R17" s="1"/>
      <c r="S17" s="1"/>
      <c r="T17" s="1"/>
      <c r="U17" s="1"/>
      <c r="V17" s="1"/>
      <c r="Y17" t="s">
        <v>9</v>
      </c>
      <c r="Z17" t="s">
        <v>4316</v>
      </c>
      <c r="AA17" t="s">
        <v>4317</v>
      </c>
      <c r="AB17" t="s">
        <v>4347</v>
      </c>
      <c r="AC17" t="s">
        <v>4348</v>
      </c>
      <c r="AD17" s="18">
        <v>46112</v>
      </c>
    </row>
    <row r="18" spans="1:30" ht="409.5" hidden="1">
      <c r="A18" s="1" t="s">
        <v>965</v>
      </c>
      <c r="B18" s="1">
        <v>1017</v>
      </c>
      <c r="C18" s="1">
        <v>1</v>
      </c>
      <c r="D18" s="1">
        <v>17</v>
      </c>
      <c r="E18" s="1" t="s">
        <v>4297</v>
      </c>
      <c r="F18" s="1" t="s">
        <v>4298</v>
      </c>
      <c r="G18" s="1" t="s">
        <v>4294</v>
      </c>
      <c r="H18" s="1" t="s">
        <v>128</v>
      </c>
      <c r="I18" s="1" t="s">
        <v>129</v>
      </c>
      <c r="J18" s="1" t="s">
        <v>130</v>
      </c>
      <c r="K18" s="1" t="s">
        <v>131</v>
      </c>
      <c r="L18" s="1" t="s">
        <v>132</v>
      </c>
      <c r="M18" s="1" t="s">
        <v>133</v>
      </c>
      <c r="N18" s="1"/>
      <c r="O18" s="1" t="s">
        <v>10</v>
      </c>
      <c r="P18" s="1" t="s">
        <v>134</v>
      </c>
      <c r="Q18" s="1"/>
      <c r="R18" s="1"/>
      <c r="S18" s="1"/>
      <c r="T18" s="1"/>
      <c r="U18" s="1"/>
      <c r="V18" s="1"/>
      <c r="Y18" t="s">
        <v>10</v>
      </c>
      <c r="Z18" t="s">
        <v>4316</v>
      </c>
      <c r="AA18" t="s">
        <v>4317</v>
      </c>
      <c r="AB18" t="s">
        <v>4349</v>
      </c>
      <c r="AC18" t="s">
        <v>4350</v>
      </c>
      <c r="AD18" s="18">
        <v>46112</v>
      </c>
    </row>
    <row r="19" spans="1:30" ht="409.5" hidden="1">
      <c r="A19" s="1" t="s">
        <v>965</v>
      </c>
      <c r="B19" s="1">
        <v>1018</v>
      </c>
      <c r="C19" s="1">
        <v>1</v>
      </c>
      <c r="D19" s="1">
        <v>18</v>
      </c>
      <c r="E19" s="1" t="s">
        <v>4292</v>
      </c>
      <c r="F19" s="1" t="s">
        <v>4293</v>
      </c>
      <c r="G19" s="1" t="s">
        <v>40</v>
      </c>
      <c r="H19" s="1" t="s">
        <v>135</v>
      </c>
      <c r="I19" s="1" t="s">
        <v>136</v>
      </c>
      <c r="J19" s="1" t="s">
        <v>137</v>
      </c>
      <c r="K19" s="1" t="s">
        <v>138</v>
      </c>
      <c r="L19" s="1" t="s">
        <v>5466</v>
      </c>
      <c r="M19" s="1" t="s">
        <v>139</v>
      </c>
      <c r="N19" s="1"/>
      <c r="O19" s="1" t="s">
        <v>10</v>
      </c>
      <c r="P19" s="1" t="s">
        <v>5467</v>
      </c>
      <c r="Q19" s="1"/>
      <c r="R19" s="1"/>
      <c r="S19" s="1"/>
      <c r="T19" s="1"/>
      <c r="U19" s="1"/>
      <c r="V19" s="1"/>
      <c r="Y19" t="s">
        <v>10</v>
      </c>
      <c r="Z19" t="s">
        <v>4316</v>
      </c>
      <c r="AA19" t="s">
        <v>4317</v>
      </c>
      <c r="AB19" t="s">
        <v>4351</v>
      </c>
      <c r="AC19" t="s">
        <v>4352</v>
      </c>
      <c r="AD19" s="18">
        <v>46112</v>
      </c>
    </row>
    <row r="20" spans="1:30" ht="60" hidden="1">
      <c r="A20" s="1" t="s">
        <v>965</v>
      </c>
      <c r="B20" s="1">
        <v>1019</v>
      </c>
      <c r="C20" s="1">
        <v>1</v>
      </c>
      <c r="D20" s="1">
        <v>19</v>
      </c>
      <c r="E20" s="1" t="s">
        <v>4295</v>
      </c>
      <c r="F20" s="1" t="s">
        <v>4296</v>
      </c>
      <c r="G20" s="1" t="s">
        <v>20</v>
      </c>
      <c r="H20" s="1" t="s">
        <v>140</v>
      </c>
      <c r="I20" s="1">
        <v>30</v>
      </c>
      <c r="J20" s="1">
        <v>45</v>
      </c>
      <c r="K20" s="1">
        <v>60</v>
      </c>
      <c r="L20" s="1">
        <v>90</v>
      </c>
      <c r="M20" s="1">
        <v>120</v>
      </c>
      <c r="N20" s="1"/>
      <c r="O20" s="1" t="s">
        <v>9</v>
      </c>
      <c r="P20" s="1" t="s">
        <v>141</v>
      </c>
      <c r="Q20" s="1"/>
      <c r="R20" s="1"/>
      <c r="S20" s="1"/>
      <c r="T20" s="1"/>
      <c r="U20" s="1"/>
      <c r="V20" s="1"/>
      <c r="Y20" t="s">
        <v>9</v>
      </c>
      <c r="Z20" t="s">
        <v>4316</v>
      </c>
      <c r="AA20" t="s">
        <v>4317</v>
      </c>
      <c r="AB20" t="s">
        <v>4353</v>
      </c>
      <c r="AC20" t="s">
        <v>4354</v>
      </c>
      <c r="AD20" s="18">
        <v>46112</v>
      </c>
    </row>
    <row r="21" spans="1:30" ht="195" hidden="1">
      <c r="A21" s="1" t="s">
        <v>965</v>
      </c>
      <c r="B21" s="1">
        <v>1020</v>
      </c>
      <c r="C21" s="1">
        <v>1</v>
      </c>
      <c r="D21" s="1">
        <v>20</v>
      </c>
      <c r="E21" s="1" t="s">
        <v>4295</v>
      </c>
      <c r="F21" s="1" t="s">
        <v>4296</v>
      </c>
      <c r="G21" s="1" t="s">
        <v>40</v>
      </c>
      <c r="H21" s="1" t="s">
        <v>142</v>
      </c>
      <c r="I21" s="1" t="s">
        <v>143</v>
      </c>
      <c r="J21" s="1" t="s">
        <v>144</v>
      </c>
      <c r="K21" s="1" t="s">
        <v>145</v>
      </c>
      <c r="L21" s="1" t="s">
        <v>146</v>
      </c>
      <c r="M21" s="1" t="s">
        <v>147</v>
      </c>
      <c r="N21" s="1"/>
      <c r="O21" s="1" t="s">
        <v>9</v>
      </c>
      <c r="P21" s="1" t="s">
        <v>148</v>
      </c>
      <c r="Q21" s="1"/>
      <c r="R21" s="1"/>
      <c r="S21" s="1"/>
      <c r="T21" s="1"/>
      <c r="U21" s="1"/>
      <c r="V21" s="1"/>
      <c r="Y21" t="s">
        <v>9</v>
      </c>
      <c r="Z21" t="s">
        <v>4316</v>
      </c>
      <c r="AA21" t="s">
        <v>4317</v>
      </c>
      <c r="AB21" t="s">
        <v>4355</v>
      </c>
      <c r="AC21" t="s">
        <v>4356</v>
      </c>
      <c r="AD21" s="18">
        <v>46112</v>
      </c>
    </row>
    <row r="22" spans="1:30" ht="120" hidden="1">
      <c r="A22" s="1" t="s">
        <v>965</v>
      </c>
      <c r="B22" s="1">
        <v>1021</v>
      </c>
      <c r="C22" s="1">
        <v>1</v>
      </c>
      <c r="D22" s="1">
        <v>21</v>
      </c>
      <c r="E22" s="1" t="s">
        <v>4297</v>
      </c>
      <c r="F22" s="1" t="s">
        <v>4298</v>
      </c>
      <c r="G22" s="1" t="s">
        <v>20</v>
      </c>
      <c r="H22" s="1" t="s">
        <v>149</v>
      </c>
      <c r="I22" s="1" t="s">
        <v>150</v>
      </c>
      <c r="J22" s="1" t="s">
        <v>151</v>
      </c>
      <c r="K22" s="1" t="s">
        <v>152</v>
      </c>
      <c r="L22" s="1" t="s">
        <v>153</v>
      </c>
      <c r="M22" s="1" t="s">
        <v>154</v>
      </c>
      <c r="N22" s="1"/>
      <c r="O22" s="1" t="s">
        <v>11</v>
      </c>
      <c r="P22" s="1" t="s">
        <v>155</v>
      </c>
      <c r="Q22" s="1"/>
      <c r="R22" s="1"/>
      <c r="S22" s="1"/>
      <c r="T22" s="1"/>
      <c r="U22" s="1"/>
      <c r="V22" s="1"/>
      <c r="Y22" t="s">
        <v>11</v>
      </c>
      <c r="Z22" t="s">
        <v>4316</v>
      </c>
      <c r="AA22" t="s">
        <v>4317</v>
      </c>
      <c r="AB22" t="s">
        <v>4357</v>
      </c>
      <c r="AC22" t="s">
        <v>4327</v>
      </c>
      <c r="AD22" s="18">
        <v>46112</v>
      </c>
    </row>
    <row r="23" spans="1:30" ht="255" hidden="1">
      <c r="A23" s="1" t="s">
        <v>965</v>
      </c>
      <c r="B23" s="1">
        <v>1022</v>
      </c>
      <c r="C23" s="1">
        <v>1</v>
      </c>
      <c r="D23" s="1">
        <v>22</v>
      </c>
      <c r="E23" s="1" t="s">
        <v>4292</v>
      </c>
      <c r="F23" s="1" t="s">
        <v>4293</v>
      </c>
      <c r="G23" s="1" t="s">
        <v>20</v>
      </c>
      <c r="H23" s="1" t="s">
        <v>161</v>
      </c>
      <c r="I23" s="1" t="s">
        <v>162</v>
      </c>
      <c r="J23" s="1" t="s">
        <v>163</v>
      </c>
      <c r="K23" s="1" t="s">
        <v>164</v>
      </c>
      <c r="L23" s="1" t="s">
        <v>165</v>
      </c>
      <c r="M23" s="1" t="s">
        <v>166</v>
      </c>
      <c r="N23" s="1"/>
      <c r="O23" s="1" t="s">
        <v>10</v>
      </c>
      <c r="P23" s="1" t="s">
        <v>167</v>
      </c>
      <c r="Q23" s="1"/>
      <c r="R23" s="1"/>
      <c r="S23" s="1"/>
      <c r="T23" s="1"/>
      <c r="U23" s="1"/>
      <c r="V23" s="1"/>
      <c r="Y23" t="s">
        <v>10</v>
      </c>
      <c r="Z23" t="s">
        <v>4316</v>
      </c>
      <c r="AA23" t="s">
        <v>4317</v>
      </c>
      <c r="AB23" t="s">
        <v>4358</v>
      </c>
      <c r="AC23" t="s">
        <v>4359</v>
      </c>
      <c r="AD23" s="18">
        <v>46112</v>
      </c>
    </row>
    <row r="24" spans="1:30" ht="409.5" hidden="1">
      <c r="A24" s="1" t="s">
        <v>965</v>
      </c>
      <c r="B24" s="1">
        <v>1023</v>
      </c>
      <c r="C24" s="1">
        <v>1</v>
      </c>
      <c r="D24" s="1">
        <v>23</v>
      </c>
      <c r="E24" s="1" t="s">
        <v>4292</v>
      </c>
      <c r="F24" s="1" t="s">
        <v>4303</v>
      </c>
      <c r="G24" s="1" t="s">
        <v>20</v>
      </c>
      <c r="H24" s="1" t="s">
        <v>168</v>
      </c>
      <c r="I24" s="1" t="s">
        <v>169</v>
      </c>
      <c r="J24" s="1" t="s">
        <v>170</v>
      </c>
      <c r="K24" s="1" t="s">
        <v>171</v>
      </c>
      <c r="L24" s="1" t="s">
        <v>172</v>
      </c>
      <c r="M24" s="1" t="s">
        <v>173</v>
      </c>
      <c r="N24" s="1"/>
      <c r="O24" s="1" t="s">
        <v>10</v>
      </c>
      <c r="P24" s="1" t="s">
        <v>174</v>
      </c>
      <c r="Q24" s="1"/>
      <c r="R24" s="1"/>
      <c r="S24" s="1"/>
      <c r="T24" s="1"/>
      <c r="U24" s="1"/>
      <c r="V24" s="1"/>
      <c r="Y24" t="s">
        <v>10</v>
      </c>
      <c r="Z24" t="s">
        <v>4316</v>
      </c>
      <c r="AA24" t="s">
        <v>4317</v>
      </c>
      <c r="AB24" t="s">
        <v>4360</v>
      </c>
      <c r="AC24" t="s">
        <v>4344</v>
      </c>
      <c r="AD24" s="18">
        <v>46112</v>
      </c>
    </row>
    <row r="25" spans="1:30" ht="409.5" hidden="1">
      <c r="A25" s="1" t="s">
        <v>965</v>
      </c>
      <c r="B25" s="1">
        <v>1024</v>
      </c>
      <c r="C25" s="1">
        <v>1</v>
      </c>
      <c r="D25" s="1">
        <v>24</v>
      </c>
      <c r="E25" s="1" t="s">
        <v>4290</v>
      </c>
      <c r="F25" s="1" t="s">
        <v>4291</v>
      </c>
      <c r="G25" s="1" t="s">
        <v>40</v>
      </c>
      <c r="H25" s="1" t="s">
        <v>175</v>
      </c>
      <c r="I25" s="1" t="s">
        <v>176</v>
      </c>
      <c r="J25" s="1" t="s">
        <v>177</v>
      </c>
      <c r="K25" s="1" t="s">
        <v>178</v>
      </c>
      <c r="L25" s="1" t="s">
        <v>179</v>
      </c>
      <c r="M25" s="1" t="s">
        <v>180</v>
      </c>
      <c r="N25" s="1"/>
      <c r="O25" s="1" t="s">
        <v>8</v>
      </c>
      <c r="P25" s="1" t="s">
        <v>193</v>
      </c>
      <c r="Q25" s="1"/>
      <c r="R25" s="1"/>
      <c r="S25" s="1"/>
      <c r="T25" s="1">
        <v>1</v>
      </c>
      <c r="U25" s="1"/>
      <c r="V25" s="1"/>
      <c r="Y25" t="s">
        <v>8</v>
      </c>
      <c r="Z25" t="s">
        <v>4316</v>
      </c>
      <c r="AA25" t="s">
        <v>4317</v>
      </c>
      <c r="AB25" t="s">
        <v>4361</v>
      </c>
      <c r="AC25" t="s">
        <v>4362</v>
      </c>
      <c r="AD25" s="18">
        <v>46112</v>
      </c>
    </row>
    <row r="26" spans="1:30" ht="409.5" hidden="1">
      <c r="A26" s="1" t="s">
        <v>965</v>
      </c>
      <c r="B26" s="1">
        <v>1025</v>
      </c>
      <c r="C26" s="1">
        <v>1</v>
      </c>
      <c r="D26" s="1">
        <v>25</v>
      </c>
      <c r="E26" s="1" t="s">
        <v>4290</v>
      </c>
      <c r="F26" s="1" t="s">
        <v>4291</v>
      </c>
      <c r="G26" s="1" t="s">
        <v>40</v>
      </c>
      <c r="H26" s="1" t="s">
        <v>181</v>
      </c>
      <c r="I26" s="1" t="s">
        <v>182</v>
      </c>
      <c r="J26" s="1" t="s">
        <v>183</v>
      </c>
      <c r="K26" s="1" t="s">
        <v>184</v>
      </c>
      <c r="L26" s="1" t="s">
        <v>185</v>
      </c>
      <c r="M26" s="1" t="s">
        <v>147</v>
      </c>
      <c r="N26" s="1"/>
      <c r="O26" s="1" t="s">
        <v>8</v>
      </c>
      <c r="P26" s="1" t="s">
        <v>186</v>
      </c>
      <c r="Q26" s="1"/>
      <c r="R26" s="1"/>
      <c r="S26" s="1"/>
      <c r="T26" s="1">
        <v>1</v>
      </c>
      <c r="U26" s="1"/>
      <c r="V26" s="1"/>
      <c r="Y26" t="s">
        <v>8</v>
      </c>
      <c r="Z26" t="s">
        <v>4316</v>
      </c>
      <c r="AA26" t="s">
        <v>4317</v>
      </c>
      <c r="AB26" t="s">
        <v>4363</v>
      </c>
      <c r="AC26" t="s">
        <v>4364</v>
      </c>
      <c r="AD26" s="18">
        <v>46112</v>
      </c>
    </row>
    <row r="27" spans="1:30" ht="409.5" hidden="1">
      <c r="A27" s="1" t="s">
        <v>965</v>
      </c>
      <c r="B27" s="1">
        <v>1026</v>
      </c>
      <c r="C27" s="1">
        <v>1</v>
      </c>
      <c r="D27" s="1">
        <v>26</v>
      </c>
      <c r="E27" s="1" t="s">
        <v>4297</v>
      </c>
      <c r="F27" s="1" t="s">
        <v>4298</v>
      </c>
      <c r="G27" s="1" t="s">
        <v>4294</v>
      </c>
      <c r="H27" s="1" t="s">
        <v>187</v>
      </c>
      <c r="I27" s="1" t="s">
        <v>188</v>
      </c>
      <c r="J27" s="1" t="s">
        <v>189</v>
      </c>
      <c r="K27" s="1" t="s">
        <v>188</v>
      </c>
      <c r="L27" s="1" t="s">
        <v>190</v>
      </c>
      <c r="M27" s="1" t="s">
        <v>191</v>
      </c>
      <c r="N27" s="1"/>
      <c r="O27" s="1" t="s">
        <v>11</v>
      </c>
      <c r="P27" s="1" t="s">
        <v>192</v>
      </c>
      <c r="Q27" s="1"/>
      <c r="R27" s="1"/>
      <c r="S27" s="1"/>
      <c r="T27" s="1"/>
      <c r="U27" s="1"/>
      <c r="V27" s="1"/>
      <c r="Y27" t="s">
        <v>11</v>
      </c>
      <c r="Z27" t="s">
        <v>4316</v>
      </c>
      <c r="AA27" t="s">
        <v>4317</v>
      </c>
      <c r="AB27" t="s">
        <v>4365</v>
      </c>
      <c r="AC27" t="s">
        <v>4366</v>
      </c>
      <c r="AD27" s="18">
        <v>46112</v>
      </c>
    </row>
    <row r="28" spans="1:30" ht="409.5" hidden="1">
      <c r="A28" s="1" t="s">
        <v>965</v>
      </c>
      <c r="B28" s="1">
        <v>1027</v>
      </c>
      <c r="C28" s="1">
        <v>1</v>
      </c>
      <c r="D28" s="1">
        <v>27</v>
      </c>
      <c r="E28" s="1" t="s">
        <v>4292</v>
      </c>
      <c r="F28" s="1" t="s">
        <v>4303</v>
      </c>
      <c r="G28" s="1" t="s">
        <v>4294</v>
      </c>
      <c r="H28" s="1" t="s">
        <v>194</v>
      </c>
      <c r="I28" s="1" t="s">
        <v>195</v>
      </c>
      <c r="J28" s="1" t="s">
        <v>196</v>
      </c>
      <c r="K28" s="1" t="s">
        <v>197</v>
      </c>
      <c r="L28" s="1" t="s">
        <v>198</v>
      </c>
      <c r="M28" s="1" t="s">
        <v>199</v>
      </c>
      <c r="N28" s="1"/>
      <c r="O28" s="1" t="s">
        <v>8</v>
      </c>
      <c r="P28" s="1" t="s">
        <v>200</v>
      </c>
      <c r="Q28" s="1"/>
      <c r="R28" s="1"/>
      <c r="S28" s="1"/>
      <c r="T28" s="1"/>
      <c r="U28" s="1"/>
      <c r="V28" s="1"/>
      <c r="Y28" t="s">
        <v>8</v>
      </c>
      <c r="Z28" t="s">
        <v>4316</v>
      </c>
      <c r="AA28" t="s">
        <v>4317</v>
      </c>
      <c r="AB28" t="s">
        <v>4367</v>
      </c>
      <c r="AD28" s="18">
        <v>46112</v>
      </c>
    </row>
    <row r="29" spans="1:30" ht="409.5" hidden="1">
      <c r="A29" s="1" t="s">
        <v>965</v>
      </c>
      <c r="B29" s="1">
        <v>1028</v>
      </c>
      <c r="C29" s="1">
        <v>1</v>
      </c>
      <c r="D29" s="1">
        <v>28</v>
      </c>
      <c r="E29" s="1" t="s">
        <v>4295</v>
      </c>
      <c r="F29" s="1" t="s">
        <v>4296</v>
      </c>
      <c r="G29" s="1" t="s">
        <v>40</v>
      </c>
      <c r="H29" s="1" t="s">
        <v>201</v>
      </c>
      <c r="I29" s="1" t="s">
        <v>202</v>
      </c>
      <c r="J29" s="1" t="s">
        <v>203</v>
      </c>
      <c r="K29" s="1" t="s">
        <v>204</v>
      </c>
      <c r="L29" s="1" t="s">
        <v>205</v>
      </c>
      <c r="M29" s="1" t="s">
        <v>206</v>
      </c>
      <c r="N29" s="1"/>
      <c r="O29" s="1" t="s">
        <v>8</v>
      </c>
      <c r="P29" s="1" t="s">
        <v>207</v>
      </c>
      <c r="Q29" s="1"/>
      <c r="R29" s="1"/>
      <c r="S29" s="1"/>
      <c r="T29" s="1"/>
      <c r="U29" s="1"/>
      <c r="V29" s="1"/>
      <c r="Y29" t="s">
        <v>8</v>
      </c>
      <c r="Z29" t="s">
        <v>4316</v>
      </c>
      <c r="AA29" t="s">
        <v>4317</v>
      </c>
      <c r="AB29" t="s">
        <v>4368</v>
      </c>
      <c r="AC29" t="s">
        <v>4369</v>
      </c>
      <c r="AD29" s="18">
        <v>46112</v>
      </c>
    </row>
    <row r="30" spans="1:30" ht="409.5" hidden="1">
      <c r="A30" s="1" t="s">
        <v>965</v>
      </c>
      <c r="B30" s="1">
        <v>1029</v>
      </c>
      <c r="C30" s="1">
        <v>1</v>
      </c>
      <c r="D30" s="1">
        <v>29</v>
      </c>
      <c r="E30" s="1" t="s">
        <v>4290</v>
      </c>
      <c r="F30" s="1" t="s">
        <v>4302</v>
      </c>
      <c r="G30" s="1" t="s">
        <v>4294</v>
      </c>
      <c r="H30" s="1" t="s">
        <v>208</v>
      </c>
      <c r="I30" s="1" t="s">
        <v>209</v>
      </c>
      <c r="J30" s="1" t="s">
        <v>5468</v>
      </c>
      <c r="K30" s="1" t="s">
        <v>210</v>
      </c>
      <c r="L30" s="1" t="s">
        <v>211</v>
      </c>
      <c r="M30" s="1" t="s">
        <v>212</v>
      </c>
      <c r="N30" s="1"/>
      <c r="O30" s="1" t="s">
        <v>9</v>
      </c>
      <c r="P30" s="1" t="s">
        <v>213</v>
      </c>
      <c r="Q30" s="1"/>
      <c r="R30" s="1"/>
      <c r="S30" s="1"/>
      <c r="T30" s="1"/>
      <c r="U30" s="1"/>
      <c r="V30" s="1"/>
      <c r="Y30" t="s">
        <v>9</v>
      </c>
      <c r="Z30" t="s">
        <v>4316</v>
      </c>
      <c r="AA30" t="s">
        <v>4317</v>
      </c>
      <c r="AB30" t="s">
        <v>4370</v>
      </c>
      <c r="AC30" t="s">
        <v>4371</v>
      </c>
      <c r="AD30" s="18">
        <v>46112</v>
      </c>
    </row>
    <row r="31" spans="1:30" ht="345" hidden="1">
      <c r="A31" s="1" t="s">
        <v>965</v>
      </c>
      <c r="B31" s="1">
        <v>1030</v>
      </c>
      <c r="C31" s="1">
        <v>1</v>
      </c>
      <c r="D31" s="1">
        <v>30</v>
      </c>
      <c r="E31" s="1" t="s">
        <v>4297</v>
      </c>
      <c r="F31" s="1" t="s">
        <v>4298</v>
      </c>
      <c r="G31" s="1" t="s">
        <v>4294</v>
      </c>
      <c r="H31" s="1" t="s">
        <v>214</v>
      </c>
      <c r="I31" s="1" t="s">
        <v>90</v>
      </c>
      <c r="J31" s="1" t="s">
        <v>215</v>
      </c>
      <c r="K31" s="1" t="s">
        <v>91</v>
      </c>
      <c r="L31" s="1" t="s">
        <v>216</v>
      </c>
      <c r="M31" s="1" t="s">
        <v>217</v>
      </c>
      <c r="N31" s="1"/>
      <c r="O31" s="1" t="s">
        <v>8</v>
      </c>
      <c r="P31" s="1" t="s">
        <v>218</v>
      </c>
      <c r="Q31" s="1"/>
      <c r="R31" s="1"/>
      <c r="S31" s="1"/>
      <c r="T31" s="1"/>
      <c r="U31" s="1"/>
      <c r="V31" s="1"/>
      <c r="Y31" t="s">
        <v>8</v>
      </c>
      <c r="Z31" t="s">
        <v>4316</v>
      </c>
      <c r="AA31" t="s">
        <v>4317</v>
      </c>
      <c r="AB31" t="s">
        <v>4372</v>
      </c>
      <c r="AC31" t="s">
        <v>4330</v>
      </c>
      <c r="AD31" s="18">
        <v>46112</v>
      </c>
    </row>
    <row r="32" spans="1:30" ht="165" hidden="1">
      <c r="A32" s="1" t="s">
        <v>965</v>
      </c>
      <c r="B32" s="1">
        <v>1031</v>
      </c>
      <c r="C32" s="1">
        <v>1</v>
      </c>
      <c r="D32" s="1">
        <v>31</v>
      </c>
      <c r="E32" s="1" t="s">
        <v>4292</v>
      </c>
      <c r="F32" s="1" t="s">
        <v>4304</v>
      </c>
      <c r="G32" s="1" t="s">
        <v>4294</v>
      </c>
      <c r="H32" s="1" t="s">
        <v>219</v>
      </c>
      <c r="I32" s="1" t="s">
        <v>220</v>
      </c>
      <c r="J32" s="1" t="s">
        <v>221</v>
      </c>
      <c r="K32" s="1" t="s">
        <v>222</v>
      </c>
      <c r="L32" s="1" t="s">
        <v>223</v>
      </c>
      <c r="M32" s="1" t="s">
        <v>224</v>
      </c>
      <c r="N32" s="1"/>
      <c r="O32" s="1" t="s">
        <v>8</v>
      </c>
      <c r="P32" s="1" t="s">
        <v>225</v>
      </c>
      <c r="Q32" s="1"/>
      <c r="R32" s="1"/>
      <c r="S32" s="1"/>
      <c r="T32" s="1"/>
      <c r="U32" s="1"/>
      <c r="V32" s="1"/>
      <c r="Y32" t="s">
        <v>8</v>
      </c>
      <c r="Z32" t="s">
        <v>4316</v>
      </c>
      <c r="AA32" t="s">
        <v>4317</v>
      </c>
      <c r="AB32" t="s">
        <v>4373</v>
      </c>
      <c r="AC32" t="s">
        <v>4323</v>
      </c>
      <c r="AD32" s="18">
        <v>46112</v>
      </c>
    </row>
    <row r="33" spans="1:30" ht="195" hidden="1">
      <c r="A33" s="1" t="s">
        <v>965</v>
      </c>
      <c r="B33" s="1">
        <v>1032</v>
      </c>
      <c r="C33" s="1">
        <v>1</v>
      </c>
      <c r="D33" s="1">
        <v>32</v>
      </c>
      <c r="E33" s="1" t="s">
        <v>4292</v>
      </c>
      <c r="F33" s="1" t="s">
        <v>4304</v>
      </c>
      <c r="G33" s="1" t="s">
        <v>40</v>
      </c>
      <c r="H33" s="1" t="s">
        <v>226</v>
      </c>
      <c r="I33" s="1" t="s">
        <v>227</v>
      </c>
      <c r="J33" s="1" t="s">
        <v>228</v>
      </c>
      <c r="K33" s="1" t="s">
        <v>229</v>
      </c>
      <c r="L33" s="1" t="s">
        <v>230</v>
      </c>
      <c r="M33" s="1" t="s">
        <v>231</v>
      </c>
      <c r="N33" s="1"/>
      <c r="O33" s="1" t="s">
        <v>7</v>
      </c>
      <c r="P33" s="1" t="s">
        <v>232</v>
      </c>
      <c r="Q33" s="1"/>
      <c r="R33" s="1"/>
      <c r="S33" s="1"/>
      <c r="T33" s="1"/>
      <c r="U33" s="1"/>
      <c r="V33" s="1"/>
      <c r="Y33" t="s">
        <v>7</v>
      </c>
      <c r="Z33" t="s">
        <v>4316</v>
      </c>
      <c r="AA33" t="s">
        <v>4317</v>
      </c>
      <c r="AB33" t="s">
        <v>4374</v>
      </c>
      <c r="AC33" t="s">
        <v>4375</v>
      </c>
      <c r="AD33" s="18">
        <v>46112</v>
      </c>
    </row>
    <row r="34" spans="1:30" ht="150" hidden="1">
      <c r="A34" s="1" t="s">
        <v>965</v>
      </c>
      <c r="B34" s="1">
        <v>1033</v>
      </c>
      <c r="C34" s="1">
        <v>1</v>
      </c>
      <c r="D34" s="1">
        <v>33</v>
      </c>
      <c r="E34" s="1" t="s">
        <v>4295</v>
      </c>
      <c r="F34" s="1" t="s">
        <v>4296</v>
      </c>
      <c r="G34" s="1" t="s">
        <v>4294</v>
      </c>
      <c r="H34" s="1" t="s">
        <v>233</v>
      </c>
      <c r="I34" s="1" t="s">
        <v>234</v>
      </c>
      <c r="J34" s="1" t="s">
        <v>235</v>
      </c>
      <c r="K34" s="1" t="s">
        <v>236</v>
      </c>
      <c r="L34" s="1" t="s">
        <v>237</v>
      </c>
      <c r="M34" s="1"/>
      <c r="N34" s="1"/>
      <c r="O34" s="1" t="s">
        <v>10</v>
      </c>
      <c r="P34" s="1" t="s">
        <v>238</v>
      </c>
      <c r="Q34" s="1"/>
      <c r="R34" s="1"/>
      <c r="S34" s="1"/>
      <c r="T34" s="1"/>
      <c r="U34" s="1"/>
      <c r="V34" s="1"/>
      <c r="Y34" t="s">
        <v>10</v>
      </c>
      <c r="Z34" t="s">
        <v>4316</v>
      </c>
      <c r="AA34" t="s">
        <v>4317</v>
      </c>
      <c r="AB34" t="s">
        <v>4376</v>
      </c>
      <c r="AC34" t="s">
        <v>4377</v>
      </c>
      <c r="AD34" s="18">
        <v>46112</v>
      </c>
    </row>
    <row r="35" spans="1:30" ht="285" hidden="1">
      <c r="A35" s="1" t="s">
        <v>965</v>
      </c>
      <c r="B35" s="1">
        <v>1034</v>
      </c>
      <c r="C35" s="1">
        <v>1</v>
      </c>
      <c r="D35" s="1">
        <v>34</v>
      </c>
      <c r="E35" s="1" t="s">
        <v>4297</v>
      </c>
      <c r="F35" s="1" t="s">
        <v>4298</v>
      </c>
      <c r="G35" s="1" t="s">
        <v>4294</v>
      </c>
      <c r="H35" s="1" t="s">
        <v>239</v>
      </c>
      <c r="I35" s="1" t="s">
        <v>240</v>
      </c>
      <c r="J35" s="1" t="s">
        <v>241</v>
      </c>
      <c r="K35" s="1" t="s">
        <v>242</v>
      </c>
      <c r="L35" s="1" t="s">
        <v>243</v>
      </c>
      <c r="M35" s="1" t="s">
        <v>244</v>
      </c>
      <c r="N35" s="1"/>
      <c r="O35" s="1" t="s">
        <v>11</v>
      </c>
      <c r="P35" s="1" t="s">
        <v>245</v>
      </c>
      <c r="Q35" s="1"/>
      <c r="R35" s="1"/>
      <c r="S35" s="1"/>
      <c r="T35" s="1"/>
      <c r="U35" s="1"/>
      <c r="V35" s="1"/>
      <c r="Y35" t="s">
        <v>11</v>
      </c>
      <c r="Z35" t="s">
        <v>4316</v>
      </c>
      <c r="AA35" t="s">
        <v>4317</v>
      </c>
      <c r="AB35" t="s">
        <v>4378</v>
      </c>
      <c r="AD35" s="18">
        <v>46112</v>
      </c>
    </row>
    <row r="36" spans="1:30" ht="120" hidden="1">
      <c r="A36" s="1" t="s">
        <v>965</v>
      </c>
      <c r="B36" s="1">
        <v>1035</v>
      </c>
      <c r="C36" s="1">
        <v>1</v>
      </c>
      <c r="D36" s="1">
        <v>35</v>
      </c>
      <c r="E36" s="1" t="s">
        <v>4297</v>
      </c>
      <c r="F36" s="1" t="s">
        <v>4300</v>
      </c>
      <c r="G36" s="1" t="s">
        <v>20</v>
      </c>
      <c r="H36" s="1" t="s">
        <v>246</v>
      </c>
      <c r="I36" s="1" t="s">
        <v>247</v>
      </c>
      <c r="J36" s="1" t="s">
        <v>248</v>
      </c>
      <c r="K36" s="1" t="s">
        <v>249</v>
      </c>
      <c r="L36" s="1" t="s">
        <v>250</v>
      </c>
      <c r="O36" s="1" t="s">
        <v>8</v>
      </c>
      <c r="P36" s="1" t="s">
        <v>251</v>
      </c>
      <c r="Q36" s="1"/>
      <c r="R36" s="1"/>
      <c r="S36" s="1"/>
      <c r="T36" s="1"/>
      <c r="U36" s="1"/>
      <c r="V36" s="1"/>
      <c r="Y36" t="s">
        <v>8</v>
      </c>
      <c r="Z36" t="s">
        <v>4316</v>
      </c>
      <c r="AA36" t="s">
        <v>4317</v>
      </c>
      <c r="AB36" t="s">
        <v>4379</v>
      </c>
      <c r="AC36" t="s">
        <v>4380</v>
      </c>
      <c r="AD36" s="18">
        <v>46112</v>
      </c>
    </row>
    <row r="37" spans="1:30" ht="150" hidden="1">
      <c r="A37" s="1" t="s">
        <v>965</v>
      </c>
      <c r="B37" s="1">
        <v>1036</v>
      </c>
      <c r="C37" s="1">
        <v>1</v>
      </c>
      <c r="D37" s="1">
        <v>36</v>
      </c>
      <c r="E37" s="1" t="s">
        <v>4292</v>
      </c>
      <c r="F37" s="1" t="s">
        <v>4293</v>
      </c>
      <c r="G37" s="1" t="s">
        <v>40</v>
      </c>
      <c r="H37" s="1" t="s">
        <v>252</v>
      </c>
      <c r="I37" s="1" t="s">
        <v>253</v>
      </c>
      <c r="J37" s="1" t="s">
        <v>254</v>
      </c>
      <c r="K37" s="1" t="s">
        <v>255</v>
      </c>
      <c r="L37" s="1" t="s">
        <v>256</v>
      </c>
      <c r="O37" s="1" t="s">
        <v>7</v>
      </c>
      <c r="P37" s="1" t="s">
        <v>257</v>
      </c>
      <c r="Q37" s="1"/>
      <c r="R37" s="1"/>
      <c r="S37" s="1"/>
      <c r="T37" s="1"/>
      <c r="U37" s="1"/>
      <c r="V37" s="1"/>
      <c r="Y37" t="s">
        <v>7</v>
      </c>
      <c r="Z37" t="s">
        <v>4316</v>
      </c>
      <c r="AA37" t="s">
        <v>4317</v>
      </c>
      <c r="AB37" t="s">
        <v>4381</v>
      </c>
      <c r="AC37" t="s">
        <v>4382</v>
      </c>
      <c r="AD37" s="18">
        <v>46112</v>
      </c>
    </row>
    <row r="38" spans="1:30" ht="225" hidden="1">
      <c r="A38" s="1" t="s">
        <v>965</v>
      </c>
      <c r="B38" s="1">
        <v>1037</v>
      </c>
      <c r="C38" s="1">
        <v>1</v>
      </c>
      <c r="D38" s="1">
        <v>37</v>
      </c>
      <c r="E38" s="1" t="s">
        <v>4297</v>
      </c>
      <c r="F38" s="1" t="s">
        <v>4298</v>
      </c>
      <c r="G38" s="1" t="s">
        <v>20</v>
      </c>
      <c r="H38" s="1" t="s">
        <v>258</v>
      </c>
      <c r="I38" s="1" t="s">
        <v>259</v>
      </c>
      <c r="J38" s="1" t="s">
        <v>131</v>
      </c>
      <c r="K38" s="1" t="s">
        <v>133</v>
      </c>
      <c r="L38" s="1" t="s">
        <v>130</v>
      </c>
      <c r="M38" s="1" t="s">
        <v>129</v>
      </c>
      <c r="N38" s="1"/>
      <c r="O38" s="1" t="s">
        <v>11</v>
      </c>
      <c r="P38" s="1" t="s">
        <v>260</v>
      </c>
      <c r="Q38" s="1"/>
      <c r="R38" s="1"/>
      <c r="S38" s="1"/>
      <c r="T38" s="1"/>
      <c r="U38" s="1"/>
      <c r="V38" s="1"/>
      <c r="Y38" t="s">
        <v>11</v>
      </c>
      <c r="Z38" t="s">
        <v>4316</v>
      </c>
      <c r="AA38" t="s">
        <v>4317</v>
      </c>
      <c r="AB38" t="s">
        <v>4383</v>
      </c>
      <c r="AC38" t="s">
        <v>4350</v>
      </c>
      <c r="AD38" s="18">
        <v>46112</v>
      </c>
    </row>
    <row r="39" spans="1:30" ht="75" hidden="1">
      <c r="A39" s="1" t="s">
        <v>965</v>
      </c>
      <c r="B39" s="1">
        <v>1038</v>
      </c>
      <c r="C39" s="1">
        <v>1</v>
      </c>
      <c r="D39" s="1">
        <v>38</v>
      </c>
      <c r="E39" s="1" t="s">
        <v>4292</v>
      </c>
      <c r="F39" s="1" t="s">
        <v>4303</v>
      </c>
      <c r="G39" s="1" t="s">
        <v>20</v>
      </c>
      <c r="H39" s="1" t="s">
        <v>261</v>
      </c>
      <c r="I39" s="1" t="s">
        <v>262</v>
      </c>
      <c r="J39" s="1" t="s">
        <v>263</v>
      </c>
      <c r="K39" s="1" t="s">
        <v>264</v>
      </c>
      <c r="L39" s="1" t="s">
        <v>265</v>
      </c>
      <c r="M39" s="1"/>
      <c r="N39" s="1"/>
      <c r="O39" s="1" t="s">
        <v>8</v>
      </c>
      <c r="P39" s="1" t="s">
        <v>266</v>
      </c>
      <c r="Q39" s="1"/>
      <c r="R39" s="1"/>
      <c r="S39" s="1"/>
      <c r="T39" s="1"/>
      <c r="U39" s="1"/>
      <c r="V39" s="1"/>
      <c r="Y39" t="s">
        <v>8</v>
      </c>
      <c r="Z39" t="s">
        <v>4316</v>
      </c>
      <c r="AA39" t="s">
        <v>4317</v>
      </c>
      <c r="AB39" t="s">
        <v>4384</v>
      </c>
      <c r="AC39" t="s">
        <v>4369</v>
      </c>
      <c r="AD39" s="18">
        <v>46112</v>
      </c>
    </row>
    <row r="40" spans="1:30" ht="105" hidden="1">
      <c r="A40" s="1" t="s">
        <v>965</v>
      </c>
      <c r="B40" s="1">
        <v>1039</v>
      </c>
      <c r="C40" s="1">
        <v>1</v>
      </c>
      <c r="D40" s="1">
        <v>39</v>
      </c>
      <c r="E40" s="1" t="s">
        <v>4295</v>
      </c>
      <c r="F40" s="1" t="s">
        <v>4296</v>
      </c>
      <c r="G40" s="1" t="s">
        <v>20</v>
      </c>
      <c r="H40" s="1" t="s">
        <v>267</v>
      </c>
      <c r="I40" s="1" t="s">
        <v>268</v>
      </c>
      <c r="J40" s="1" t="s">
        <v>269</v>
      </c>
      <c r="K40" s="1" t="s">
        <v>270</v>
      </c>
      <c r="L40" s="1" t="s">
        <v>271</v>
      </c>
      <c r="M40" s="1"/>
      <c r="N40" s="1"/>
      <c r="O40" s="1" t="s">
        <v>9</v>
      </c>
      <c r="P40" s="1" t="s">
        <v>272</v>
      </c>
      <c r="Q40" s="1"/>
      <c r="R40" s="1"/>
      <c r="S40" s="1"/>
      <c r="T40" s="1"/>
      <c r="U40" s="1"/>
      <c r="V40" s="1"/>
      <c r="Y40" t="s">
        <v>9</v>
      </c>
      <c r="Z40" t="s">
        <v>4316</v>
      </c>
      <c r="AA40" t="s">
        <v>4317</v>
      </c>
      <c r="AB40" t="s">
        <v>4385</v>
      </c>
      <c r="AC40" t="s">
        <v>4382</v>
      </c>
      <c r="AD40" s="18">
        <v>46112</v>
      </c>
    </row>
    <row r="41" spans="1:30" ht="165" hidden="1">
      <c r="A41" s="1" t="s">
        <v>965</v>
      </c>
      <c r="B41" s="1">
        <v>1040</v>
      </c>
      <c r="C41" s="1">
        <v>1</v>
      </c>
      <c r="D41" s="1">
        <v>40</v>
      </c>
      <c r="E41" s="1" t="s">
        <v>4295</v>
      </c>
      <c r="F41" s="1" t="s">
        <v>4296</v>
      </c>
      <c r="G41" s="1" t="s">
        <v>20</v>
      </c>
      <c r="H41" s="1" t="s">
        <v>273</v>
      </c>
      <c r="I41" s="1" t="s">
        <v>274</v>
      </c>
      <c r="J41" s="1" t="s">
        <v>275</v>
      </c>
      <c r="K41" s="1" t="s">
        <v>276</v>
      </c>
      <c r="L41" s="1" t="s">
        <v>277</v>
      </c>
      <c r="M41" s="1"/>
      <c r="N41" s="1"/>
      <c r="O41" s="1" t="s">
        <v>9</v>
      </c>
      <c r="P41" s="1" t="s">
        <v>278</v>
      </c>
      <c r="Q41" s="1"/>
      <c r="R41" s="1"/>
      <c r="S41" s="1"/>
      <c r="T41" s="1"/>
      <c r="U41" s="1"/>
      <c r="V41" s="1"/>
      <c r="Z41" t="s">
        <v>4386</v>
      </c>
      <c r="AB41" t="s">
        <v>4387</v>
      </c>
      <c r="AC41" t="s">
        <v>4388</v>
      </c>
      <c r="AD41" s="18">
        <v>46112</v>
      </c>
    </row>
    <row r="42" spans="1:30" ht="90" hidden="1">
      <c r="A42" s="1" t="s">
        <v>965</v>
      </c>
      <c r="B42" s="1">
        <v>1041</v>
      </c>
      <c r="C42" s="1">
        <v>1</v>
      </c>
      <c r="D42" s="1">
        <v>41</v>
      </c>
      <c r="E42" s="1" t="s">
        <v>4295</v>
      </c>
      <c r="F42" s="1" t="s">
        <v>4296</v>
      </c>
      <c r="G42" s="1" t="s">
        <v>4294</v>
      </c>
      <c r="H42" s="1" t="s">
        <v>279</v>
      </c>
      <c r="I42" s="1" t="s">
        <v>280</v>
      </c>
      <c r="J42" s="1" t="s">
        <v>281</v>
      </c>
      <c r="K42" s="1" t="s">
        <v>282</v>
      </c>
      <c r="L42" s="1" t="s">
        <v>283</v>
      </c>
      <c r="M42" s="1"/>
      <c r="N42" s="1"/>
      <c r="O42" s="1" t="s">
        <v>8</v>
      </c>
      <c r="P42" s="1" t="s">
        <v>284</v>
      </c>
      <c r="Q42" s="1"/>
      <c r="R42" s="1"/>
      <c r="S42" s="1"/>
      <c r="T42" s="1"/>
      <c r="U42" s="1"/>
      <c r="V42" s="1"/>
      <c r="Y42" t="s">
        <v>8</v>
      </c>
      <c r="Z42" t="s">
        <v>4316</v>
      </c>
      <c r="AA42" t="s">
        <v>4317</v>
      </c>
      <c r="AB42" t="s">
        <v>4389</v>
      </c>
      <c r="AC42" t="s">
        <v>4354</v>
      </c>
      <c r="AD42" s="18">
        <v>46112</v>
      </c>
    </row>
    <row r="43" spans="1:30" ht="300" hidden="1">
      <c r="A43" s="1" t="s">
        <v>965</v>
      </c>
      <c r="B43" s="1">
        <v>1042</v>
      </c>
      <c r="C43" s="1">
        <v>1</v>
      </c>
      <c r="D43" s="1">
        <v>42</v>
      </c>
      <c r="E43" s="1" t="s">
        <v>4290</v>
      </c>
      <c r="F43" s="1" t="s">
        <v>4291</v>
      </c>
      <c r="G43" s="1" t="s">
        <v>4294</v>
      </c>
      <c r="H43" s="1" t="s">
        <v>285</v>
      </c>
      <c r="I43" s="1" t="s">
        <v>286</v>
      </c>
      <c r="J43" s="1" t="s">
        <v>287</v>
      </c>
      <c r="K43" s="1" t="s">
        <v>288</v>
      </c>
      <c r="L43" s="1" t="s">
        <v>289</v>
      </c>
      <c r="M43" s="1" t="s">
        <v>290</v>
      </c>
      <c r="N43" s="1"/>
      <c r="O43" s="1" t="s">
        <v>9</v>
      </c>
      <c r="P43" s="1" t="s">
        <v>291</v>
      </c>
      <c r="Q43" s="1"/>
      <c r="R43" s="1"/>
      <c r="S43" s="1"/>
      <c r="T43" s="1"/>
      <c r="U43" s="1"/>
      <c r="V43" s="1"/>
      <c r="Y43" t="s">
        <v>9</v>
      </c>
      <c r="Z43" t="s">
        <v>4316</v>
      </c>
      <c r="AA43" t="s">
        <v>4317</v>
      </c>
      <c r="AB43" t="s">
        <v>4390</v>
      </c>
      <c r="AC43" t="s">
        <v>4362</v>
      </c>
      <c r="AD43" s="18">
        <v>46112</v>
      </c>
    </row>
    <row r="44" spans="1:30" ht="180" hidden="1">
      <c r="A44" s="1" t="s">
        <v>965</v>
      </c>
      <c r="B44" s="1">
        <v>1043</v>
      </c>
      <c r="C44" s="1">
        <v>1</v>
      </c>
      <c r="D44" s="1">
        <v>43</v>
      </c>
      <c r="E44" s="1" t="s">
        <v>4297</v>
      </c>
      <c r="F44" s="1" t="s">
        <v>4298</v>
      </c>
      <c r="G44" s="1" t="s">
        <v>40</v>
      </c>
      <c r="H44" s="1" t="s">
        <v>292</v>
      </c>
      <c r="I44" s="1" t="s">
        <v>293</v>
      </c>
      <c r="J44" s="1" t="s">
        <v>294</v>
      </c>
      <c r="K44" s="1" t="s">
        <v>295</v>
      </c>
      <c r="L44" s="1" t="s">
        <v>296</v>
      </c>
      <c r="M44" s="1" t="s">
        <v>297</v>
      </c>
      <c r="N44" s="1"/>
      <c r="O44" s="1" t="s">
        <v>7</v>
      </c>
      <c r="P44" s="1" t="s">
        <v>298</v>
      </c>
      <c r="Q44" s="1"/>
      <c r="R44" s="1"/>
      <c r="S44" s="1"/>
      <c r="T44" s="1"/>
      <c r="U44" s="1"/>
      <c r="V44" s="1"/>
      <c r="Y44" t="s">
        <v>7</v>
      </c>
      <c r="Z44" t="s">
        <v>4316</v>
      </c>
      <c r="AA44" t="s">
        <v>4317</v>
      </c>
      <c r="AB44" t="s">
        <v>4391</v>
      </c>
      <c r="AC44" t="s">
        <v>4392</v>
      </c>
      <c r="AD44" s="18">
        <v>46112</v>
      </c>
    </row>
    <row r="45" spans="1:30" ht="180" hidden="1">
      <c r="A45" s="1" t="s">
        <v>965</v>
      </c>
      <c r="B45" s="1">
        <v>1044</v>
      </c>
      <c r="C45" s="1">
        <v>1</v>
      </c>
      <c r="D45" s="1">
        <v>44</v>
      </c>
      <c r="E45" s="1" t="s">
        <v>4295</v>
      </c>
      <c r="F45" s="1" t="s">
        <v>4296</v>
      </c>
      <c r="G45" s="1" t="s">
        <v>40</v>
      </c>
      <c r="H45" s="1" t="s">
        <v>299</v>
      </c>
      <c r="I45" s="1" t="s">
        <v>300</v>
      </c>
      <c r="J45" s="1" t="s">
        <v>301</v>
      </c>
      <c r="K45" s="1" t="s">
        <v>302</v>
      </c>
      <c r="L45" s="1" t="s">
        <v>303</v>
      </c>
      <c r="M45" s="1" t="s">
        <v>304</v>
      </c>
      <c r="N45" s="1"/>
      <c r="O45" s="1" t="s">
        <v>8</v>
      </c>
      <c r="P45" s="1" t="s">
        <v>305</v>
      </c>
      <c r="Q45" s="1"/>
      <c r="R45" s="1"/>
      <c r="S45" s="1"/>
      <c r="T45" s="1"/>
      <c r="U45" s="1"/>
      <c r="V45" s="1"/>
      <c r="Y45" t="s">
        <v>8</v>
      </c>
      <c r="Z45" t="s">
        <v>4316</v>
      </c>
      <c r="AA45" t="s">
        <v>4317</v>
      </c>
      <c r="AB45" t="s">
        <v>4393</v>
      </c>
      <c r="AC45" t="s">
        <v>4394</v>
      </c>
      <c r="AD45" s="18">
        <v>46112</v>
      </c>
    </row>
    <row r="46" spans="1:30" ht="165" hidden="1">
      <c r="A46" s="1" t="s">
        <v>965</v>
      </c>
      <c r="B46" s="1">
        <v>1045</v>
      </c>
      <c r="C46" s="1">
        <v>1</v>
      </c>
      <c r="D46" s="1">
        <v>45</v>
      </c>
      <c r="E46" s="1" t="s">
        <v>4297</v>
      </c>
      <c r="F46" s="1" t="s">
        <v>4298</v>
      </c>
      <c r="G46" s="1" t="s">
        <v>4294</v>
      </c>
      <c r="H46" s="1" t="s">
        <v>306</v>
      </c>
      <c r="I46" s="1" t="s">
        <v>307</v>
      </c>
      <c r="J46" s="1" t="s">
        <v>308</v>
      </c>
      <c r="K46" s="1" t="s">
        <v>309</v>
      </c>
      <c r="L46" s="1" t="s">
        <v>310</v>
      </c>
      <c r="M46" s="1" t="s">
        <v>311</v>
      </c>
      <c r="N46" s="1"/>
      <c r="O46" s="1" t="s">
        <v>9</v>
      </c>
      <c r="P46" s="1" t="s">
        <v>312</v>
      </c>
      <c r="Q46" s="1"/>
      <c r="R46" s="1"/>
      <c r="S46" s="1"/>
      <c r="T46" s="1"/>
      <c r="U46" s="1"/>
      <c r="V46" s="1"/>
      <c r="Y46" t="s">
        <v>9</v>
      </c>
      <c r="Z46" t="s">
        <v>4316</v>
      </c>
      <c r="AA46" t="s">
        <v>4317</v>
      </c>
      <c r="AB46" t="s">
        <v>4395</v>
      </c>
      <c r="AD46" s="18">
        <v>46112</v>
      </c>
    </row>
    <row r="47" spans="1:30" ht="409.5" hidden="1">
      <c r="A47" s="1" t="s">
        <v>965</v>
      </c>
      <c r="B47" s="1">
        <v>1046</v>
      </c>
      <c r="C47" s="1">
        <v>1</v>
      </c>
      <c r="D47" s="1">
        <v>46</v>
      </c>
      <c r="E47" s="1" t="s">
        <v>4297</v>
      </c>
      <c r="F47" s="1" t="s">
        <v>4299</v>
      </c>
      <c r="G47" s="1" t="s">
        <v>20</v>
      </c>
      <c r="H47" s="1" t="s">
        <v>313</v>
      </c>
      <c r="I47" s="1" t="s">
        <v>314</v>
      </c>
      <c r="J47" s="1" t="s">
        <v>315</v>
      </c>
      <c r="K47" s="1" t="s">
        <v>316</v>
      </c>
      <c r="L47" s="1" t="s">
        <v>317</v>
      </c>
      <c r="M47" s="1" t="s">
        <v>318</v>
      </c>
      <c r="N47" s="1"/>
      <c r="O47" s="1" t="s">
        <v>7</v>
      </c>
      <c r="P47" s="1" t="s">
        <v>319</v>
      </c>
      <c r="Q47" s="1"/>
      <c r="R47" s="1"/>
      <c r="S47" s="1"/>
      <c r="T47" s="1"/>
      <c r="U47" s="1"/>
      <c r="V47" s="1"/>
      <c r="Y47" t="s">
        <v>7</v>
      </c>
      <c r="Z47" t="s">
        <v>4316</v>
      </c>
      <c r="AA47" t="s">
        <v>4317</v>
      </c>
      <c r="AB47" t="s">
        <v>4396</v>
      </c>
      <c r="AC47" t="s">
        <v>4397</v>
      </c>
      <c r="AD47" s="18">
        <v>46112</v>
      </c>
    </row>
    <row r="48" spans="1:30" ht="90" hidden="1">
      <c r="A48" s="1" t="s">
        <v>965</v>
      </c>
      <c r="B48" s="1">
        <v>1047</v>
      </c>
      <c r="C48" s="1">
        <v>1</v>
      </c>
      <c r="D48" s="1">
        <v>47</v>
      </c>
      <c r="E48" s="1" t="s">
        <v>4297</v>
      </c>
      <c r="F48" s="1" t="s">
        <v>4301</v>
      </c>
      <c r="G48" s="1" t="s">
        <v>20</v>
      </c>
      <c r="H48" s="1" t="s">
        <v>320</v>
      </c>
      <c r="I48" s="1" t="s">
        <v>321</v>
      </c>
      <c r="J48" s="1" t="s">
        <v>322</v>
      </c>
      <c r="K48" s="1" t="s">
        <v>323</v>
      </c>
      <c r="L48" s="1" t="s">
        <v>324</v>
      </c>
      <c r="M48" s="1" t="s">
        <v>325</v>
      </c>
      <c r="N48" s="1"/>
      <c r="O48" s="1" t="s">
        <v>11</v>
      </c>
      <c r="P48" s="1" t="s">
        <v>326</v>
      </c>
      <c r="Q48" s="1"/>
      <c r="R48" s="1"/>
      <c r="S48" s="1"/>
      <c r="T48" s="1"/>
      <c r="U48" s="1"/>
      <c r="V48" s="1"/>
      <c r="Z48" t="s">
        <v>4386</v>
      </c>
      <c r="AB48" t="s">
        <v>4398</v>
      </c>
      <c r="AC48" t="s">
        <v>4399</v>
      </c>
      <c r="AD48" s="18">
        <v>46112</v>
      </c>
    </row>
    <row r="49" spans="1:30" ht="180" hidden="1">
      <c r="A49" s="1" t="s">
        <v>965</v>
      </c>
      <c r="B49" s="1">
        <v>1048</v>
      </c>
      <c r="C49" s="1">
        <v>1</v>
      </c>
      <c r="D49" s="1">
        <v>48</v>
      </c>
      <c r="E49" s="1" t="s">
        <v>4297</v>
      </c>
      <c r="F49" s="1" t="s">
        <v>4298</v>
      </c>
      <c r="G49" s="1" t="s">
        <v>4294</v>
      </c>
      <c r="H49" s="1" t="s">
        <v>327</v>
      </c>
      <c r="I49" s="1" t="s">
        <v>328</v>
      </c>
      <c r="J49" s="1" t="s">
        <v>329</v>
      </c>
      <c r="K49" s="1" t="s">
        <v>330</v>
      </c>
      <c r="L49" s="1" t="s">
        <v>331</v>
      </c>
      <c r="M49" s="1" t="s">
        <v>332</v>
      </c>
      <c r="N49" s="1"/>
      <c r="O49" s="1" t="s">
        <v>10</v>
      </c>
      <c r="P49" s="1" t="s">
        <v>333</v>
      </c>
      <c r="Q49" s="1"/>
      <c r="R49" s="1"/>
      <c r="S49" s="1"/>
      <c r="T49" s="1"/>
      <c r="U49" s="1"/>
      <c r="V49" s="1"/>
      <c r="Y49" t="s">
        <v>10</v>
      </c>
      <c r="Z49" t="s">
        <v>4316</v>
      </c>
      <c r="AA49" t="s">
        <v>4317</v>
      </c>
      <c r="AB49" t="s">
        <v>4400</v>
      </c>
      <c r="AC49" t="s">
        <v>4325</v>
      </c>
      <c r="AD49" s="18">
        <v>46112</v>
      </c>
    </row>
    <row r="50" spans="1:30" ht="375" hidden="1">
      <c r="A50" s="1" t="s">
        <v>965</v>
      </c>
      <c r="B50" s="1">
        <v>1049</v>
      </c>
      <c r="C50" s="1">
        <v>1</v>
      </c>
      <c r="D50" s="1">
        <v>49</v>
      </c>
      <c r="E50" s="1" t="s">
        <v>4295</v>
      </c>
      <c r="F50" s="1" t="s">
        <v>4296</v>
      </c>
      <c r="G50" s="1" t="s">
        <v>40</v>
      </c>
      <c r="H50" s="1" t="s">
        <v>334</v>
      </c>
      <c r="I50" s="1" t="s">
        <v>335</v>
      </c>
      <c r="J50" s="1" t="s">
        <v>336</v>
      </c>
      <c r="K50" s="1" t="s">
        <v>337</v>
      </c>
      <c r="L50" s="1" t="s">
        <v>338</v>
      </c>
      <c r="M50" s="1" t="s">
        <v>339</v>
      </c>
      <c r="N50" s="1"/>
      <c r="O50" s="1" t="s">
        <v>8</v>
      </c>
      <c r="P50" s="1" t="s">
        <v>340</v>
      </c>
      <c r="Q50" s="1"/>
      <c r="R50" s="1"/>
      <c r="S50" s="1"/>
      <c r="T50" s="1">
        <v>1</v>
      </c>
      <c r="U50" s="1"/>
      <c r="V50" s="1"/>
      <c r="Y50" t="s">
        <v>8</v>
      </c>
      <c r="Z50" t="s">
        <v>4316</v>
      </c>
      <c r="AA50" t="s">
        <v>4317</v>
      </c>
      <c r="AB50" t="s">
        <v>4401</v>
      </c>
      <c r="AC50" t="s">
        <v>4402</v>
      </c>
      <c r="AD50" s="18">
        <v>46112</v>
      </c>
    </row>
    <row r="51" spans="1:30" ht="120" hidden="1">
      <c r="A51" s="1" t="s">
        <v>965</v>
      </c>
      <c r="B51" s="1">
        <v>1050</v>
      </c>
      <c r="C51" s="1">
        <v>1</v>
      </c>
      <c r="D51" s="1">
        <v>50</v>
      </c>
      <c r="E51" s="1" t="s">
        <v>4295</v>
      </c>
      <c r="F51" s="1" t="s">
        <v>4296</v>
      </c>
      <c r="G51" s="1" t="s">
        <v>4294</v>
      </c>
      <c r="H51" s="1" t="s">
        <v>341</v>
      </c>
      <c r="I51" s="1" t="s">
        <v>342</v>
      </c>
      <c r="J51" s="1" t="s">
        <v>343</v>
      </c>
      <c r="K51" s="1" t="s">
        <v>344</v>
      </c>
      <c r="L51" s="1" t="s">
        <v>345</v>
      </c>
      <c r="M51" s="1" t="s">
        <v>346</v>
      </c>
      <c r="N51" s="1"/>
      <c r="O51" s="1" t="s">
        <v>9</v>
      </c>
      <c r="P51" s="1" t="s">
        <v>347</v>
      </c>
      <c r="Q51" s="1"/>
      <c r="R51" s="1"/>
      <c r="S51" s="1"/>
      <c r="T51" s="1"/>
      <c r="U51" s="1"/>
      <c r="V51" s="1"/>
      <c r="Y51" t="s">
        <v>9</v>
      </c>
      <c r="Z51" t="s">
        <v>4316</v>
      </c>
      <c r="AA51" t="s">
        <v>4317</v>
      </c>
      <c r="AB51" t="s">
        <v>4403</v>
      </c>
      <c r="AC51" t="s">
        <v>4369</v>
      </c>
      <c r="AD51" s="18">
        <v>46112</v>
      </c>
    </row>
    <row r="52" spans="1:30" ht="210" hidden="1">
      <c r="A52" s="1" t="s">
        <v>965</v>
      </c>
      <c r="B52" s="1">
        <v>1051</v>
      </c>
      <c r="C52" s="1">
        <v>1</v>
      </c>
      <c r="D52" s="1">
        <v>51</v>
      </c>
      <c r="E52" s="1" t="s">
        <v>4305</v>
      </c>
      <c r="F52" s="1" t="s">
        <v>4306</v>
      </c>
      <c r="G52" s="1" t="s">
        <v>20</v>
      </c>
      <c r="H52" s="1" t="s">
        <v>348</v>
      </c>
      <c r="I52" s="1" t="s">
        <v>349</v>
      </c>
      <c r="J52" s="1" t="s">
        <v>350</v>
      </c>
      <c r="K52" s="1" t="s">
        <v>351</v>
      </c>
      <c r="L52" s="1" t="s">
        <v>352</v>
      </c>
      <c r="M52" s="1"/>
      <c r="N52" s="1"/>
      <c r="O52" s="1" t="s">
        <v>9</v>
      </c>
      <c r="P52" s="1" t="s">
        <v>353</v>
      </c>
      <c r="Q52" s="1"/>
      <c r="R52" s="1"/>
      <c r="S52" s="1"/>
      <c r="T52" s="1">
        <v>1</v>
      </c>
      <c r="U52" s="1"/>
      <c r="V52" s="1"/>
      <c r="Y52" t="s">
        <v>9</v>
      </c>
      <c r="Z52" t="s">
        <v>4316</v>
      </c>
      <c r="AA52" t="s">
        <v>4317</v>
      </c>
      <c r="AB52" t="s">
        <v>4498</v>
      </c>
      <c r="AC52" t="s">
        <v>4499</v>
      </c>
      <c r="AD52" s="18">
        <v>46112</v>
      </c>
    </row>
    <row r="53" spans="1:30" ht="210" hidden="1">
      <c r="A53" s="1" t="s">
        <v>965</v>
      </c>
      <c r="B53" s="1">
        <v>1052</v>
      </c>
      <c r="C53" s="1">
        <v>1</v>
      </c>
      <c r="D53" s="1">
        <v>52</v>
      </c>
      <c r="E53" s="1" t="s">
        <v>4297</v>
      </c>
      <c r="F53" s="1" t="s">
        <v>4298</v>
      </c>
      <c r="G53" s="1" t="s">
        <v>20</v>
      </c>
      <c r="H53" s="1" t="s">
        <v>354</v>
      </c>
      <c r="I53" s="1" t="s">
        <v>355</v>
      </c>
      <c r="J53" s="1" t="s">
        <v>216</v>
      </c>
      <c r="K53" s="1" t="s">
        <v>356</v>
      </c>
      <c r="L53" s="1" t="s">
        <v>357</v>
      </c>
      <c r="M53" s="1" t="s">
        <v>358</v>
      </c>
      <c r="N53" s="1"/>
      <c r="O53" s="1" t="s">
        <v>9</v>
      </c>
      <c r="P53" s="1" t="s">
        <v>359</v>
      </c>
      <c r="Q53" s="1"/>
      <c r="R53" s="1"/>
      <c r="S53" s="1"/>
      <c r="T53" s="1"/>
      <c r="U53" s="1"/>
      <c r="V53" s="1"/>
      <c r="Y53" t="s">
        <v>9</v>
      </c>
      <c r="Z53" t="s">
        <v>4316</v>
      </c>
      <c r="AA53" t="s">
        <v>4317</v>
      </c>
      <c r="AB53" t="s">
        <v>4500</v>
      </c>
      <c r="AC53" t="s">
        <v>4323</v>
      </c>
      <c r="AD53" s="18">
        <v>46112</v>
      </c>
    </row>
    <row r="54" spans="1:30" ht="210" hidden="1">
      <c r="A54" s="1" t="s">
        <v>965</v>
      </c>
      <c r="B54" s="1">
        <v>1053</v>
      </c>
      <c r="C54" s="1">
        <v>1</v>
      </c>
      <c r="D54" s="1">
        <v>53</v>
      </c>
      <c r="E54" s="1" t="s">
        <v>4290</v>
      </c>
      <c r="F54" s="1" t="s">
        <v>4291</v>
      </c>
      <c r="G54" s="1" t="s">
        <v>20</v>
      </c>
      <c r="H54" s="1" t="s">
        <v>360</v>
      </c>
      <c r="I54" s="1" t="s">
        <v>361</v>
      </c>
      <c r="J54" s="1" t="s">
        <v>362</v>
      </c>
      <c r="K54" s="1" t="s">
        <v>363</v>
      </c>
      <c r="L54" s="1" t="s">
        <v>364</v>
      </c>
      <c r="M54" s="1" t="s">
        <v>365</v>
      </c>
      <c r="N54" s="1"/>
      <c r="O54" s="1" t="s">
        <v>8</v>
      </c>
      <c r="P54" s="1" t="s">
        <v>366</v>
      </c>
      <c r="Q54" s="1"/>
      <c r="R54" s="1"/>
      <c r="S54" s="1"/>
      <c r="T54" s="1"/>
      <c r="U54" s="1"/>
      <c r="V54" s="1"/>
      <c r="Y54" t="s">
        <v>8</v>
      </c>
      <c r="Z54" t="s">
        <v>4316</v>
      </c>
      <c r="AA54" t="s">
        <v>4317</v>
      </c>
      <c r="AB54" t="s">
        <v>4501</v>
      </c>
      <c r="AC54" t="s">
        <v>4502</v>
      </c>
      <c r="AD54" s="18">
        <v>46112</v>
      </c>
    </row>
    <row r="55" spans="1:30" ht="180" hidden="1">
      <c r="A55" s="1" t="s">
        <v>965</v>
      </c>
      <c r="B55" s="1">
        <v>1054</v>
      </c>
      <c r="C55" s="1">
        <v>1</v>
      </c>
      <c r="D55" s="1">
        <v>54</v>
      </c>
      <c r="E55" s="1" t="s">
        <v>4295</v>
      </c>
      <c r="F55" s="1" t="s">
        <v>4296</v>
      </c>
      <c r="G55" s="1" t="s">
        <v>40</v>
      </c>
      <c r="H55" s="1" t="s">
        <v>367</v>
      </c>
      <c r="I55" s="1" t="s">
        <v>368</v>
      </c>
      <c r="J55" s="1" t="s">
        <v>369</v>
      </c>
      <c r="K55" s="1" t="s">
        <v>370</v>
      </c>
      <c r="L55" s="1" t="s">
        <v>371</v>
      </c>
      <c r="M55" s="1" t="s">
        <v>372</v>
      </c>
      <c r="N55" s="1"/>
      <c r="O55" s="1" t="s">
        <v>7</v>
      </c>
      <c r="P55" s="1" t="s">
        <v>373</v>
      </c>
      <c r="Q55" s="1"/>
      <c r="R55" s="1"/>
      <c r="S55" s="1"/>
      <c r="T55" s="1">
        <v>1</v>
      </c>
      <c r="U55" s="1"/>
      <c r="V55" s="1"/>
      <c r="Y55" t="s">
        <v>7</v>
      </c>
      <c r="Z55" t="s">
        <v>4316</v>
      </c>
      <c r="AA55" t="s">
        <v>4317</v>
      </c>
      <c r="AB55" t="s">
        <v>4503</v>
      </c>
      <c r="AC55" t="s">
        <v>4441</v>
      </c>
      <c r="AD55" s="18">
        <v>46112</v>
      </c>
    </row>
    <row r="56" spans="1:30" ht="390" hidden="1">
      <c r="A56" s="1" t="s">
        <v>965</v>
      </c>
      <c r="B56" s="1">
        <v>1055</v>
      </c>
      <c r="C56" s="1">
        <v>1</v>
      </c>
      <c r="D56" s="1">
        <v>55</v>
      </c>
      <c r="E56" s="1" t="s">
        <v>4295</v>
      </c>
      <c r="F56" s="1" t="s">
        <v>4296</v>
      </c>
      <c r="G56" s="1" t="s">
        <v>4294</v>
      </c>
      <c r="H56" s="1" t="s">
        <v>374</v>
      </c>
      <c r="I56" s="1" t="s">
        <v>375</v>
      </c>
      <c r="J56" s="1" t="s">
        <v>376</v>
      </c>
      <c r="K56" s="1" t="s">
        <v>377</v>
      </c>
      <c r="L56" s="1" t="s">
        <v>378</v>
      </c>
      <c r="M56" s="1" t="s">
        <v>379</v>
      </c>
      <c r="N56" s="1"/>
      <c r="O56" s="1" t="s">
        <v>7</v>
      </c>
      <c r="P56" s="1" t="s">
        <v>380</v>
      </c>
      <c r="Q56" s="1"/>
      <c r="R56" s="1"/>
      <c r="S56" s="1"/>
      <c r="T56" s="1"/>
      <c r="U56" s="1"/>
      <c r="V56" s="1"/>
      <c r="Y56" t="s">
        <v>7</v>
      </c>
      <c r="Z56" t="s">
        <v>4316</v>
      </c>
      <c r="AA56" t="s">
        <v>4317</v>
      </c>
      <c r="AB56" t="s">
        <v>4504</v>
      </c>
      <c r="AC56" t="s">
        <v>4444</v>
      </c>
      <c r="AD56" s="18">
        <v>46112</v>
      </c>
    </row>
    <row r="57" spans="1:30" ht="240" hidden="1">
      <c r="A57" s="1" t="s">
        <v>965</v>
      </c>
      <c r="B57" s="1">
        <v>1056</v>
      </c>
      <c r="C57" s="1">
        <v>1</v>
      </c>
      <c r="D57" s="1">
        <v>56</v>
      </c>
      <c r="E57" s="1" t="s">
        <v>4297</v>
      </c>
      <c r="F57" s="1" t="s">
        <v>4298</v>
      </c>
      <c r="G57" s="1" t="s">
        <v>40</v>
      </c>
      <c r="H57" s="1" t="s">
        <v>381</v>
      </c>
      <c r="I57" s="1" t="s">
        <v>89</v>
      </c>
      <c r="J57" s="1" t="s">
        <v>216</v>
      </c>
      <c r="K57" s="1" t="s">
        <v>90</v>
      </c>
      <c r="L57" s="1" t="s">
        <v>217</v>
      </c>
      <c r="M57" s="1" t="s">
        <v>91</v>
      </c>
      <c r="N57" s="1"/>
      <c r="O57" s="1" t="s">
        <v>7</v>
      </c>
      <c r="P57" s="1" t="s">
        <v>382</v>
      </c>
      <c r="Q57" s="1"/>
      <c r="R57" s="1"/>
      <c r="S57" s="1"/>
      <c r="T57" s="1"/>
      <c r="U57" s="1"/>
      <c r="V57" s="1"/>
      <c r="Y57" t="s">
        <v>7</v>
      </c>
      <c r="Z57" t="s">
        <v>4316</v>
      </c>
      <c r="AA57" t="s">
        <v>4317</v>
      </c>
      <c r="AB57" t="s">
        <v>4505</v>
      </c>
      <c r="AC57" t="s">
        <v>4327</v>
      </c>
      <c r="AD57" s="18">
        <v>46112</v>
      </c>
    </row>
    <row r="58" spans="1:30" ht="75" hidden="1">
      <c r="A58" s="1" t="s">
        <v>965</v>
      </c>
      <c r="B58" s="1">
        <v>1057</v>
      </c>
      <c r="C58" s="1">
        <v>1</v>
      </c>
      <c r="D58" s="1">
        <v>57</v>
      </c>
      <c r="E58" s="1" t="s">
        <v>4295</v>
      </c>
      <c r="F58" s="1" t="s">
        <v>4296</v>
      </c>
      <c r="G58" s="1" t="s">
        <v>20</v>
      </c>
      <c r="H58" s="1" t="s">
        <v>383</v>
      </c>
      <c r="I58" s="1" t="s">
        <v>384</v>
      </c>
      <c r="J58" s="1" t="s">
        <v>385</v>
      </c>
      <c r="K58" s="1" t="s">
        <v>386</v>
      </c>
      <c r="L58" s="1" t="s">
        <v>387</v>
      </c>
      <c r="M58" s="1"/>
      <c r="N58" s="1"/>
      <c r="O58" s="1" t="s">
        <v>10</v>
      </c>
      <c r="P58" s="1" t="s">
        <v>388</v>
      </c>
      <c r="Q58" s="1"/>
      <c r="R58" s="1"/>
      <c r="S58" s="1"/>
      <c r="T58" s="1"/>
      <c r="U58" s="1"/>
      <c r="V58" s="1"/>
      <c r="Y58" t="s">
        <v>10</v>
      </c>
      <c r="Z58" t="s">
        <v>4316</v>
      </c>
      <c r="AA58" t="s">
        <v>4317</v>
      </c>
      <c r="AB58" t="s">
        <v>4506</v>
      </c>
      <c r="AC58" t="s">
        <v>4354</v>
      </c>
      <c r="AD58" s="18">
        <v>46112</v>
      </c>
    </row>
    <row r="59" spans="1:30" ht="120" hidden="1">
      <c r="A59" s="1" t="s">
        <v>965</v>
      </c>
      <c r="B59" s="1">
        <v>1058</v>
      </c>
      <c r="C59" s="1">
        <v>2</v>
      </c>
      <c r="D59" s="1">
        <v>1</v>
      </c>
      <c r="E59" s="1" t="s">
        <v>4297</v>
      </c>
      <c r="F59" s="1" t="s">
        <v>4298</v>
      </c>
      <c r="G59" s="1" t="s">
        <v>20</v>
      </c>
      <c r="H59" s="1" t="s">
        <v>389</v>
      </c>
      <c r="I59" s="1" t="s">
        <v>390</v>
      </c>
      <c r="J59" s="1" t="s">
        <v>391</v>
      </c>
      <c r="K59" s="1" t="s">
        <v>392</v>
      </c>
      <c r="L59" s="1" t="s">
        <v>393</v>
      </c>
      <c r="M59" s="1"/>
      <c r="N59" s="1"/>
      <c r="O59" s="1" t="s">
        <v>8</v>
      </c>
      <c r="P59" s="1" t="s">
        <v>394</v>
      </c>
      <c r="Q59" s="1"/>
      <c r="R59" s="1"/>
      <c r="S59" s="1"/>
      <c r="T59" s="1"/>
      <c r="U59" s="1"/>
      <c r="V59" s="1"/>
      <c r="Y59" t="s">
        <v>8</v>
      </c>
      <c r="Z59" t="s">
        <v>4316</v>
      </c>
      <c r="AA59" t="s">
        <v>4317</v>
      </c>
      <c r="AB59" t="s">
        <v>4507</v>
      </c>
      <c r="AC59" t="s">
        <v>4327</v>
      </c>
      <c r="AD59" s="18">
        <v>46112</v>
      </c>
    </row>
    <row r="60" spans="1:30" ht="60" hidden="1">
      <c r="A60" s="1" t="s">
        <v>965</v>
      </c>
      <c r="B60" s="1">
        <v>1059</v>
      </c>
      <c r="C60" s="1">
        <v>2</v>
      </c>
      <c r="D60" s="1">
        <v>2</v>
      </c>
      <c r="E60" s="1" t="s">
        <v>4297</v>
      </c>
      <c r="F60" s="1" t="s">
        <v>4298</v>
      </c>
      <c r="G60" s="1" t="s">
        <v>20</v>
      </c>
      <c r="H60" s="1" t="s">
        <v>395</v>
      </c>
      <c r="I60" s="1" t="s">
        <v>396</v>
      </c>
      <c r="J60" s="1" t="s">
        <v>397</v>
      </c>
      <c r="K60" s="1" t="s">
        <v>398</v>
      </c>
      <c r="L60" s="1" t="s">
        <v>399</v>
      </c>
      <c r="M60" s="1"/>
      <c r="N60" s="1"/>
      <c r="O60" s="1" t="s">
        <v>8</v>
      </c>
      <c r="P60" s="1" t="s">
        <v>400</v>
      </c>
      <c r="Q60" s="1"/>
      <c r="R60" s="1"/>
      <c r="S60" s="1"/>
      <c r="T60" s="1">
        <v>1</v>
      </c>
      <c r="U60" s="1"/>
      <c r="V60" s="1"/>
      <c r="Y60" t="s">
        <v>8</v>
      </c>
      <c r="Z60" t="s">
        <v>4316</v>
      </c>
      <c r="AA60" t="s">
        <v>4317</v>
      </c>
      <c r="AB60" t="s">
        <v>4508</v>
      </c>
      <c r="AC60" t="s">
        <v>4327</v>
      </c>
      <c r="AD60" s="18">
        <v>46112</v>
      </c>
    </row>
    <row r="61" spans="1:30" ht="300" hidden="1">
      <c r="A61" s="1" t="s">
        <v>965</v>
      </c>
      <c r="B61" s="1">
        <v>1060</v>
      </c>
      <c r="C61" s="1">
        <v>2</v>
      </c>
      <c r="D61" s="1">
        <v>3</v>
      </c>
      <c r="E61" s="1" t="s">
        <v>4297</v>
      </c>
      <c r="F61" s="1" t="s">
        <v>4299</v>
      </c>
      <c r="G61" s="1" t="s">
        <v>40</v>
      </c>
      <c r="H61" s="1" t="s">
        <v>401</v>
      </c>
      <c r="I61" s="1" t="s">
        <v>402</v>
      </c>
      <c r="J61" s="1" t="s">
        <v>403</v>
      </c>
      <c r="K61" s="1" t="s">
        <v>404</v>
      </c>
      <c r="L61" s="1" t="s">
        <v>405</v>
      </c>
      <c r="M61" s="1"/>
      <c r="N61" s="1"/>
      <c r="O61" s="1" t="s">
        <v>7</v>
      </c>
      <c r="P61" s="1" t="s">
        <v>406</v>
      </c>
      <c r="Q61" s="1"/>
      <c r="R61" s="1"/>
      <c r="S61" s="1"/>
      <c r="T61" s="1">
        <v>1</v>
      </c>
      <c r="U61" s="1"/>
      <c r="V61" s="1"/>
      <c r="Y61" t="s">
        <v>7</v>
      </c>
      <c r="Z61" t="s">
        <v>4316</v>
      </c>
      <c r="AA61" t="s">
        <v>4317</v>
      </c>
      <c r="AB61" t="s">
        <v>4509</v>
      </c>
      <c r="AC61" t="s">
        <v>4336</v>
      </c>
      <c r="AD61" s="18">
        <v>46112</v>
      </c>
    </row>
    <row r="62" spans="1:30" ht="165" hidden="1">
      <c r="A62" s="1" t="s">
        <v>965</v>
      </c>
      <c r="B62" s="1">
        <v>1061</v>
      </c>
      <c r="C62" s="1">
        <v>2</v>
      </c>
      <c r="D62" s="1">
        <v>4</v>
      </c>
      <c r="E62" s="1" t="s">
        <v>4297</v>
      </c>
      <c r="F62" s="1" t="s">
        <v>4298</v>
      </c>
      <c r="G62" s="1" t="s">
        <v>20</v>
      </c>
      <c r="H62" s="1" t="s">
        <v>407</v>
      </c>
      <c r="I62" s="1" t="s">
        <v>408</v>
      </c>
      <c r="J62" s="1" t="s">
        <v>409</v>
      </c>
      <c r="K62" s="1" t="s">
        <v>410</v>
      </c>
      <c r="L62" s="1" t="s">
        <v>411</v>
      </c>
      <c r="M62" s="1"/>
      <c r="N62" s="1"/>
      <c r="O62" s="1" t="s">
        <v>10</v>
      </c>
      <c r="P62" s="1" t="s">
        <v>412</v>
      </c>
      <c r="Q62" s="1"/>
      <c r="R62" s="1"/>
      <c r="S62" s="1"/>
      <c r="T62" s="1"/>
      <c r="U62" s="1"/>
      <c r="V62" s="1"/>
      <c r="Y62" t="s">
        <v>10</v>
      </c>
      <c r="Z62" t="s">
        <v>4316</v>
      </c>
      <c r="AA62" t="s">
        <v>4317</v>
      </c>
      <c r="AB62" t="s">
        <v>4510</v>
      </c>
      <c r="AC62" t="s">
        <v>4325</v>
      </c>
      <c r="AD62" s="18">
        <v>46112</v>
      </c>
    </row>
    <row r="63" spans="1:30" ht="210" hidden="1">
      <c r="A63" s="1" t="s">
        <v>965</v>
      </c>
      <c r="B63" s="1">
        <v>1062</v>
      </c>
      <c r="C63" s="1">
        <v>2</v>
      </c>
      <c r="D63" s="1">
        <v>5</v>
      </c>
      <c r="E63" s="1" t="s">
        <v>4297</v>
      </c>
      <c r="F63" s="1" t="s">
        <v>4298</v>
      </c>
      <c r="G63" s="1" t="s">
        <v>4294</v>
      </c>
      <c r="H63" s="1" t="s">
        <v>413</v>
      </c>
      <c r="I63" s="1" t="s">
        <v>414</v>
      </c>
      <c r="J63" s="1" t="s">
        <v>415</v>
      </c>
      <c r="K63" s="1" t="s">
        <v>416</v>
      </c>
      <c r="L63" s="1" t="s">
        <v>417</v>
      </c>
      <c r="M63" s="1" t="s">
        <v>418</v>
      </c>
      <c r="N63" s="1"/>
      <c r="O63" s="1" t="s">
        <v>11</v>
      </c>
      <c r="P63" s="1" t="s">
        <v>419</v>
      </c>
      <c r="Q63" s="1"/>
      <c r="R63" s="1"/>
      <c r="S63" s="1"/>
      <c r="T63" s="1"/>
      <c r="U63" s="1"/>
      <c r="V63" s="1"/>
      <c r="Y63" t="s">
        <v>11</v>
      </c>
      <c r="Z63" t="s">
        <v>4316</v>
      </c>
      <c r="AA63" t="s">
        <v>4317</v>
      </c>
      <c r="AB63" t="s">
        <v>4511</v>
      </c>
      <c r="AC63" t="s">
        <v>4512</v>
      </c>
      <c r="AD63" s="18">
        <v>46112</v>
      </c>
    </row>
    <row r="64" spans="1:30" ht="345" hidden="1">
      <c r="A64" s="1" t="s">
        <v>965</v>
      </c>
      <c r="B64" s="1">
        <v>1063</v>
      </c>
      <c r="C64" s="1">
        <v>2</v>
      </c>
      <c r="D64" s="1">
        <v>6</v>
      </c>
      <c r="E64" s="1" t="s">
        <v>4297</v>
      </c>
      <c r="F64" s="1" t="s">
        <v>4298</v>
      </c>
      <c r="G64" s="1" t="s">
        <v>4294</v>
      </c>
      <c r="H64" s="1" t="s">
        <v>420</v>
      </c>
      <c r="I64" s="1" t="s">
        <v>421</v>
      </c>
      <c r="J64" s="1" t="s">
        <v>422</v>
      </c>
      <c r="K64" s="1" t="s">
        <v>423</v>
      </c>
      <c r="L64" s="1" t="s">
        <v>424</v>
      </c>
      <c r="M64" s="1"/>
      <c r="N64" s="1"/>
      <c r="O64" s="1" t="s">
        <v>8</v>
      </c>
      <c r="P64" s="1" t="s">
        <v>425</v>
      </c>
      <c r="Q64" s="1"/>
      <c r="R64" s="1"/>
      <c r="S64" s="1"/>
      <c r="T64" s="1"/>
      <c r="U64" s="1"/>
      <c r="V64" s="1"/>
      <c r="Y64" t="s">
        <v>8</v>
      </c>
      <c r="Z64" t="s">
        <v>4316</v>
      </c>
      <c r="AA64" t="s">
        <v>4317</v>
      </c>
      <c r="AB64" t="s">
        <v>4513</v>
      </c>
      <c r="AC64" t="s">
        <v>4418</v>
      </c>
      <c r="AD64" s="18">
        <v>46112</v>
      </c>
    </row>
    <row r="65" spans="1:30" ht="210" hidden="1">
      <c r="A65" s="1" t="s">
        <v>965</v>
      </c>
      <c r="B65" s="1">
        <v>1064</v>
      </c>
      <c r="C65" s="1">
        <v>2</v>
      </c>
      <c r="D65" s="1">
        <v>7</v>
      </c>
      <c r="E65" s="1" t="s">
        <v>4297</v>
      </c>
      <c r="F65" s="1" t="s">
        <v>4298</v>
      </c>
      <c r="G65" s="1" t="s">
        <v>40</v>
      </c>
      <c r="H65" s="1" t="s">
        <v>426</v>
      </c>
      <c r="I65" s="1" t="s">
        <v>428</v>
      </c>
      <c r="J65" s="1" t="s">
        <v>429</v>
      </c>
      <c r="K65" s="1" t="s">
        <v>430</v>
      </c>
      <c r="L65" s="1" t="s">
        <v>431</v>
      </c>
      <c r="M65" s="1" t="s">
        <v>432</v>
      </c>
      <c r="N65" s="1"/>
      <c r="O65" s="1" t="s">
        <v>9</v>
      </c>
      <c r="P65" s="1" t="s">
        <v>427</v>
      </c>
      <c r="Q65" s="1"/>
      <c r="R65" s="1"/>
      <c r="S65" s="1"/>
      <c r="T65" s="1"/>
      <c r="U65" s="1"/>
      <c r="V65" s="1"/>
      <c r="Y65" t="s">
        <v>9</v>
      </c>
      <c r="Z65" t="s">
        <v>4316</v>
      </c>
      <c r="AA65" t="s">
        <v>4317</v>
      </c>
      <c r="AB65" t="s">
        <v>4514</v>
      </c>
      <c r="AC65" t="s">
        <v>4336</v>
      </c>
      <c r="AD65" s="18">
        <v>46112</v>
      </c>
    </row>
    <row r="66" spans="1:30" ht="240" hidden="1">
      <c r="A66" s="1" t="s">
        <v>965</v>
      </c>
      <c r="B66" s="1">
        <v>1065</v>
      </c>
      <c r="C66" s="1">
        <v>2</v>
      </c>
      <c r="D66" s="1">
        <v>8</v>
      </c>
      <c r="E66" s="1" t="s">
        <v>4297</v>
      </c>
      <c r="F66" s="1" t="s">
        <v>4298</v>
      </c>
      <c r="G66" s="1" t="s">
        <v>20</v>
      </c>
      <c r="H66" s="1" t="s">
        <v>433</v>
      </c>
      <c r="I66" s="1" t="s">
        <v>434</v>
      </c>
      <c r="J66" s="1" t="s">
        <v>435</v>
      </c>
      <c r="K66" s="1" t="s">
        <v>436</v>
      </c>
      <c r="L66" s="1" t="s">
        <v>437</v>
      </c>
      <c r="M66" s="1" t="s">
        <v>438</v>
      </c>
      <c r="N66" s="1"/>
      <c r="O66" s="1" t="s">
        <v>7</v>
      </c>
      <c r="P66" s="1" t="s">
        <v>439</v>
      </c>
      <c r="Q66" s="1"/>
      <c r="R66" s="1"/>
      <c r="S66" s="1"/>
      <c r="T66" s="1"/>
      <c r="U66" s="1"/>
      <c r="V66" s="1"/>
      <c r="Y66" t="s">
        <v>7</v>
      </c>
      <c r="Z66" t="s">
        <v>4316</v>
      </c>
      <c r="AA66" t="s">
        <v>4317</v>
      </c>
      <c r="AB66" t="s">
        <v>4515</v>
      </c>
      <c r="AD66" s="18">
        <v>46112</v>
      </c>
    </row>
    <row r="67" spans="1:30" ht="135" hidden="1">
      <c r="A67" s="1" t="s">
        <v>965</v>
      </c>
      <c r="B67" s="1">
        <v>1066</v>
      </c>
      <c r="C67" s="1">
        <v>2</v>
      </c>
      <c r="D67" s="1">
        <v>9</v>
      </c>
      <c r="E67" s="1" t="s">
        <v>4297</v>
      </c>
      <c r="F67" s="1" t="s">
        <v>4301</v>
      </c>
      <c r="G67" s="1" t="s">
        <v>20</v>
      </c>
      <c r="H67" s="1" t="s">
        <v>440</v>
      </c>
      <c r="I67" s="1" t="s">
        <v>441</v>
      </c>
      <c r="J67" s="1" t="s">
        <v>442</v>
      </c>
      <c r="K67" s="1" t="s">
        <v>443</v>
      </c>
      <c r="L67" s="1" t="s">
        <v>444</v>
      </c>
      <c r="M67" s="1"/>
      <c r="N67" s="1"/>
      <c r="O67" s="1" t="s">
        <v>9</v>
      </c>
      <c r="P67" s="1" t="s">
        <v>445</v>
      </c>
      <c r="Q67" s="1"/>
      <c r="R67" s="1"/>
      <c r="S67" s="1"/>
      <c r="T67" s="1"/>
      <c r="U67" s="1"/>
      <c r="V67" s="1"/>
      <c r="Y67" t="s">
        <v>9</v>
      </c>
      <c r="Z67" t="s">
        <v>4316</v>
      </c>
      <c r="AA67" t="s">
        <v>4317</v>
      </c>
      <c r="AB67" t="s">
        <v>4516</v>
      </c>
      <c r="AC67" t="s">
        <v>4517</v>
      </c>
      <c r="AD67" s="18">
        <v>46112</v>
      </c>
    </row>
    <row r="68" spans="1:30" ht="210" hidden="1">
      <c r="A68" s="1" t="s">
        <v>965</v>
      </c>
      <c r="B68" s="1">
        <v>1067</v>
      </c>
      <c r="C68" s="1">
        <v>2</v>
      </c>
      <c r="D68" s="1">
        <v>10</v>
      </c>
      <c r="E68" s="1" t="s">
        <v>4297</v>
      </c>
      <c r="F68" s="1" t="s">
        <v>4298</v>
      </c>
      <c r="G68" s="1" t="s">
        <v>4294</v>
      </c>
      <c r="H68" s="1" t="s">
        <v>446</v>
      </c>
      <c r="I68" s="1" t="s">
        <v>447</v>
      </c>
      <c r="J68" s="1" t="s">
        <v>448</v>
      </c>
      <c r="K68" s="1" t="s">
        <v>449</v>
      </c>
      <c r="L68" s="1" t="s">
        <v>450</v>
      </c>
      <c r="M68" s="1" t="s">
        <v>448</v>
      </c>
      <c r="N68" s="1"/>
      <c r="O68" s="1" t="s">
        <v>7</v>
      </c>
      <c r="P68" s="1" t="s">
        <v>451</v>
      </c>
      <c r="Q68" s="1"/>
      <c r="R68" s="1"/>
      <c r="S68" s="1"/>
      <c r="T68" s="1">
        <v>1</v>
      </c>
      <c r="U68" s="1"/>
      <c r="V68" s="1"/>
      <c r="Y68" t="s">
        <v>7</v>
      </c>
      <c r="Z68" t="s">
        <v>4316</v>
      </c>
      <c r="AA68" t="s">
        <v>4317</v>
      </c>
      <c r="AB68" t="s">
        <v>4518</v>
      </c>
      <c r="AC68" t="s">
        <v>4418</v>
      </c>
      <c r="AD68" s="18">
        <v>46112</v>
      </c>
    </row>
    <row r="69" spans="1:30" ht="45" hidden="1">
      <c r="A69" s="1" t="s">
        <v>965</v>
      </c>
      <c r="B69" s="1">
        <v>1068</v>
      </c>
      <c r="C69" s="1">
        <v>2</v>
      </c>
      <c r="D69" s="1">
        <v>11</v>
      </c>
      <c r="E69" s="1" t="s">
        <v>4297</v>
      </c>
      <c r="F69" s="1" t="s">
        <v>4298</v>
      </c>
      <c r="G69" s="1" t="s">
        <v>20</v>
      </c>
      <c r="H69" s="1" t="s">
        <v>452</v>
      </c>
      <c r="I69" s="1" t="s">
        <v>453</v>
      </c>
      <c r="J69" s="1" t="s">
        <v>454</v>
      </c>
      <c r="K69" s="1" t="s">
        <v>455</v>
      </c>
      <c r="L69" s="1" t="s">
        <v>456</v>
      </c>
      <c r="M69" s="1"/>
      <c r="N69" s="1"/>
      <c r="O69" s="1" t="s">
        <v>9</v>
      </c>
      <c r="P69" s="1" t="s">
        <v>457</v>
      </c>
      <c r="Q69" s="1"/>
      <c r="R69" s="1"/>
      <c r="S69" s="1"/>
      <c r="T69" s="1"/>
      <c r="U69" s="1"/>
      <c r="V69" s="1"/>
      <c r="Y69" t="s">
        <v>9</v>
      </c>
      <c r="Z69" t="s">
        <v>4316</v>
      </c>
      <c r="AA69" t="s">
        <v>4317</v>
      </c>
      <c r="AB69" t="s">
        <v>4519</v>
      </c>
      <c r="AC69" t="s">
        <v>4327</v>
      </c>
      <c r="AD69" s="18">
        <v>46112</v>
      </c>
    </row>
    <row r="70" spans="1:30" ht="60" hidden="1">
      <c r="A70" s="1" t="s">
        <v>965</v>
      </c>
      <c r="B70" s="1">
        <v>1069</v>
      </c>
      <c r="C70" s="1">
        <v>2</v>
      </c>
      <c r="D70" s="1">
        <v>12</v>
      </c>
      <c r="E70" s="1" t="s">
        <v>4297</v>
      </c>
      <c r="F70" s="1" t="s">
        <v>4298</v>
      </c>
      <c r="G70" s="1" t="s">
        <v>20</v>
      </c>
      <c r="H70" s="1" t="s">
        <v>458</v>
      </c>
      <c r="I70" s="1" t="s">
        <v>459</v>
      </c>
      <c r="J70" s="1" t="s">
        <v>460</v>
      </c>
      <c r="K70" s="1" t="s">
        <v>461</v>
      </c>
      <c r="L70" s="1" t="s">
        <v>462</v>
      </c>
      <c r="M70" s="1"/>
      <c r="N70" s="1"/>
      <c r="O70" s="1" t="s">
        <v>9</v>
      </c>
      <c r="P70" s="1" t="s">
        <v>463</v>
      </c>
      <c r="Q70" s="1"/>
      <c r="R70" s="1"/>
      <c r="S70" s="1"/>
      <c r="T70" s="1">
        <v>1</v>
      </c>
      <c r="U70" s="1"/>
      <c r="V70" s="1"/>
      <c r="Y70" t="s">
        <v>9</v>
      </c>
      <c r="Z70" t="s">
        <v>4316</v>
      </c>
      <c r="AA70" t="s">
        <v>4317</v>
      </c>
      <c r="AB70" t="s">
        <v>4520</v>
      </c>
      <c r="AC70" t="s">
        <v>4327</v>
      </c>
      <c r="AD70" s="18">
        <v>46112</v>
      </c>
    </row>
    <row r="71" spans="1:30" ht="210" hidden="1">
      <c r="A71" s="1" t="s">
        <v>965</v>
      </c>
      <c r="B71" s="1">
        <v>1070</v>
      </c>
      <c r="C71" s="1">
        <v>2</v>
      </c>
      <c r="D71" s="1">
        <v>13</v>
      </c>
      <c r="E71" s="1" t="s">
        <v>4292</v>
      </c>
      <c r="F71" s="1" t="s">
        <v>4303</v>
      </c>
      <c r="G71" s="1" t="s">
        <v>4294</v>
      </c>
      <c r="H71" s="1" t="s">
        <v>464</v>
      </c>
      <c r="I71" s="1" t="s">
        <v>465</v>
      </c>
      <c r="J71" s="1" t="s">
        <v>466</v>
      </c>
      <c r="K71" s="1" t="s">
        <v>467</v>
      </c>
      <c r="L71" s="1" t="s">
        <v>468</v>
      </c>
      <c r="M71" s="1"/>
      <c r="N71" s="1"/>
      <c r="O71" s="1" t="s">
        <v>7</v>
      </c>
      <c r="P71" s="1" t="s">
        <v>469</v>
      </c>
      <c r="Q71" s="1"/>
      <c r="R71" s="1"/>
      <c r="S71" s="1"/>
      <c r="T71" s="1"/>
      <c r="U71" s="1"/>
      <c r="V71" s="1"/>
      <c r="Y71" t="s">
        <v>7</v>
      </c>
      <c r="Z71" t="s">
        <v>4316</v>
      </c>
      <c r="AA71" t="s">
        <v>4317</v>
      </c>
      <c r="AB71" t="s">
        <v>4521</v>
      </c>
      <c r="AC71" t="s">
        <v>4338</v>
      </c>
      <c r="AD71" s="18">
        <v>46112</v>
      </c>
    </row>
    <row r="72" spans="1:30" ht="90" hidden="1">
      <c r="A72" s="1" t="s">
        <v>965</v>
      </c>
      <c r="B72" s="1">
        <v>1071</v>
      </c>
      <c r="C72" s="1">
        <v>2</v>
      </c>
      <c r="D72" s="1">
        <v>14</v>
      </c>
      <c r="E72" s="1" t="s">
        <v>4297</v>
      </c>
      <c r="F72" s="1" t="s">
        <v>4298</v>
      </c>
      <c r="G72" s="1" t="s">
        <v>20</v>
      </c>
      <c r="H72" s="1" t="s">
        <v>470</v>
      </c>
      <c r="I72" s="1" t="s">
        <v>471</v>
      </c>
      <c r="J72" s="1" t="s">
        <v>472</v>
      </c>
      <c r="K72" s="1" t="s">
        <v>473</v>
      </c>
      <c r="L72" s="1" t="s">
        <v>474</v>
      </c>
      <c r="M72" s="1"/>
      <c r="N72" s="1"/>
      <c r="O72" s="1" t="s">
        <v>9</v>
      </c>
      <c r="P72" s="1" t="s">
        <v>475</v>
      </c>
      <c r="Q72" s="1"/>
      <c r="R72" s="1"/>
      <c r="S72" s="1"/>
      <c r="T72" s="1"/>
      <c r="U72" s="1"/>
      <c r="V72" s="1"/>
      <c r="Y72" t="s">
        <v>9</v>
      </c>
      <c r="Z72" t="s">
        <v>4316</v>
      </c>
      <c r="AA72" t="s">
        <v>4317</v>
      </c>
      <c r="AB72" t="s">
        <v>4522</v>
      </c>
      <c r="AC72" t="s">
        <v>4327</v>
      </c>
      <c r="AD72" s="18">
        <v>46112</v>
      </c>
    </row>
    <row r="73" spans="1:30" ht="45" hidden="1">
      <c r="A73" s="1" t="s">
        <v>965</v>
      </c>
      <c r="B73" s="1">
        <v>1072</v>
      </c>
      <c r="C73" s="1">
        <v>2</v>
      </c>
      <c r="D73" s="1">
        <v>15</v>
      </c>
      <c r="E73" s="1" t="s">
        <v>4297</v>
      </c>
      <c r="F73" s="1" t="s">
        <v>4298</v>
      </c>
      <c r="G73" s="1" t="s">
        <v>20</v>
      </c>
      <c r="H73" s="1" t="s">
        <v>476</v>
      </c>
      <c r="I73" s="1" t="s">
        <v>477</v>
      </c>
      <c r="J73" s="1" t="s">
        <v>478</v>
      </c>
      <c r="K73" s="1" t="s">
        <v>479</v>
      </c>
      <c r="L73" s="1" t="s">
        <v>455</v>
      </c>
      <c r="M73" s="1"/>
      <c r="N73" s="1"/>
      <c r="O73" s="1" t="s">
        <v>10</v>
      </c>
      <c r="P73" s="1" t="s">
        <v>480</v>
      </c>
      <c r="Q73" s="1"/>
      <c r="R73" s="1"/>
      <c r="S73" s="1"/>
      <c r="T73" s="1">
        <v>1</v>
      </c>
      <c r="U73" s="1"/>
      <c r="V73" s="1"/>
      <c r="Y73" t="s">
        <v>10</v>
      </c>
      <c r="Z73" t="s">
        <v>4316</v>
      </c>
      <c r="AA73" t="s">
        <v>4317</v>
      </c>
      <c r="AB73" t="s">
        <v>4523</v>
      </c>
      <c r="AC73" t="s">
        <v>4327</v>
      </c>
      <c r="AD73" s="18">
        <v>46112</v>
      </c>
    </row>
    <row r="74" spans="1:30" ht="105" hidden="1">
      <c r="A74" s="1" t="s">
        <v>965</v>
      </c>
      <c r="B74" s="1">
        <v>1073</v>
      </c>
      <c r="C74" s="1">
        <v>2</v>
      </c>
      <c r="D74" s="1">
        <v>16</v>
      </c>
      <c r="E74" s="1" t="s">
        <v>4297</v>
      </c>
      <c r="F74" s="1" t="s">
        <v>4299</v>
      </c>
      <c r="G74" s="1" t="s">
        <v>20</v>
      </c>
      <c r="H74" s="1" t="s">
        <v>481</v>
      </c>
      <c r="I74" s="1" t="s">
        <v>482</v>
      </c>
      <c r="J74" s="1" t="s">
        <v>483</v>
      </c>
      <c r="K74" s="1" t="s">
        <v>484</v>
      </c>
      <c r="L74" s="1" t="s">
        <v>485</v>
      </c>
      <c r="M74" s="1"/>
      <c r="N74" s="1"/>
      <c r="O74" s="1" t="s">
        <v>8</v>
      </c>
      <c r="P74" s="1" t="s">
        <v>486</v>
      </c>
      <c r="Q74" s="1"/>
      <c r="R74" s="1"/>
      <c r="S74" s="1"/>
      <c r="T74" s="1"/>
      <c r="U74" s="1"/>
      <c r="V74" s="1"/>
      <c r="Y74" t="s">
        <v>8</v>
      </c>
      <c r="Z74" t="s">
        <v>4316</v>
      </c>
      <c r="AA74" t="s">
        <v>4317</v>
      </c>
      <c r="AB74" t="s">
        <v>4524</v>
      </c>
      <c r="AC74" t="s">
        <v>4327</v>
      </c>
      <c r="AD74" s="18">
        <v>46112</v>
      </c>
    </row>
    <row r="75" spans="1:30" ht="135" hidden="1">
      <c r="A75" s="1" t="s">
        <v>965</v>
      </c>
      <c r="B75" s="1">
        <v>1074</v>
      </c>
      <c r="C75" s="1">
        <v>2</v>
      </c>
      <c r="D75" s="1">
        <v>17</v>
      </c>
      <c r="E75" s="1" t="s">
        <v>4297</v>
      </c>
      <c r="F75" s="1" t="s">
        <v>4298</v>
      </c>
      <c r="G75" s="1" t="s">
        <v>40</v>
      </c>
      <c r="H75" s="1" t="s">
        <v>487</v>
      </c>
      <c r="I75" s="1" t="s">
        <v>152</v>
      </c>
      <c r="J75" s="1" t="s">
        <v>488</v>
      </c>
      <c r="K75" s="1" t="s">
        <v>489</v>
      </c>
      <c r="L75" s="1" t="s">
        <v>154</v>
      </c>
      <c r="M75" s="1" t="s">
        <v>490</v>
      </c>
      <c r="N75" s="1"/>
      <c r="O75" s="1" t="s">
        <v>10</v>
      </c>
      <c r="P75" s="1" t="s">
        <v>491</v>
      </c>
      <c r="Q75" s="1"/>
      <c r="R75" s="1"/>
      <c r="S75" s="1"/>
      <c r="T75" s="1"/>
      <c r="U75" s="1"/>
      <c r="V75" s="1"/>
      <c r="Y75" t="s">
        <v>10</v>
      </c>
      <c r="Z75" t="s">
        <v>4316</v>
      </c>
      <c r="AA75" t="s">
        <v>4317</v>
      </c>
      <c r="AB75" t="s">
        <v>4525</v>
      </c>
      <c r="AC75" t="s">
        <v>4325</v>
      </c>
      <c r="AD75" s="18">
        <v>46112</v>
      </c>
    </row>
    <row r="76" spans="1:30" ht="150" hidden="1">
      <c r="A76" s="1" t="s">
        <v>965</v>
      </c>
      <c r="B76" s="1">
        <v>1075</v>
      </c>
      <c r="C76" s="1">
        <v>2</v>
      </c>
      <c r="D76" s="1">
        <v>18</v>
      </c>
      <c r="E76" s="1" t="s">
        <v>4297</v>
      </c>
      <c r="F76" s="1" t="s">
        <v>4299</v>
      </c>
      <c r="G76" s="1" t="s">
        <v>20</v>
      </c>
      <c r="H76" s="1" t="s">
        <v>492</v>
      </c>
      <c r="I76" s="1" t="s">
        <v>493</v>
      </c>
      <c r="J76" s="1" t="s">
        <v>494</v>
      </c>
      <c r="K76" s="1" t="s">
        <v>495</v>
      </c>
      <c r="L76" s="1" t="s">
        <v>496</v>
      </c>
      <c r="M76" s="1" t="s">
        <v>497</v>
      </c>
      <c r="N76" s="1"/>
      <c r="O76" s="1" t="s">
        <v>8</v>
      </c>
      <c r="P76" s="1" t="s">
        <v>498</v>
      </c>
      <c r="Q76" s="1"/>
      <c r="R76" s="1"/>
      <c r="S76" s="1"/>
      <c r="T76" s="1"/>
      <c r="U76" s="1"/>
      <c r="V76" s="1"/>
      <c r="Y76" t="s">
        <v>8</v>
      </c>
      <c r="Z76" t="s">
        <v>4316</v>
      </c>
      <c r="AA76" t="s">
        <v>4317</v>
      </c>
      <c r="AB76" t="s">
        <v>4526</v>
      </c>
      <c r="AC76" t="s">
        <v>4327</v>
      </c>
      <c r="AD76" s="18">
        <v>46112</v>
      </c>
    </row>
    <row r="77" spans="1:30" ht="390" hidden="1">
      <c r="A77" s="1" t="s">
        <v>965</v>
      </c>
      <c r="B77" s="1">
        <v>1076</v>
      </c>
      <c r="C77" s="1">
        <v>2</v>
      </c>
      <c r="D77" s="1">
        <v>19</v>
      </c>
      <c r="E77" s="1" t="s">
        <v>4297</v>
      </c>
      <c r="F77" s="1" t="s">
        <v>4298</v>
      </c>
      <c r="G77" s="1" t="s">
        <v>4294</v>
      </c>
      <c r="H77" s="1" t="s">
        <v>499</v>
      </c>
      <c r="I77" s="1" t="s">
        <v>506</v>
      </c>
      <c r="J77" s="1" t="s">
        <v>507</v>
      </c>
      <c r="K77" s="1" t="s">
        <v>508</v>
      </c>
      <c r="L77" s="1" t="s">
        <v>509</v>
      </c>
      <c r="M77" s="1"/>
      <c r="N77" s="1"/>
      <c r="O77" s="1" t="s">
        <v>10</v>
      </c>
      <c r="P77" s="1" t="s">
        <v>510</v>
      </c>
      <c r="Q77" s="1"/>
      <c r="R77" s="1"/>
      <c r="S77" s="1"/>
      <c r="T77" s="1">
        <v>1</v>
      </c>
      <c r="U77" s="1"/>
      <c r="V77" s="1"/>
      <c r="Y77" t="s">
        <v>10</v>
      </c>
      <c r="Z77" t="s">
        <v>4316</v>
      </c>
      <c r="AA77" t="s">
        <v>4317</v>
      </c>
      <c r="AB77" t="s">
        <v>4527</v>
      </c>
      <c r="AC77" t="s">
        <v>4323</v>
      </c>
      <c r="AD77" s="18">
        <v>46112</v>
      </c>
    </row>
    <row r="78" spans="1:30" ht="210" hidden="1">
      <c r="A78" s="1" t="s">
        <v>965</v>
      </c>
      <c r="B78" s="1">
        <v>1077</v>
      </c>
      <c r="C78" s="1">
        <v>2</v>
      </c>
      <c r="D78" s="1">
        <v>20</v>
      </c>
      <c r="E78" s="1" t="s">
        <v>4297</v>
      </c>
      <c r="F78" s="1" t="s">
        <v>4298</v>
      </c>
      <c r="G78" s="1" t="s">
        <v>40</v>
      </c>
      <c r="H78" s="1" t="s">
        <v>511</v>
      </c>
      <c r="I78" s="1" t="s">
        <v>512</v>
      </c>
      <c r="J78" s="1" t="s">
        <v>513</v>
      </c>
      <c r="K78" s="1" t="s">
        <v>514</v>
      </c>
      <c r="L78" s="1" t="s">
        <v>515</v>
      </c>
      <c r="M78" s="1" t="s">
        <v>516</v>
      </c>
      <c r="N78" s="1"/>
      <c r="O78" s="1" t="s">
        <v>11</v>
      </c>
      <c r="P78" s="1" t="s">
        <v>517</v>
      </c>
      <c r="Q78" s="1"/>
      <c r="R78" s="1"/>
      <c r="S78" s="1"/>
      <c r="T78" s="1"/>
      <c r="U78" s="1"/>
      <c r="V78" s="1"/>
      <c r="Y78" t="s">
        <v>11</v>
      </c>
      <c r="Z78" t="s">
        <v>4316</v>
      </c>
      <c r="AA78" t="s">
        <v>4317</v>
      </c>
      <c r="AB78" t="s">
        <v>4528</v>
      </c>
      <c r="AC78" t="s">
        <v>4325</v>
      </c>
      <c r="AD78" s="18">
        <v>46112</v>
      </c>
    </row>
    <row r="79" spans="1:30" ht="165" hidden="1">
      <c r="A79" s="1" t="s">
        <v>965</v>
      </c>
      <c r="B79" s="1">
        <v>1078</v>
      </c>
      <c r="C79" s="1">
        <v>2</v>
      </c>
      <c r="D79" s="1">
        <v>21</v>
      </c>
      <c r="E79" s="1" t="s">
        <v>4297</v>
      </c>
      <c r="F79" s="1" t="s">
        <v>4298</v>
      </c>
      <c r="G79" s="1" t="s">
        <v>4294</v>
      </c>
      <c r="H79" s="1" t="s">
        <v>518</v>
      </c>
      <c r="I79" s="1" t="s">
        <v>519</v>
      </c>
      <c r="J79" s="1" t="s">
        <v>520</v>
      </c>
      <c r="K79" s="1" t="s">
        <v>521</v>
      </c>
      <c r="L79" s="1" t="s">
        <v>522</v>
      </c>
      <c r="M79" s="1"/>
      <c r="N79" s="1"/>
      <c r="O79" s="1" t="s">
        <v>7</v>
      </c>
      <c r="P79" s="1" t="s">
        <v>523</v>
      </c>
      <c r="Q79" s="1"/>
      <c r="R79" s="1"/>
      <c r="S79" s="1"/>
      <c r="T79" s="1"/>
      <c r="U79" s="1"/>
      <c r="V79" s="1"/>
      <c r="Y79" t="s">
        <v>7</v>
      </c>
      <c r="Z79" t="s">
        <v>4316</v>
      </c>
      <c r="AA79" t="s">
        <v>4317</v>
      </c>
      <c r="AB79" t="s">
        <v>4529</v>
      </c>
      <c r="AC79" t="s">
        <v>4325</v>
      </c>
      <c r="AD79" s="18">
        <v>46112</v>
      </c>
    </row>
    <row r="80" spans="1:30" ht="409.5" hidden="1">
      <c r="A80" s="1" t="s">
        <v>965</v>
      </c>
      <c r="B80" s="1">
        <v>1079</v>
      </c>
      <c r="C80" s="1">
        <v>2</v>
      </c>
      <c r="D80" s="1">
        <v>22</v>
      </c>
      <c r="E80" s="1" t="s">
        <v>4297</v>
      </c>
      <c r="F80" s="1" t="s">
        <v>4298</v>
      </c>
      <c r="G80" s="1" t="s">
        <v>40</v>
      </c>
      <c r="H80" s="1" t="s">
        <v>524</v>
      </c>
      <c r="I80" s="1" t="s">
        <v>525</v>
      </c>
      <c r="J80" s="1" t="s">
        <v>526</v>
      </c>
      <c r="K80" s="1" t="s">
        <v>527</v>
      </c>
      <c r="L80" s="1" t="s">
        <v>528</v>
      </c>
      <c r="M80" s="1" t="s">
        <v>529</v>
      </c>
      <c r="N80" s="1"/>
      <c r="O80" s="1" t="s">
        <v>7</v>
      </c>
      <c r="P80" s="1" t="s">
        <v>530</v>
      </c>
      <c r="Q80" s="1"/>
      <c r="R80" s="1"/>
      <c r="S80" s="1"/>
      <c r="T80" s="1"/>
      <c r="U80" s="1"/>
      <c r="V80" s="1"/>
      <c r="Y80" t="s">
        <v>7</v>
      </c>
      <c r="Z80" t="s">
        <v>4316</v>
      </c>
      <c r="AA80" t="s">
        <v>4317</v>
      </c>
      <c r="AB80" t="s">
        <v>4530</v>
      </c>
      <c r="AC80" t="s">
        <v>4327</v>
      </c>
      <c r="AD80" s="18">
        <v>46112</v>
      </c>
    </row>
    <row r="81" spans="1:30" ht="345" hidden="1">
      <c r="A81" s="1" t="s">
        <v>965</v>
      </c>
      <c r="B81" s="1">
        <v>1080</v>
      </c>
      <c r="C81" s="1">
        <v>2</v>
      </c>
      <c r="D81" s="1">
        <v>23</v>
      </c>
      <c r="E81" s="1" t="s">
        <v>4290</v>
      </c>
      <c r="F81" s="1" t="s">
        <v>4302</v>
      </c>
      <c r="G81" s="1" t="s">
        <v>20</v>
      </c>
      <c r="H81" s="1" t="s">
        <v>531</v>
      </c>
      <c r="I81" s="1" t="s">
        <v>532</v>
      </c>
      <c r="J81" s="1" t="s">
        <v>533</v>
      </c>
      <c r="K81" s="1" t="s">
        <v>534</v>
      </c>
      <c r="L81" s="1" t="s">
        <v>535</v>
      </c>
      <c r="M81" s="1"/>
      <c r="N81" s="1"/>
      <c r="O81" s="1" t="s">
        <v>9</v>
      </c>
      <c r="P81" s="1" t="s">
        <v>536</v>
      </c>
      <c r="Q81" s="1"/>
      <c r="R81" s="1"/>
      <c r="S81" s="1"/>
      <c r="T81" s="1"/>
      <c r="U81" s="1"/>
      <c r="V81" s="1"/>
      <c r="Y81" t="s">
        <v>9</v>
      </c>
      <c r="Z81" t="s">
        <v>4316</v>
      </c>
      <c r="AA81" t="s">
        <v>4317</v>
      </c>
      <c r="AB81" t="s">
        <v>4531</v>
      </c>
      <c r="AC81" t="s">
        <v>4402</v>
      </c>
      <c r="AD81" s="18">
        <v>46112</v>
      </c>
    </row>
    <row r="82" spans="1:30" ht="409.5" hidden="1">
      <c r="A82" s="1" t="s">
        <v>965</v>
      </c>
      <c r="B82" s="1">
        <v>1081</v>
      </c>
      <c r="C82" s="1">
        <v>2</v>
      </c>
      <c r="D82" s="1">
        <v>24</v>
      </c>
      <c r="E82" s="1" t="s">
        <v>4292</v>
      </c>
      <c r="F82" s="1" t="s">
        <v>4304</v>
      </c>
      <c r="G82" s="1" t="s">
        <v>4294</v>
      </c>
      <c r="H82" s="1" t="s">
        <v>537</v>
      </c>
      <c r="I82" s="1" t="s">
        <v>538</v>
      </c>
      <c r="J82" s="1" t="s">
        <v>539</v>
      </c>
      <c r="K82" s="1" t="s">
        <v>540</v>
      </c>
      <c r="L82" s="1" t="s">
        <v>541</v>
      </c>
      <c r="M82" s="1"/>
      <c r="N82" s="1"/>
      <c r="O82" s="1" t="s">
        <v>10</v>
      </c>
      <c r="P82" s="1" t="s">
        <v>542</v>
      </c>
      <c r="Q82" s="1"/>
      <c r="R82" s="1"/>
      <c r="S82" s="1"/>
      <c r="T82" s="1"/>
      <c r="U82" s="1"/>
      <c r="V82" s="1"/>
      <c r="Y82" t="s">
        <v>10</v>
      </c>
      <c r="Z82" t="s">
        <v>4316</v>
      </c>
      <c r="AA82" t="s">
        <v>4317</v>
      </c>
      <c r="AB82" t="s">
        <v>4532</v>
      </c>
      <c r="AC82" t="s">
        <v>4321</v>
      </c>
      <c r="AD82" s="18">
        <v>46112</v>
      </c>
    </row>
    <row r="83" spans="1:30" ht="409.5" hidden="1">
      <c r="A83" s="1" t="s">
        <v>965</v>
      </c>
      <c r="B83" s="1">
        <v>1082</v>
      </c>
      <c r="C83" s="1">
        <v>2</v>
      </c>
      <c r="D83" s="1">
        <v>25</v>
      </c>
      <c r="E83" s="1" t="s">
        <v>4297</v>
      </c>
      <c r="F83" s="1" t="s">
        <v>4298</v>
      </c>
      <c r="G83" s="1" t="s">
        <v>20</v>
      </c>
      <c r="H83" s="1" t="s">
        <v>543</v>
      </c>
      <c r="I83" s="1" t="s">
        <v>544</v>
      </c>
      <c r="J83" s="1" t="s">
        <v>545</v>
      </c>
      <c r="K83" s="1" t="s">
        <v>393</v>
      </c>
      <c r="L83" s="1" t="s">
        <v>392</v>
      </c>
      <c r="M83" s="1"/>
      <c r="N83" s="1"/>
      <c r="O83" s="1" t="s">
        <v>7</v>
      </c>
      <c r="P83" s="1" t="s">
        <v>546</v>
      </c>
      <c r="Q83" s="1"/>
      <c r="R83" s="1"/>
      <c r="S83" s="1"/>
      <c r="T83" s="1"/>
      <c r="U83" s="1"/>
      <c r="V83" s="1"/>
      <c r="Y83" t="s">
        <v>7</v>
      </c>
      <c r="Z83" t="s">
        <v>4316</v>
      </c>
      <c r="AA83" t="s">
        <v>4317</v>
      </c>
      <c r="AB83" t="s">
        <v>4533</v>
      </c>
      <c r="AC83" t="s">
        <v>4327</v>
      </c>
      <c r="AD83" s="18">
        <v>46112</v>
      </c>
    </row>
    <row r="84" spans="1:30" ht="409.5" hidden="1">
      <c r="A84" s="1" t="s">
        <v>965</v>
      </c>
      <c r="B84" s="1">
        <v>1083</v>
      </c>
      <c r="C84" s="1">
        <v>2</v>
      </c>
      <c r="D84" s="1">
        <v>26</v>
      </c>
      <c r="E84" s="1" t="s">
        <v>4297</v>
      </c>
      <c r="F84" s="1" t="s">
        <v>4298</v>
      </c>
      <c r="G84" s="1" t="s">
        <v>20</v>
      </c>
      <c r="H84" s="1" t="s">
        <v>547</v>
      </c>
      <c r="I84" s="1" t="s">
        <v>548</v>
      </c>
      <c r="J84" s="1" t="s">
        <v>549</v>
      </c>
      <c r="K84" s="1" t="s">
        <v>550</v>
      </c>
      <c r="L84" s="1" t="s">
        <v>551</v>
      </c>
      <c r="M84" s="1"/>
      <c r="N84" s="1"/>
      <c r="O84" s="1" t="s">
        <v>7</v>
      </c>
      <c r="P84" s="1" t="s">
        <v>552</v>
      </c>
      <c r="Q84" s="1"/>
      <c r="R84" s="1"/>
      <c r="S84" s="1"/>
      <c r="T84" s="1">
        <v>1</v>
      </c>
      <c r="U84" s="1"/>
      <c r="V84" s="1"/>
      <c r="Y84" t="s">
        <v>7</v>
      </c>
      <c r="Z84" t="s">
        <v>4316</v>
      </c>
      <c r="AA84" t="s">
        <v>4317</v>
      </c>
      <c r="AB84" t="s">
        <v>4534</v>
      </c>
      <c r="AC84" t="s">
        <v>4327</v>
      </c>
      <c r="AD84" s="18">
        <v>46112</v>
      </c>
    </row>
    <row r="85" spans="1:30" ht="409.5" hidden="1">
      <c r="A85" s="1" t="s">
        <v>965</v>
      </c>
      <c r="B85" s="1">
        <v>1084</v>
      </c>
      <c r="C85" s="1">
        <v>2</v>
      </c>
      <c r="D85" s="1">
        <v>27</v>
      </c>
      <c r="E85" s="1" t="s">
        <v>4297</v>
      </c>
      <c r="F85" s="1" t="s">
        <v>4299</v>
      </c>
      <c r="G85" s="1" t="s">
        <v>4294</v>
      </c>
      <c r="H85" s="1" t="s">
        <v>553</v>
      </c>
      <c r="I85" s="1" t="s">
        <v>554</v>
      </c>
      <c r="J85" s="1" t="s">
        <v>555</v>
      </c>
      <c r="K85" s="1" t="s">
        <v>556</v>
      </c>
      <c r="L85" s="1" t="s">
        <v>557</v>
      </c>
      <c r="M85" s="1" t="s">
        <v>558</v>
      </c>
      <c r="N85" s="1"/>
      <c r="O85" s="1" t="s">
        <v>11</v>
      </c>
      <c r="P85" s="1" t="s">
        <v>559</v>
      </c>
      <c r="Q85" s="1"/>
      <c r="R85" s="1"/>
      <c r="S85" s="1"/>
      <c r="T85" s="1">
        <v>1</v>
      </c>
      <c r="U85" s="1"/>
      <c r="V85" s="1"/>
      <c r="Y85" t="s">
        <v>11</v>
      </c>
      <c r="Z85" t="s">
        <v>4316</v>
      </c>
      <c r="AA85" t="s">
        <v>4317</v>
      </c>
      <c r="AB85" t="s">
        <v>4535</v>
      </c>
      <c r="AC85" t="s">
        <v>4336</v>
      </c>
      <c r="AD85" s="18">
        <v>46112</v>
      </c>
    </row>
    <row r="86" spans="1:30" ht="409.5" hidden="1">
      <c r="A86" s="1" t="s">
        <v>965</v>
      </c>
      <c r="B86" s="1">
        <v>1085</v>
      </c>
      <c r="C86" s="1">
        <v>2</v>
      </c>
      <c r="D86" s="1">
        <v>28</v>
      </c>
      <c r="E86" s="1" t="s">
        <v>4297</v>
      </c>
      <c r="F86" s="1" t="s">
        <v>4299</v>
      </c>
      <c r="G86" s="1" t="s">
        <v>4294</v>
      </c>
      <c r="H86" s="1" t="s">
        <v>560</v>
      </c>
      <c r="I86" s="1" t="s">
        <v>561</v>
      </c>
      <c r="J86" s="1" t="s">
        <v>562</v>
      </c>
      <c r="K86" s="1" t="s">
        <v>563</v>
      </c>
      <c r="L86" s="1" t="s">
        <v>564</v>
      </c>
      <c r="M86" s="1" t="s">
        <v>554</v>
      </c>
      <c r="N86" s="1"/>
      <c r="O86" s="1" t="s">
        <v>8</v>
      </c>
      <c r="P86" s="1" t="s">
        <v>565</v>
      </c>
      <c r="Q86" s="1"/>
      <c r="R86" s="1"/>
      <c r="S86" s="1"/>
      <c r="T86" s="1"/>
      <c r="U86" s="1"/>
      <c r="V86" s="1"/>
      <c r="Y86" t="s">
        <v>8</v>
      </c>
      <c r="Z86" t="s">
        <v>4316</v>
      </c>
      <c r="AA86" t="s">
        <v>4317</v>
      </c>
      <c r="AB86" t="s">
        <v>4536</v>
      </c>
      <c r="AC86" t="s">
        <v>4336</v>
      </c>
      <c r="AD86" s="18">
        <v>46112</v>
      </c>
    </row>
    <row r="87" spans="1:30" ht="409.5" hidden="1">
      <c r="A87" s="1" t="s">
        <v>965</v>
      </c>
      <c r="B87" s="1">
        <v>1086</v>
      </c>
      <c r="C87" s="1">
        <v>2</v>
      </c>
      <c r="D87" s="1">
        <v>29</v>
      </c>
      <c r="E87" s="1" t="s">
        <v>4290</v>
      </c>
      <c r="F87" s="1" t="s">
        <v>4302</v>
      </c>
      <c r="G87" s="1" t="s">
        <v>40</v>
      </c>
      <c r="H87" s="1" t="s">
        <v>566</v>
      </c>
      <c r="I87" s="1" t="s">
        <v>567</v>
      </c>
      <c r="J87" s="1" t="s">
        <v>568</v>
      </c>
      <c r="K87" s="1" t="s">
        <v>569</v>
      </c>
      <c r="L87" s="1" t="s">
        <v>570</v>
      </c>
      <c r="M87" s="1"/>
      <c r="N87" s="1"/>
      <c r="O87" s="1" t="s">
        <v>8</v>
      </c>
      <c r="P87" s="1" t="s">
        <v>571</v>
      </c>
      <c r="Q87" s="1"/>
      <c r="R87" s="1"/>
      <c r="S87" s="1"/>
      <c r="T87" s="1">
        <v>1</v>
      </c>
      <c r="U87" s="1"/>
      <c r="V87" s="1"/>
      <c r="Y87" t="s">
        <v>8</v>
      </c>
      <c r="Z87" t="s">
        <v>4316</v>
      </c>
      <c r="AA87" t="s">
        <v>4317</v>
      </c>
      <c r="AB87" t="s">
        <v>4537</v>
      </c>
      <c r="AC87" t="s">
        <v>4517</v>
      </c>
      <c r="AD87" s="18">
        <v>46112</v>
      </c>
    </row>
    <row r="88" spans="1:30" ht="180" hidden="1">
      <c r="A88" s="1" t="s">
        <v>965</v>
      </c>
      <c r="B88" s="1">
        <v>1087</v>
      </c>
      <c r="C88" s="1">
        <v>2</v>
      </c>
      <c r="D88" s="1">
        <v>30</v>
      </c>
      <c r="E88" s="1" t="s">
        <v>4292</v>
      </c>
      <c r="F88" s="1" t="s">
        <v>4293</v>
      </c>
      <c r="G88" s="1" t="s">
        <v>20</v>
      </c>
      <c r="H88" s="1" t="s">
        <v>572</v>
      </c>
      <c r="I88" s="1" t="s">
        <v>573</v>
      </c>
      <c r="J88" s="1" t="s">
        <v>574</v>
      </c>
      <c r="K88" s="1" t="s">
        <v>575</v>
      </c>
      <c r="L88" s="1" t="s">
        <v>576</v>
      </c>
      <c r="M88" s="1" t="s">
        <v>577</v>
      </c>
      <c r="N88" s="1"/>
      <c r="O88" s="1" t="s">
        <v>9</v>
      </c>
      <c r="P88" s="1" t="s">
        <v>578</v>
      </c>
      <c r="Q88" s="1"/>
      <c r="R88" s="1"/>
      <c r="S88" s="1"/>
      <c r="T88" s="1"/>
      <c r="U88" s="1"/>
      <c r="V88" s="1"/>
      <c r="Y88" t="s">
        <v>9</v>
      </c>
      <c r="Z88" t="s">
        <v>4316</v>
      </c>
      <c r="AA88" t="s">
        <v>4317</v>
      </c>
      <c r="AB88" t="s">
        <v>4538</v>
      </c>
      <c r="AC88" t="s">
        <v>4366</v>
      </c>
      <c r="AD88" s="18">
        <v>46112</v>
      </c>
    </row>
    <row r="89" spans="1:30" ht="150" hidden="1">
      <c r="A89" s="1" t="s">
        <v>965</v>
      </c>
      <c r="B89" s="1">
        <v>1088</v>
      </c>
      <c r="C89" s="1">
        <v>2</v>
      </c>
      <c r="D89" s="1">
        <v>31</v>
      </c>
      <c r="E89" s="1" t="s">
        <v>4292</v>
      </c>
      <c r="F89" s="1" t="s">
        <v>4293</v>
      </c>
      <c r="G89" s="1" t="s">
        <v>20</v>
      </c>
      <c r="H89" s="1" t="s">
        <v>582</v>
      </c>
      <c r="I89" s="1" t="s">
        <v>583</v>
      </c>
      <c r="J89" s="1" t="s">
        <v>584</v>
      </c>
      <c r="K89" s="1" t="s">
        <v>585</v>
      </c>
      <c r="L89" s="1" t="s">
        <v>586</v>
      </c>
      <c r="M89" s="1"/>
      <c r="N89" s="1"/>
      <c r="O89" s="1" t="s">
        <v>9</v>
      </c>
      <c r="P89" s="1" t="s">
        <v>587</v>
      </c>
      <c r="Q89" s="1"/>
      <c r="R89" s="1"/>
      <c r="S89" s="1"/>
      <c r="T89" s="1"/>
      <c r="U89" s="1"/>
      <c r="V89" s="1"/>
      <c r="Y89" t="s">
        <v>9</v>
      </c>
      <c r="Z89" t="s">
        <v>4316</v>
      </c>
      <c r="AA89" t="s">
        <v>4317</v>
      </c>
      <c r="AB89" t="s">
        <v>4539</v>
      </c>
      <c r="AC89" t="s">
        <v>4382</v>
      </c>
      <c r="AD89" s="18">
        <v>46112</v>
      </c>
    </row>
    <row r="90" spans="1:30" ht="120" hidden="1">
      <c r="A90" s="1" t="s">
        <v>965</v>
      </c>
      <c r="B90" s="1">
        <v>1089</v>
      </c>
      <c r="C90" s="1">
        <v>2</v>
      </c>
      <c r="D90" s="1">
        <v>32</v>
      </c>
      <c r="E90" s="1" t="s">
        <v>4290</v>
      </c>
      <c r="F90" s="1" t="s">
        <v>4302</v>
      </c>
      <c r="G90" s="1" t="s">
        <v>20</v>
      </c>
      <c r="H90" s="1" t="s">
        <v>588</v>
      </c>
      <c r="I90" s="1" t="s">
        <v>589</v>
      </c>
      <c r="J90" s="1" t="s">
        <v>590</v>
      </c>
      <c r="K90" s="1" t="s">
        <v>591</v>
      </c>
      <c r="L90" s="1" t="s">
        <v>592</v>
      </c>
      <c r="M90" s="1"/>
      <c r="N90" s="1"/>
      <c r="O90" s="1" t="s">
        <v>10</v>
      </c>
      <c r="P90" s="1" t="s">
        <v>593</v>
      </c>
      <c r="Q90" s="1"/>
      <c r="R90" s="1"/>
      <c r="S90" s="1"/>
      <c r="T90" s="1">
        <v>1</v>
      </c>
      <c r="U90" s="1"/>
      <c r="V90" s="1"/>
      <c r="Y90" t="s">
        <v>10</v>
      </c>
      <c r="Z90" t="s">
        <v>4316</v>
      </c>
      <c r="AA90" t="s">
        <v>4317</v>
      </c>
      <c r="AB90" t="s">
        <v>4540</v>
      </c>
      <c r="AC90" t="s">
        <v>4541</v>
      </c>
      <c r="AD90" s="18">
        <v>46112</v>
      </c>
    </row>
    <row r="91" spans="1:30" ht="90" hidden="1">
      <c r="A91" s="1" t="s">
        <v>965</v>
      </c>
      <c r="B91" s="1">
        <v>1090</v>
      </c>
      <c r="C91" s="1">
        <v>2</v>
      </c>
      <c r="D91" s="1">
        <v>33</v>
      </c>
      <c r="E91" s="1" t="s">
        <v>4290</v>
      </c>
      <c r="F91" s="1" t="s">
        <v>4302</v>
      </c>
      <c r="G91" s="1" t="s">
        <v>20</v>
      </c>
      <c r="H91" s="1" t="s">
        <v>594</v>
      </c>
      <c r="I91" s="1" t="s">
        <v>595</v>
      </c>
      <c r="J91" s="1" t="s">
        <v>596</v>
      </c>
      <c r="K91" s="1" t="s">
        <v>597</v>
      </c>
      <c r="L91" s="1" t="s">
        <v>598</v>
      </c>
      <c r="M91" s="1"/>
      <c r="N91" s="1"/>
      <c r="O91" s="1" t="s">
        <v>7</v>
      </c>
      <c r="P91" s="1" t="s">
        <v>599</v>
      </c>
      <c r="Q91" s="1"/>
      <c r="R91" s="1"/>
      <c r="S91" s="1"/>
      <c r="T91" s="1"/>
      <c r="U91" s="1"/>
      <c r="V91" s="1"/>
      <c r="Y91" t="s">
        <v>7</v>
      </c>
      <c r="Z91" t="s">
        <v>4316</v>
      </c>
      <c r="AA91" t="s">
        <v>4317</v>
      </c>
      <c r="AB91" t="s">
        <v>4542</v>
      </c>
      <c r="AC91" t="s">
        <v>4366</v>
      </c>
      <c r="AD91" s="18">
        <v>46112</v>
      </c>
    </row>
    <row r="92" spans="1:30" ht="75" hidden="1">
      <c r="A92" s="1" t="s">
        <v>965</v>
      </c>
      <c r="B92" s="1">
        <v>1091</v>
      </c>
      <c r="C92" s="1">
        <v>2</v>
      </c>
      <c r="D92" s="1">
        <v>34</v>
      </c>
      <c r="E92" s="1" t="s">
        <v>4305</v>
      </c>
      <c r="F92" s="1" t="s">
        <v>4307</v>
      </c>
      <c r="G92" s="1" t="s">
        <v>20</v>
      </c>
      <c r="H92" s="1" t="s">
        <v>600</v>
      </c>
      <c r="I92" s="1" t="s">
        <v>601</v>
      </c>
      <c r="J92" s="1" t="s">
        <v>602</v>
      </c>
      <c r="K92" s="1" t="s">
        <v>603</v>
      </c>
      <c r="L92" s="1" t="s">
        <v>604</v>
      </c>
      <c r="M92" s="1"/>
      <c r="N92" s="1"/>
      <c r="O92" s="1" t="s">
        <v>10</v>
      </c>
      <c r="P92" s="1" t="s">
        <v>605</v>
      </c>
      <c r="Q92" s="1"/>
      <c r="R92" s="1"/>
      <c r="S92" s="1"/>
      <c r="T92" s="1">
        <v>1</v>
      </c>
      <c r="U92" s="1"/>
      <c r="V92" s="1"/>
      <c r="Y92" t="s">
        <v>10</v>
      </c>
      <c r="Z92" t="s">
        <v>4316</v>
      </c>
      <c r="AA92" t="s">
        <v>4317</v>
      </c>
      <c r="AB92" t="s">
        <v>4543</v>
      </c>
      <c r="AC92" t="s">
        <v>4544</v>
      </c>
      <c r="AD92" s="18">
        <v>46112</v>
      </c>
    </row>
    <row r="93" spans="1:30" ht="240" hidden="1">
      <c r="A93" s="1" t="s">
        <v>965</v>
      </c>
      <c r="B93" s="1">
        <v>1092</v>
      </c>
      <c r="C93" s="1">
        <v>2</v>
      </c>
      <c r="D93" s="1">
        <v>35</v>
      </c>
      <c r="E93" s="1" t="s">
        <v>4292</v>
      </c>
      <c r="F93" s="1" t="s">
        <v>4293</v>
      </c>
      <c r="G93" s="1" t="s">
        <v>4294</v>
      </c>
      <c r="H93" s="1" t="s">
        <v>606</v>
      </c>
      <c r="I93" s="1" t="s">
        <v>607</v>
      </c>
      <c r="J93" s="1" t="s">
        <v>608</v>
      </c>
      <c r="K93" s="1" t="s">
        <v>609</v>
      </c>
      <c r="L93" s="1" t="s">
        <v>610</v>
      </c>
      <c r="M93" s="1" t="s">
        <v>611</v>
      </c>
      <c r="N93" s="1"/>
      <c r="O93" s="1" t="s">
        <v>9</v>
      </c>
      <c r="P93" s="1" t="s">
        <v>612</v>
      </c>
      <c r="Q93" s="1"/>
      <c r="R93" s="1"/>
      <c r="S93" s="1"/>
      <c r="T93" s="1"/>
      <c r="U93" s="1"/>
      <c r="V93" s="1"/>
      <c r="Y93" t="s">
        <v>9</v>
      </c>
      <c r="Z93" t="s">
        <v>4316</v>
      </c>
      <c r="AA93" t="s">
        <v>4317</v>
      </c>
      <c r="AB93" t="s">
        <v>4545</v>
      </c>
      <c r="AC93" t="s">
        <v>4382</v>
      </c>
      <c r="AD93" s="18">
        <v>46112</v>
      </c>
    </row>
    <row r="94" spans="1:30" ht="105" hidden="1">
      <c r="A94" s="1" t="s">
        <v>965</v>
      </c>
      <c r="B94" s="1">
        <v>1093</v>
      </c>
      <c r="C94" s="1">
        <v>2</v>
      </c>
      <c r="D94" s="1">
        <v>36</v>
      </c>
      <c r="E94" s="1" t="s">
        <v>4305</v>
      </c>
      <c r="F94" s="1" t="s">
        <v>4307</v>
      </c>
      <c r="G94" s="1" t="s">
        <v>20</v>
      </c>
      <c r="H94" s="1" t="s">
        <v>613</v>
      </c>
      <c r="I94" s="1" t="s">
        <v>614</v>
      </c>
      <c r="J94" s="1" t="s">
        <v>616</v>
      </c>
      <c r="K94" s="1" t="s">
        <v>615</v>
      </c>
      <c r="L94" s="1" t="s">
        <v>617</v>
      </c>
      <c r="M94" s="1"/>
      <c r="N94" s="1"/>
      <c r="O94" s="1" t="s">
        <v>10</v>
      </c>
      <c r="P94" s="1" t="s">
        <v>618</v>
      </c>
      <c r="Q94" s="1"/>
      <c r="R94" s="1"/>
      <c r="S94" s="1"/>
      <c r="T94" s="1"/>
      <c r="U94" s="1"/>
      <c r="V94" s="1"/>
      <c r="Y94" t="s">
        <v>10</v>
      </c>
      <c r="Z94" t="s">
        <v>4316</v>
      </c>
      <c r="AA94" t="s">
        <v>4317</v>
      </c>
      <c r="AB94" t="s">
        <v>4546</v>
      </c>
      <c r="AC94" t="s">
        <v>4547</v>
      </c>
      <c r="AD94" s="18">
        <v>46112</v>
      </c>
    </row>
    <row r="95" spans="1:30" ht="90" hidden="1">
      <c r="A95" s="1" t="s">
        <v>965</v>
      </c>
      <c r="B95" s="1">
        <v>1094</v>
      </c>
      <c r="C95" s="1">
        <v>2</v>
      </c>
      <c r="D95" s="1">
        <v>37</v>
      </c>
      <c r="E95" s="1" t="s">
        <v>4305</v>
      </c>
      <c r="F95" s="1" t="s">
        <v>4307</v>
      </c>
      <c r="G95" s="1" t="s">
        <v>20</v>
      </c>
      <c r="H95" s="1" t="s">
        <v>619</v>
      </c>
      <c r="I95" s="1" t="s">
        <v>620</v>
      </c>
      <c r="J95" s="1" t="s">
        <v>621</v>
      </c>
      <c r="K95" s="1" t="s">
        <v>622</v>
      </c>
      <c r="L95" s="1" t="s">
        <v>623</v>
      </c>
      <c r="M95" s="1"/>
      <c r="N95" s="1"/>
      <c r="O95" s="1" t="s">
        <v>10</v>
      </c>
      <c r="P95" s="1" t="s">
        <v>624</v>
      </c>
      <c r="Q95" s="1"/>
      <c r="R95" s="1"/>
      <c r="S95" s="1"/>
      <c r="T95" s="1"/>
      <c r="U95" s="1"/>
      <c r="V95" s="1"/>
      <c r="Y95" t="s">
        <v>10</v>
      </c>
      <c r="Z95" t="s">
        <v>4316</v>
      </c>
      <c r="AA95" t="s">
        <v>4317</v>
      </c>
      <c r="AB95" t="s">
        <v>4548</v>
      </c>
      <c r="AC95" t="s">
        <v>4478</v>
      </c>
      <c r="AD95" s="18">
        <v>46112</v>
      </c>
    </row>
    <row r="96" spans="1:30" ht="90" hidden="1">
      <c r="A96" s="1" t="s">
        <v>965</v>
      </c>
      <c r="B96" s="1">
        <v>1095</v>
      </c>
      <c r="C96" s="1">
        <v>2</v>
      </c>
      <c r="D96" s="1">
        <v>38</v>
      </c>
      <c r="E96" s="1" t="s">
        <v>4305</v>
      </c>
      <c r="F96" s="1" t="s">
        <v>4307</v>
      </c>
      <c r="G96" s="1" t="s">
        <v>20</v>
      </c>
      <c r="H96" s="1" t="s">
        <v>625</v>
      </c>
      <c r="I96" s="1" t="s">
        <v>626</v>
      </c>
      <c r="J96" s="1" t="s">
        <v>627</v>
      </c>
      <c r="K96" s="1" t="s">
        <v>628</v>
      </c>
      <c r="L96" s="1" t="s">
        <v>629</v>
      </c>
      <c r="M96" s="1"/>
      <c r="N96" s="1"/>
      <c r="O96" s="1" t="s">
        <v>8</v>
      </c>
      <c r="P96" s="1" t="s">
        <v>630</v>
      </c>
      <c r="Q96" s="1"/>
      <c r="R96" s="1"/>
      <c r="S96" s="1"/>
      <c r="T96" s="1"/>
      <c r="U96" s="1"/>
      <c r="V96" s="1"/>
      <c r="Y96" t="s">
        <v>8</v>
      </c>
      <c r="Z96" t="s">
        <v>4316</v>
      </c>
      <c r="AA96" t="s">
        <v>4317</v>
      </c>
      <c r="AB96" t="s">
        <v>4549</v>
      </c>
      <c r="AC96" t="s">
        <v>4481</v>
      </c>
      <c r="AD96" s="18">
        <v>46112</v>
      </c>
    </row>
    <row r="97" spans="1:30" ht="90" hidden="1">
      <c r="A97" s="1" t="s">
        <v>965</v>
      </c>
      <c r="B97" s="1">
        <v>1096</v>
      </c>
      <c r="C97" s="1">
        <v>2</v>
      </c>
      <c r="D97" s="1">
        <v>39</v>
      </c>
      <c r="E97" s="1" t="s">
        <v>4305</v>
      </c>
      <c r="F97" s="1" t="s">
        <v>4306</v>
      </c>
      <c r="G97" s="1" t="s">
        <v>20</v>
      </c>
      <c r="H97" s="1" t="s">
        <v>5469</v>
      </c>
      <c r="I97" s="1" t="s">
        <v>631</v>
      </c>
      <c r="J97" s="1" t="s">
        <v>632</v>
      </c>
      <c r="K97" s="1" t="s">
        <v>633</v>
      </c>
      <c r="L97" s="1" t="s">
        <v>634</v>
      </c>
      <c r="M97" s="1"/>
      <c r="N97" s="1"/>
      <c r="O97" s="1" t="s">
        <v>7</v>
      </c>
      <c r="P97" s="1" t="s">
        <v>635</v>
      </c>
      <c r="Q97" s="1"/>
      <c r="R97" s="1"/>
      <c r="S97" s="1"/>
      <c r="T97" s="1"/>
      <c r="U97" s="1"/>
      <c r="V97" s="1"/>
      <c r="Y97" t="s">
        <v>7</v>
      </c>
      <c r="Z97" t="s">
        <v>4316</v>
      </c>
      <c r="AA97" t="s">
        <v>4317</v>
      </c>
      <c r="AB97" t="s">
        <v>4550</v>
      </c>
      <c r="AC97" t="s">
        <v>4551</v>
      </c>
      <c r="AD97" s="18">
        <v>46112</v>
      </c>
    </row>
    <row r="98" spans="1:30" ht="135" hidden="1">
      <c r="A98" s="1" t="s">
        <v>965</v>
      </c>
      <c r="B98" s="1">
        <v>1097</v>
      </c>
      <c r="C98" s="1">
        <v>2</v>
      </c>
      <c r="D98" s="1">
        <v>40</v>
      </c>
      <c r="E98" s="1" t="s">
        <v>4292</v>
      </c>
      <c r="F98" s="1" t="s">
        <v>4293</v>
      </c>
      <c r="G98" s="1" t="s">
        <v>20</v>
      </c>
      <c r="H98" s="1" t="s">
        <v>636</v>
      </c>
      <c r="I98" s="1" t="s">
        <v>637</v>
      </c>
      <c r="J98" s="1" t="s">
        <v>638</v>
      </c>
      <c r="K98" s="1" t="s">
        <v>639</v>
      </c>
      <c r="L98" s="1" t="s">
        <v>640</v>
      </c>
      <c r="M98" s="1"/>
      <c r="N98" s="1"/>
      <c r="O98" s="1" t="s">
        <v>9</v>
      </c>
      <c r="P98" s="1" t="s">
        <v>5470</v>
      </c>
      <c r="Q98" s="1"/>
      <c r="R98" s="1"/>
      <c r="S98" s="1"/>
      <c r="T98" s="1"/>
      <c r="U98" s="1"/>
      <c r="V98" s="1"/>
      <c r="Y98" t="s">
        <v>9</v>
      </c>
      <c r="Z98" t="s">
        <v>4316</v>
      </c>
      <c r="AA98" t="s">
        <v>4317</v>
      </c>
      <c r="AB98" t="s">
        <v>4552</v>
      </c>
      <c r="AC98" t="s">
        <v>4366</v>
      </c>
      <c r="AD98" s="18">
        <v>46112</v>
      </c>
    </row>
    <row r="99" spans="1:30" ht="135" hidden="1">
      <c r="A99" s="1" t="s">
        <v>965</v>
      </c>
      <c r="B99" s="1">
        <v>1098</v>
      </c>
      <c r="C99" s="1">
        <v>2</v>
      </c>
      <c r="D99" s="1">
        <v>41</v>
      </c>
      <c r="E99" s="1" t="s">
        <v>4290</v>
      </c>
      <c r="F99" s="1" t="s">
        <v>4302</v>
      </c>
      <c r="G99" s="1" t="s">
        <v>20</v>
      </c>
      <c r="H99" s="1" t="s">
        <v>641</v>
      </c>
      <c r="I99" s="1" t="s">
        <v>642</v>
      </c>
      <c r="J99" s="1" t="s">
        <v>643</v>
      </c>
      <c r="K99" s="1" t="s">
        <v>644</v>
      </c>
      <c r="L99" s="1" t="s">
        <v>645</v>
      </c>
      <c r="M99" s="1"/>
      <c r="N99" s="1"/>
      <c r="O99" s="1" t="s">
        <v>7</v>
      </c>
      <c r="P99" s="1" t="s">
        <v>646</v>
      </c>
      <c r="Q99" s="1"/>
      <c r="R99" s="1"/>
      <c r="S99" s="1"/>
      <c r="T99" s="1">
        <v>1</v>
      </c>
      <c r="U99" s="1"/>
      <c r="V99" s="1"/>
      <c r="Y99" t="s">
        <v>7</v>
      </c>
      <c r="Z99" t="s">
        <v>4316</v>
      </c>
      <c r="AA99" t="s">
        <v>4317</v>
      </c>
      <c r="AB99" t="s">
        <v>4553</v>
      </c>
      <c r="AC99" t="s">
        <v>4366</v>
      </c>
      <c r="AD99" s="18">
        <v>46112</v>
      </c>
    </row>
    <row r="100" spans="1:30" ht="195" hidden="1">
      <c r="A100" s="1" t="s">
        <v>965</v>
      </c>
      <c r="B100" s="1">
        <v>1099</v>
      </c>
      <c r="C100" s="1">
        <v>2</v>
      </c>
      <c r="D100" s="1">
        <v>42</v>
      </c>
      <c r="E100" s="1" t="s">
        <v>4292</v>
      </c>
      <c r="F100" s="1" t="s">
        <v>4303</v>
      </c>
      <c r="G100" s="1" t="s">
        <v>20</v>
      </c>
      <c r="H100" s="1" t="s">
        <v>647</v>
      </c>
      <c r="I100" s="1" t="s">
        <v>648</v>
      </c>
      <c r="J100" s="1" t="s">
        <v>649</v>
      </c>
      <c r="K100" s="1" t="s">
        <v>650</v>
      </c>
      <c r="L100" s="1" t="s">
        <v>651</v>
      </c>
      <c r="M100" s="1" t="s">
        <v>652</v>
      </c>
      <c r="N100" s="1"/>
      <c r="O100" s="1" t="s">
        <v>8</v>
      </c>
      <c r="P100" s="1" t="s">
        <v>653</v>
      </c>
      <c r="Q100" s="1"/>
      <c r="R100" s="1"/>
      <c r="S100" s="1"/>
      <c r="T100" s="1">
        <v>1</v>
      </c>
      <c r="U100" s="1"/>
      <c r="V100" s="1"/>
      <c r="Y100" t="s">
        <v>8</v>
      </c>
      <c r="Z100" t="s">
        <v>4316</v>
      </c>
      <c r="AA100" t="s">
        <v>4317</v>
      </c>
      <c r="AB100" t="s">
        <v>4554</v>
      </c>
      <c r="AC100" t="s">
        <v>4338</v>
      </c>
      <c r="AD100" s="18">
        <v>46112</v>
      </c>
    </row>
    <row r="101" spans="1:30" ht="60" hidden="1">
      <c r="A101" s="1" t="s">
        <v>965</v>
      </c>
      <c r="B101" s="1">
        <v>1100</v>
      </c>
      <c r="C101" s="1">
        <v>2</v>
      </c>
      <c r="D101" s="1">
        <v>43</v>
      </c>
      <c r="E101" s="1" t="s">
        <v>4292</v>
      </c>
      <c r="F101" s="1" t="s">
        <v>4293</v>
      </c>
      <c r="G101" s="1" t="s">
        <v>20</v>
      </c>
      <c r="H101" s="1" t="s">
        <v>654</v>
      </c>
      <c r="I101" s="1" t="s">
        <v>655</v>
      </c>
      <c r="J101" s="1" t="s">
        <v>656</v>
      </c>
      <c r="K101" s="1" t="s">
        <v>657</v>
      </c>
      <c r="L101" s="1" t="s">
        <v>658</v>
      </c>
      <c r="M101" s="1"/>
      <c r="N101" s="1"/>
      <c r="O101" s="1" t="s">
        <v>9</v>
      </c>
      <c r="P101" s="1" t="s">
        <v>659</v>
      </c>
      <c r="Q101" s="1"/>
      <c r="R101" s="1"/>
      <c r="S101" s="1"/>
      <c r="T101" s="1">
        <v>1</v>
      </c>
      <c r="U101" s="1"/>
      <c r="V101" s="1"/>
      <c r="Y101" t="s">
        <v>9</v>
      </c>
      <c r="Z101" t="s">
        <v>4316</v>
      </c>
      <c r="AA101" t="s">
        <v>4317</v>
      </c>
      <c r="AB101" t="s">
        <v>4555</v>
      </c>
      <c r="AC101" t="s">
        <v>4366</v>
      </c>
      <c r="AD101" s="18">
        <v>46112</v>
      </c>
    </row>
    <row r="102" spans="1:30" ht="150" hidden="1">
      <c r="A102" s="1" t="s">
        <v>965</v>
      </c>
      <c r="B102" s="1">
        <v>1101</v>
      </c>
      <c r="C102" s="1">
        <v>2</v>
      </c>
      <c r="D102" s="1">
        <v>44</v>
      </c>
      <c r="E102" s="1" t="s">
        <v>4292</v>
      </c>
      <c r="F102" s="1" t="s">
        <v>4293</v>
      </c>
      <c r="G102" s="1" t="s">
        <v>4294</v>
      </c>
      <c r="H102" s="1" t="s">
        <v>660</v>
      </c>
      <c r="I102" s="1" t="s">
        <v>661</v>
      </c>
      <c r="J102" s="1" t="s">
        <v>662</v>
      </c>
      <c r="K102" s="1" t="s">
        <v>663</v>
      </c>
      <c r="L102" s="1" t="s">
        <v>664</v>
      </c>
      <c r="M102" s="1"/>
      <c r="N102" s="1"/>
      <c r="O102" s="1" t="s">
        <v>7</v>
      </c>
      <c r="P102" s="1" t="s">
        <v>665</v>
      </c>
      <c r="Q102" s="1"/>
      <c r="R102" s="1"/>
      <c r="S102" s="1"/>
      <c r="T102" s="1"/>
      <c r="U102" s="1"/>
      <c r="V102" s="1"/>
      <c r="Y102" t="s">
        <v>7</v>
      </c>
      <c r="Z102" t="s">
        <v>4316</v>
      </c>
      <c r="AA102" t="s">
        <v>4317</v>
      </c>
      <c r="AB102" t="s">
        <v>4558</v>
      </c>
      <c r="AC102" t="s">
        <v>4366</v>
      </c>
      <c r="AD102" s="18">
        <v>46112</v>
      </c>
    </row>
    <row r="103" spans="1:30" ht="90" hidden="1">
      <c r="A103" s="1" t="s">
        <v>965</v>
      </c>
      <c r="B103" s="1">
        <v>1102</v>
      </c>
      <c r="C103" s="1">
        <v>2</v>
      </c>
      <c r="D103" s="1">
        <v>45</v>
      </c>
      <c r="E103" s="1" t="s">
        <v>4305</v>
      </c>
      <c r="F103" s="1" t="s">
        <v>4307</v>
      </c>
      <c r="G103" s="1" t="s">
        <v>20</v>
      </c>
      <c r="H103" s="1" t="s">
        <v>666</v>
      </c>
      <c r="I103" s="1" t="s">
        <v>363</v>
      </c>
      <c r="J103" s="1" t="s">
        <v>667</v>
      </c>
      <c r="K103" s="1" t="s">
        <v>668</v>
      </c>
      <c r="L103" s="1" t="s">
        <v>669</v>
      </c>
      <c r="M103" s="1"/>
      <c r="N103" s="1"/>
      <c r="O103" s="1" t="s">
        <v>7</v>
      </c>
      <c r="P103" s="1" t="s">
        <v>670</v>
      </c>
      <c r="Q103" s="1"/>
      <c r="R103" s="1"/>
      <c r="S103" s="1"/>
      <c r="T103" s="1"/>
      <c r="U103" s="1"/>
      <c r="V103" s="1"/>
      <c r="Y103" t="s">
        <v>7</v>
      </c>
      <c r="Z103" t="s">
        <v>4316</v>
      </c>
      <c r="AA103" t="s">
        <v>4317</v>
      </c>
      <c r="AB103" t="s">
        <v>4559</v>
      </c>
      <c r="AC103" t="s">
        <v>4399</v>
      </c>
      <c r="AD103" s="18">
        <v>46112</v>
      </c>
    </row>
    <row r="104" spans="1:30" ht="150" hidden="1">
      <c r="A104" s="1" t="s">
        <v>965</v>
      </c>
      <c r="B104" s="1">
        <v>1103</v>
      </c>
      <c r="C104" s="1">
        <v>2</v>
      </c>
      <c r="D104" s="1">
        <v>46</v>
      </c>
      <c r="E104" s="1" t="s">
        <v>4292</v>
      </c>
      <c r="F104" s="1" t="s">
        <v>4293</v>
      </c>
      <c r="G104" s="1" t="s">
        <v>20</v>
      </c>
      <c r="H104" s="1" t="s">
        <v>671</v>
      </c>
      <c r="I104" s="1" t="s">
        <v>672</v>
      </c>
      <c r="J104" s="1" t="s">
        <v>673</v>
      </c>
      <c r="K104" s="1" t="s">
        <v>674</v>
      </c>
      <c r="L104" s="1" t="s">
        <v>675</v>
      </c>
      <c r="M104" s="1"/>
      <c r="N104" s="1"/>
      <c r="O104" s="1" t="s">
        <v>10</v>
      </c>
      <c r="P104" s="1" t="s">
        <v>676</v>
      </c>
      <c r="Q104" s="1"/>
      <c r="R104" s="1"/>
      <c r="S104" s="1"/>
      <c r="T104" s="1"/>
      <c r="U104" s="1"/>
      <c r="V104" s="1"/>
      <c r="Y104" t="s">
        <v>10</v>
      </c>
      <c r="Z104" t="s">
        <v>4316</v>
      </c>
      <c r="AA104" t="s">
        <v>4317</v>
      </c>
      <c r="AB104" t="s">
        <v>4560</v>
      </c>
      <c r="AC104" t="s">
        <v>4366</v>
      </c>
      <c r="AD104" s="18">
        <v>46112</v>
      </c>
    </row>
    <row r="105" spans="1:30" ht="150" hidden="1">
      <c r="A105" s="1" t="s">
        <v>965</v>
      </c>
      <c r="B105" s="1">
        <v>1104</v>
      </c>
      <c r="C105" s="1">
        <v>2</v>
      </c>
      <c r="D105" s="1">
        <v>47</v>
      </c>
      <c r="E105" s="1" t="s">
        <v>4292</v>
      </c>
      <c r="F105" s="1" t="s">
        <v>4293</v>
      </c>
      <c r="G105" s="1" t="s">
        <v>20</v>
      </c>
      <c r="H105" s="1" t="s">
        <v>677</v>
      </c>
      <c r="I105" s="1" t="s">
        <v>678</v>
      </c>
      <c r="J105" s="1" t="s">
        <v>679</v>
      </c>
      <c r="K105" s="1" t="s">
        <v>680</v>
      </c>
      <c r="L105" s="1" t="s">
        <v>681</v>
      </c>
      <c r="M105" s="1"/>
      <c r="N105" s="1"/>
      <c r="O105" s="1" t="s">
        <v>9</v>
      </c>
      <c r="P105" s="1" t="s">
        <v>682</v>
      </c>
      <c r="Q105" s="1"/>
      <c r="R105" s="1"/>
      <c r="S105" s="1"/>
      <c r="T105" s="1"/>
      <c r="U105" s="1"/>
      <c r="V105" s="1"/>
      <c r="Y105" t="s">
        <v>9</v>
      </c>
      <c r="Z105" t="s">
        <v>4316</v>
      </c>
      <c r="AA105" t="s">
        <v>4317</v>
      </c>
      <c r="AB105" t="s">
        <v>4561</v>
      </c>
      <c r="AC105" t="s">
        <v>4562</v>
      </c>
      <c r="AD105" s="18">
        <v>46112</v>
      </c>
    </row>
    <row r="106" spans="1:30" ht="120" hidden="1">
      <c r="A106" s="1" t="s">
        <v>965</v>
      </c>
      <c r="B106" s="1">
        <v>1105</v>
      </c>
      <c r="C106" s="1">
        <v>2</v>
      </c>
      <c r="D106" s="1">
        <v>48</v>
      </c>
      <c r="E106" s="1" t="s">
        <v>4292</v>
      </c>
      <c r="F106" s="1" t="s">
        <v>4293</v>
      </c>
      <c r="G106" s="1" t="s">
        <v>40</v>
      </c>
      <c r="H106" s="1" t="s">
        <v>683</v>
      </c>
      <c r="I106" s="1" t="s">
        <v>684</v>
      </c>
      <c r="J106" s="1" t="s">
        <v>685</v>
      </c>
      <c r="K106" s="1" t="s">
        <v>686</v>
      </c>
      <c r="L106" s="1" t="s">
        <v>687</v>
      </c>
      <c r="M106" s="1"/>
      <c r="N106" s="1"/>
      <c r="O106" s="1" t="s">
        <v>7</v>
      </c>
      <c r="P106" s="1" t="s">
        <v>688</v>
      </c>
      <c r="Q106" s="1"/>
      <c r="R106" s="1"/>
      <c r="S106" s="1"/>
      <c r="T106" s="1"/>
      <c r="U106" s="1"/>
      <c r="V106" s="1"/>
      <c r="Y106" t="s">
        <v>7</v>
      </c>
      <c r="Z106" t="s">
        <v>4316</v>
      </c>
      <c r="AA106" t="s">
        <v>4317</v>
      </c>
      <c r="AB106" t="s">
        <v>4563</v>
      </c>
      <c r="AC106" t="s">
        <v>4382</v>
      </c>
      <c r="AD106" s="18">
        <v>46112</v>
      </c>
    </row>
    <row r="107" spans="1:30" ht="195" hidden="1">
      <c r="A107" s="1" t="s">
        <v>965</v>
      </c>
      <c r="B107" s="1">
        <v>1106</v>
      </c>
      <c r="C107" s="1">
        <v>2</v>
      </c>
      <c r="D107" s="1">
        <v>49</v>
      </c>
      <c r="E107" s="1" t="s">
        <v>4297</v>
      </c>
      <c r="F107" s="1" t="s">
        <v>4300</v>
      </c>
      <c r="G107" s="1" t="s">
        <v>20</v>
      </c>
      <c r="H107" s="1" t="s">
        <v>689</v>
      </c>
      <c r="I107" s="1" t="s">
        <v>690</v>
      </c>
      <c r="J107" s="1" t="s">
        <v>691</v>
      </c>
      <c r="K107" s="1" t="s">
        <v>692</v>
      </c>
      <c r="L107" s="1" t="s">
        <v>693</v>
      </c>
      <c r="M107" s="1" t="s">
        <v>694</v>
      </c>
      <c r="N107" s="1"/>
      <c r="O107" s="1" t="s">
        <v>8</v>
      </c>
      <c r="P107" s="1" t="s">
        <v>695</v>
      </c>
      <c r="Q107" s="1"/>
      <c r="R107" s="1"/>
      <c r="S107" s="1"/>
      <c r="T107" s="1"/>
      <c r="U107" s="1"/>
      <c r="V107" s="1"/>
      <c r="Y107" t="s">
        <v>8</v>
      </c>
      <c r="Z107" t="s">
        <v>4316</v>
      </c>
      <c r="AA107" t="s">
        <v>4317</v>
      </c>
      <c r="AB107" t="s">
        <v>4564</v>
      </c>
      <c r="AC107" t="s">
        <v>4338</v>
      </c>
      <c r="AD107" s="18">
        <v>46112</v>
      </c>
    </row>
    <row r="108" spans="1:30" ht="240" hidden="1">
      <c r="A108" s="1" t="s">
        <v>965</v>
      </c>
      <c r="B108" s="1">
        <v>1107</v>
      </c>
      <c r="C108" s="1">
        <v>2</v>
      </c>
      <c r="D108" s="1">
        <v>50</v>
      </c>
      <c r="E108" s="1" t="s">
        <v>4295</v>
      </c>
      <c r="F108" s="1" t="s">
        <v>4296</v>
      </c>
      <c r="G108" s="1" t="s">
        <v>20</v>
      </c>
      <c r="H108" s="1" t="s">
        <v>696</v>
      </c>
      <c r="I108" s="1" t="s">
        <v>697</v>
      </c>
      <c r="J108" s="1" t="s">
        <v>113</v>
      </c>
      <c r="K108" s="1" t="s">
        <v>698</v>
      </c>
      <c r="L108" s="1" t="s">
        <v>114</v>
      </c>
      <c r="M108" s="1" t="s">
        <v>699</v>
      </c>
      <c r="N108" s="1"/>
      <c r="O108" s="1" t="s">
        <v>9</v>
      </c>
      <c r="P108" s="1" t="s">
        <v>700</v>
      </c>
      <c r="Q108" s="1"/>
      <c r="R108" s="1"/>
      <c r="S108" s="1"/>
      <c r="T108" s="1"/>
      <c r="U108" s="1"/>
      <c r="V108" s="1"/>
      <c r="Y108" t="s">
        <v>9</v>
      </c>
      <c r="Z108" t="s">
        <v>4316</v>
      </c>
      <c r="AA108" t="s">
        <v>4317</v>
      </c>
      <c r="AB108" t="s">
        <v>4565</v>
      </c>
      <c r="AC108" t="s">
        <v>4338</v>
      </c>
      <c r="AD108" s="18">
        <v>46112</v>
      </c>
    </row>
    <row r="109" spans="1:30" ht="195" hidden="1">
      <c r="A109" s="1" t="s">
        <v>965</v>
      </c>
      <c r="B109" s="1">
        <v>1108</v>
      </c>
      <c r="C109" s="1">
        <v>2</v>
      </c>
      <c r="D109" s="1">
        <v>51</v>
      </c>
      <c r="E109" s="1" t="s">
        <v>4292</v>
      </c>
      <c r="F109" s="1" t="s">
        <v>4303</v>
      </c>
      <c r="G109" s="1" t="s">
        <v>20</v>
      </c>
      <c r="H109" s="1" t="s">
        <v>701</v>
      </c>
      <c r="I109" s="1" t="s">
        <v>702</v>
      </c>
      <c r="J109" s="1" t="s">
        <v>545</v>
      </c>
      <c r="K109" s="1" t="s">
        <v>703</v>
      </c>
      <c r="L109" s="1" t="s">
        <v>704</v>
      </c>
      <c r="M109" s="1" t="s">
        <v>390</v>
      </c>
      <c r="N109" s="1"/>
      <c r="O109" s="1" t="s">
        <v>10</v>
      </c>
      <c r="P109" s="1" t="s">
        <v>705</v>
      </c>
      <c r="Q109" s="1"/>
      <c r="R109" s="1"/>
      <c r="S109" s="1"/>
      <c r="T109" s="1"/>
      <c r="U109" s="1"/>
      <c r="V109" s="1"/>
      <c r="Y109" t="s">
        <v>10</v>
      </c>
      <c r="Z109" t="s">
        <v>4316</v>
      </c>
      <c r="AA109" t="s">
        <v>4317</v>
      </c>
      <c r="AB109" t="s">
        <v>4566</v>
      </c>
      <c r="AC109" t="s">
        <v>4567</v>
      </c>
      <c r="AD109" s="18">
        <v>46112</v>
      </c>
    </row>
    <row r="110" spans="1:30" ht="180" hidden="1">
      <c r="A110" s="1" t="s">
        <v>965</v>
      </c>
      <c r="B110" s="1">
        <v>1109</v>
      </c>
      <c r="C110" s="1">
        <v>2</v>
      </c>
      <c r="D110" s="1">
        <v>52</v>
      </c>
      <c r="E110" s="1" t="s">
        <v>4290</v>
      </c>
      <c r="F110" s="1" t="s">
        <v>4302</v>
      </c>
      <c r="G110" s="1" t="s">
        <v>4294</v>
      </c>
      <c r="H110" s="1" t="s">
        <v>706</v>
      </c>
      <c r="I110" s="1" t="s">
        <v>5471</v>
      </c>
      <c r="J110" s="1" t="s">
        <v>5472</v>
      </c>
      <c r="K110" s="1" t="s">
        <v>5473</v>
      </c>
      <c r="L110" s="1" t="s">
        <v>707</v>
      </c>
      <c r="M110" s="1" t="s">
        <v>708</v>
      </c>
      <c r="N110" s="1"/>
      <c r="O110" s="1" t="s">
        <v>11</v>
      </c>
      <c r="P110" s="1" t="s">
        <v>709</v>
      </c>
      <c r="Q110" s="1"/>
      <c r="R110" s="1"/>
      <c r="S110" s="1"/>
      <c r="T110" s="1"/>
      <c r="U110" s="1">
        <v>1</v>
      </c>
      <c r="V110" s="1"/>
      <c r="Y110" t="s">
        <v>11</v>
      </c>
      <c r="Z110" t="s">
        <v>4316</v>
      </c>
      <c r="AA110" t="s">
        <v>4317</v>
      </c>
      <c r="AB110" t="s">
        <v>4568</v>
      </c>
      <c r="AC110" t="s">
        <v>4436</v>
      </c>
      <c r="AD110" s="18">
        <v>46112</v>
      </c>
    </row>
    <row r="111" spans="1:30" ht="255" hidden="1">
      <c r="A111" s="1" t="s">
        <v>965</v>
      </c>
      <c r="B111" s="1">
        <v>1110</v>
      </c>
      <c r="C111" s="1">
        <v>2</v>
      </c>
      <c r="D111" s="1">
        <v>53</v>
      </c>
      <c r="E111" s="1" t="s">
        <v>4305</v>
      </c>
      <c r="F111" s="1" t="s">
        <v>4307</v>
      </c>
      <c r="G111" s="1" t="s">
        <v>20</v>
      </c>
      <c r="H111" s="1" t="s">
        <v>710</v>
      </c>
      <c r="I111" s="1" t="s">
        <v>711</v>
      </c>
      <c r="J111" s="1" t="s">
        <v>712</v>
      </c>
      <c r="K111" s="1" t="s">
        <v>713</v>
      </c>
      <c r="L111" s="1" t="s">
        <v>714</v>
      </c>
      <c r="M111" s="1" t="s">
        <v>715</v>
      </c>
      <c r="N111" s="1"/>
      <c r="O111" s="1" t="s">
        <v>8</v>
      </c>
      <c r="P111" s="1" t="s">
        <v>715</v>
      </c>
      <c r="Q111" s="1"/>
      <c r="R111" s="1"/>
      <c r="S111" s="1"/>
      <c r="T111" s="1">
        <v>1</v>
      </c>
      <c r="U111" s="1"/>
      <c r="V111" s="1"/>
      <c r="Y111" t="s">
        <v>8</v>
      </c>
      <c r="Z111" t="s">
        <v>4316</v>
      </c>
      <c r="AA111" t="s">
        <v>4317</v>
      </c>
      <c r="AB111" t="s">
        <v>4569</v>
      </c>
      <c r="AC111" t="s">
        <v>4399</v>
      </c>
      <c r="AD111" s="18">
        <v>46112</v>
      </c>
    </row>
    <row r="112" spans="1:30" ht="90" hidden="1">
      <c r="A112" s="1" t="s">
        <v>965</v>
      </c>
      <c r="B112" s="1">
        <v>1111</v>
      </c>
      <c r="C112" s="1">
        <v>2</v>
      </c>
      <c r="D112" s="1">
        <v>54</v>
      </c>
      <c r="E112" s="1" t="s">
        <v>4290</v>
      </c>
      <c r="F112" s="1" t="s">
        <v>4302</v>
      </c>
      <c r="G112" s="1" t="s">
        <v>20</v>
      </c>
      <c r="H112" s="1" t="s">
        <v>716</v>
      </c>
      <c r="I112" s="1" t="s">
        <v>717</v>
      </c>
      <c r="J112" s="1" t="s">
        <v>718</v>
      </c>
      <c r="K112" s="1" t="s">
        <v>719</v>
      </c>
      <c r="L112" s="1" t="s">
        <v>720</v>
      </c>
      <c r="M112" s="1"/>
      <c r="N112" s="1"/>
      <c r="O112" s="1" t="s">
        <v>10</v>
      </c>
      <c r="P112" s="1" t="s">
        <v>721</v>
      </c>
      <c r="Q112" s="1"/>
      <c r="R112" s="1"/>
      <c r="S112" s="1"/>
      <c r="T112" s="1"/>
      <c r="U112" s="1"/>
      <c r="V112" s="1"/>
      <c r="Y112" t="s">
        <v>10</v>
      </c>
      <c r="Z112" t="s">
        <v>4316</v>
      </c>
      <c r="AA112" t="s">
        <v>4317</v>
      </c>
      <c r="AB112" t="s">
        <v>4570</v>
      </c>
      <c r="AC112" t="s">
        <v>4366</v>
      </c>
      <c r="AD112" s="18">
        <v>46112</v>
      </c>
    </row>
    <row r="113" spans="1:30" ht="180" hidden="1">
      <c r="A113" s="1" t="s">
        <v>965</v>
      </c>
      <c r="B113" s="1">
        <v>1112</v>
      </c>
      <c r="C113" s="1">
        <v>2</v>
      </c>
      <c r="D113" s="1">
        <v>55</v>
      </c>
      <c r="E113" s="1" t="s">
        <v>4290</v>
      </c>
      <c r="F113" s="1" t="s">
        <v>4302</v>
      </c>
      <c r="G113" s="1" t="s">
        <v>4294</v>
      </c>
      <c r="H113" s="1" t="s">
        <v>722</v>
      </c>
      <c r="I113" s="1" t="s">
        <v>723</v>
      </c>
      <c r="J113" s="1" t="s">
        <v>724</v>
      </c>
      <c r="K113" s="1" t="s">
        <v>725</v>
      </c>
      <c r="L113" s="1" t="s">
        <v>726</v>
      </c>
      <c r="M113" s="1" t="s">
        <v>727</v>
      </c>
      <c r="N113" s="1"/>
      <c r="O113" s="1" t="s">
        <v>10</v>
      </c>
      <c r="P113" s="1" t="s">
        <v>728</v>
      </c>
      <c r="Q113" s="1"/>
      <c r="R113" s="1"/>
      <c r="S113" s="1"/>
      <c r="T113" s="1">
        <v>1</v>
      </c>
      <c r="U113" s="1"/>
      <c r="V113" s="1"/>
      <c r="Y113" t="s">
        <v>10</v>
      </c>
      <c r="Z113" t="s">
        <v>4316</v>
      </c>
      <c r="AA113" t="s">
        <v>4317</v>
      </c>
      <c r="AB113" t="s">
        <v>4571</v>
      </c>
      <c r="AC113" t="s">
        <v>4402</v>
      </c>
      <c r="AD113" s="18">
        <v>46112</v>
      </c>
    </row>
    <row r="114" spans="1:30" ht="195" hidden="1">
      <c r="A114" s="1" t="s">
        <v>965</v>
      </c>
      <c r="B114" s="1">
        <v>1113</v>
      </c>
      <c r="C114" s="1">
        <v>2</v>
      </c>
      <c r="D114" s="1">
        <v>56</v>
      </c>
      <c r="E114" s="1" t="s">
        <v>4292</v>
      </c>
      <c r="F114" s="1" t="s">
        <v>4293</v>
      </c>
      <c r="G114" s="1" t="s">
        <v>20</v>
      </c>
      <c r="H114" s="1" t="s">
        <v>500</v>
      </c>
      <c r="I114" s="1" t="s">
        <v>501</v>
      </c>
      <c r="J114" s="1" t="s">
        <v>502</v>
      </c>
      <c r="K114" s="1" t="s">
        <v>503</v>
      </c>
      <c r="L114" s="1" t="s">
        <v>504</v>
      </c>
      <c r="M114" s="1"/>
      <c r="N114" s="1"/>
      <c r="O114" s="1" t="s">
        <v>10</v>
      </c>
      <c r="P114" s="1" t="s">
        <v>505</v>
      </c>
      <c r="Q114" s="1"/>
      <c r="R114" s="1"/>
      <c r="S114" s="1"/>
      <c r="T114" s="1"/>
      <c r="U114" s="1"/>
      <c r="V114" s="1"/>
      <c r="Z114" t="s">
        <v>4386</v>
      </c>
      <c r="AB114" t="s">
        <v>4572</v>
      </c>
      <c r="AC114" t="s">
        <v>4338</v>
      </c>
      <c r="AD114" s="18">
        <v>46112</v>
      </c>
    </row>
    <row r="115" spans="1:30" ht="135" hidden="1">
      <c r="A115" s="1" t="s">
        <v>965</v>
      </c>
      <c r="B115" s="1">
        <v>1114</v>
      </c>
      <c r="C115" s="1">
        <v>2</v>
      </c>
      <c r="D115" s="1">
        <v>57</v>
      </c>
      <c r="E115" s="1" t="s">
        <v>4297</v>
      </c>
      <c r="F115" s="1" t="s">
        <v>4299</v>
      </c>
      <c r="G115" s="1" t="s">
        <v>40</v>
      </c>
      <c r="H115" s="1" t="s">
        <v>729</v>
      </c>
      <c r="I115" s="1" t="s">
        <v>730</v>
      </c>
      <c r="J115" s="1" t="s">
        <v>562</v>
      </c>
      <c r="K115" s="1" t="s">
        <v>731</v>
      </c>
      <c r="L115" s="1" t="s">
        <v>563</v>
      </c>
      <c r="M115" s="1" t="s">
        <v>564</v>
      </c>
      <c r="N115" s="1"/>
      <c r="O115" s="1" t="s">
        <v>8</v>
      </c>
      <c r="P115" s="1" t="s">
        <v>732</v>
      </c>
      <c r="Q115" s="1"/>
      <c r="R115" s="1"/>
      <c r="S115" s="1"/>
      <c r="T115" s="1"/>
      <c r="U115" s="1"/>
      <c r="V115" s="1"/>
      <c r="Y115" t="s">
        <v>8</v>
      </c>
      <c r="Z115" t="s">
        <v>4316</v>
      </c>
      <c r="AA115" t="s">
        <v>4317</v>
      </c>
      <c r="AB115" t="s">
        <v>4573</v>
      </c>
      <c r="AC115" t="s">
        <v>4336</v>
      </c>
      <c r="AD115" s="18">
        <v>46112</v>
      </c>
    </row>
    <row r="116" spans="1:30" ht="75" hidden="1">
      <c r="A116" s="1" t="s">
        <v>965</v>
      </c>
      <c r="B116" s="1">
        <v>1115</v>
      </c>
      <c r="C116" s="1">
        <v>3</v>
      </c>
      <c r="D116" s="1">
        <v>1</v>
      </c>
      <c r="E116" s="1" t="s">
        <v>4297</v>
      </c>
      <c r="F116" s="1" t="s">
        <v>4298</v>
      </c>
      <c r="G116" s="1" t="s">
        <v>20</v>
      </c>
      <c r="H116" s="1" t="s">
        <v>733</v>
      </c>
      <c r="I116" s="1" t="s">
        <v>734</v>
      </c>
      <c r="J116" s="1" t="s">
        <v>735</v>
      </c>
      <c r="K116" s="1" t="s">
        <v>736</v>
      </c>
      <c r="L116" s="1" t="s">
        <v>737</v>
      </c>
      <c r="M116" s="1"/>
      <c r="N116" s="1"/>
      <c r="O116" s="1" t="s">
        <v>8</v>
      </c>
      <c r="P116" s="1" t="s">
        <v>738</v>
      </c>
      <c r="Q116" s="1"/>
      <c r="R116" s="1"/>
      <c r="S116" s="1"/>
      <c r="T116" s="1"/>
      <c r="U116" s="1">
        <v>1</v>
      </c>
      <c r="V116" s="1"/>
      <c r="Y116" t="s">
        <v>8</v>
      </c>
      <c r="Z116" t="s">
        <v>4316</v>
      </c>
      <c r="AA116" t="s">
        <v>4317</v>
      </c>
      <c r="AB116" t="s">
        <v>4574</v>
      </c>
      <c r="AC116" t="s">
        <v>4327</v>
      </c>
      <c r="AD116" s="18">
        <v>46112</v>
      </c>
    </row>
    <row r="117" spans="1:30" ht="120" hidden="1">
      <c r="A117" s="1" t="s">
        <v>965</v>
      </c>
      <c r="B117" s="1">
        <v>1116</v>
      </c>
      <c r="C117" s="1">
        <v>3</v>
      </c>
      <c r="D117" s="1">
        <v>2</v>
      </c>
      <c r="E117" s="1" t="s">
        <v>4292</v>
      </c>
      <c r="F117" s="1" t="s">
        <v>4293</v>
      </c>
      <c r="G117" s="1" t="s">
        <v>40</v>
      </c>
      <c r="H117" s="1" t="s">
        <v>683</v>
      </c>
      <c r="I117" s="1" t="s">
        <v>685</v>
      </c>
      <c r="J117" s="1" t="s">
        <v>684</v>
      </c>
      <c r="K117" s="1" t="s">
        <v>686</v>
      </c>
      <c r="L117" s="1" t="s">
        <v>687</v>
      </c>
      <c r="M117" s="1"/>
      <c r="N117" s="1"/>
      <c r="O117" s="1" t="s">
        <v>8</v>
      </c>
      <c r="P117" s="1" t="s">
        <v>688</v>
      </c>
      <c r="Q117" s="1" t="s">
        <v>739</v>
      </c>
      <c r="R117" s="1"/>
      <c r="S117" s="1"/>
      <c r="T117" s="1"/>
      <c r="U117" s="1"/>
      <c r="V117" s="1"/>
      <c r="Y117" t="s">
        <v>8</v>
      </c>
      <c r="Z117" t="s">
        <v>4316</v>
      </c>
      <c r="AA117" t="s">
        <v>4317</v>
      </c>
      <c r="AB117" t="s">
        <v>4575</v>
      </c>
      <c r="AC117" t="s">
        <v>4382</v>
      </c>
      <c r="AD117" s="18">
        <v>46112</v>
      </c>
    </row>
    <row r="118" spans="1:30" ht="105" hidden="1">
      <c r="A118" s="1" t="s">
        <v>965</v>
      </c>
      <c r="B118" s="1">
        <v>1117</v>
      </c>
      <c r="C118" s="1">
        <v>3</v>
      </c>
      <c r="D118" s="1">
        <v>3</v>
      </c>
      <c r="E118" s="1" t="s">
        <v>4305</v>
      </c>
      <c r="F118" s="1" t="s">
        <v>4307</v>
      </c>
      <c r="G118" s="1" t="s">
        <v>20</v>
      </c>
      <c r="H118" s="1" t="s">
        <v>740</v>
      </c>
      <c r="I118" s="1" t="s">
        <v>741</v>
      </c>
      <c r="J118" s="1" t="s">
        <v>742</v>
      </c>
      <c r="K118" s="1" t="s">
        <v>743</v>
      </c>
      <c r="L118" s="1" t="s">
        <v>744</v>
      </c>
      <c r="M118" s="1"/>
      <c r="N118" s="1"/>
      <c r="O118" s="1" t="s">
        <v>9</v>
      </c>
      <c r="P118" s="1" t="s">
        <v>745</v>
      </c>
      <c r="Q118" s="1"/>
      <c r="R118" s="1"/>
      <c r="S118" s="1"/>
      <c r="T118" s="1"/>
      <c r="U118" s="1"/>
      <c r="V118" s="1"/>
      <c r="Y118" t="s">
        <v>9</v>
      </c>
      <c r="Z118" t="s">
        <v>4316</v>
      </c>
      <c r="AA118" t="s">
        <v>4317</v>
      </c>
      <c r="AB118" t="s">
        <v>4576</v>
      </c>
      <c r="AC118" t="s">
        <v>4577</v>
      </c>
      <c r="AD118" s="18">
        <v>46112</v>
      </c>
    </row>
    <row r="119" spans="1:30" ht="210" hidden="1">
      <c r="A119" s="1" t="s">
        <v>965</v>
      </c>
      <c r="B119" s="1">
        <v>1118</v>
      </c>
      <c r="C119" s="1">
        <v>3</v>
      </c>
      <c r="D119" s="1">
        <v>4</v>
      </c>
      <c r="E119" s="1" t="s">
        <v>4297</v>
      </c>
      <c r="F119" s="1" t="s">
        <v>4300</v>
      </c>
      <c r="G119" s="1" t="s">
        <v>20</v>
      </c>
      <c r="H119" s="1" t="s">
        <v>746</v>
      </c>
      <c r="I119" s="1" t="s">
        <v>747</v>
      </c>
      <c r="J119" s="1" t="s">
        <v>748</v>
      </c>
      <c r="K119" s="1" t="s">
        <v>749</v>
      </c>
      <c r="L119" s="1" t="s">
        <v>750</v>
      </c>
      <c r="M119" s="1" t="s">
        <v>751</v>
      </c>
      <c r="N119" s="1"/>
      <c r="O119" s="1" t="s">
        <v>9</v>
      </c>
      <c r="P119" s="1" t="s">
        <v>752</v>
      </c>
      <c r="Q119" s="1"/>
      <c r="R119" s="1"/>
      <c r="S119" s="1"/>
      <c r="T119" s="1"/>
      <c r="U119" s="1"/>
      <c r="V119" s="1"/>
      <c r="Y119" t="s">
        <v>9</v>
      </c>
      <c r="Z119" t="s">
        <v>4316</v>
      </c>
      <c r="AA119" t="s">
        <v>4317</v>
      </c>
      <c r="AB119" t="s">
        <v>4578</v>
      </c>
      <c r="AC119" t="s">
        <v>4338</v>
      </c>
      <c r="AD119" s="18">
        <v>46112</v>
      </c>
    </row>
    <row r="120" spans="1:30" ht="225" hidden="1">
      <c r="A120" s="1" t="s">
        <v>965</v>
      </c>
      <c r="B120" s="1">
        <v>1119</v>
      </c>
      <c r="C120" s="1">
        <v>3</v>
      </c>
      <c r="D120" s="1">
        <v>5</v>
      </c>
      <c r="E120" s="1" t="s">
        <v>4297</v>
      </c>
      <c r="F120" s="1" t="s">
        <v>4298</v>
      </c>
      <c r="G120" s="1" t="s">
        <v>20</v>
      </c>
      <c r="H120" s="1" t="s">
        <v>258</v>
      </c>
      <c r="I120" s="1" t="s">
        <v>129</v>
      </c>
      <c r="J120" s="1" t="s">
        <v>131</v>
      </c>
      <c r="K120" s="1" t="s">
        <v>130</v>
      </c>
      <c r="L120" s="1" t="s">
        <v>259</v>
      </c>
      <c r="M120" s="1" t="s">
        <v>133</v>
      </c>
      <c r="N120" s="1"/>
      <c r="O120" s="1" t="s">
        <v>7</v>
      </c>
      <c r="P120" s="1" t="s">
        <v>260</v>
      </c>
      <c r="Q120" s="1"/>
      <c r="R120" s="1"/>
      <c r="S120" s="1"/>
      <c r="T120" s="1"/>
      <c r="U120" s="1"/>
      <c r="V120" s="1"/>
      <c r="Y120" t="s">
        <v>7</v>
      </c>
      <c r="Z120" t="s">
        <v>4316</v>
      </c>
      <c r="AA120" t="s">
        <v>4317</v>
      </c>
      <c r="AB120" t="s">
        <v>4579</v>
      </c>
      <c r="AC120" t="s">
        <v>4433</v>
      </c>
      <c r="AD120" s="18">
        <v>46112</v>
      </c>
    </row>
    <row r="121" spans="1:30" ht="150" hidden="1">
      <c r="A121" s="1" t="s">
        <v>965</v>
      </c>
      <c r="B121" s="1">
        <v>1120</v>
      </c>
      <c r="C121" s="1">
        <v>3</v>
      </c>
      <c r="D121" s="1">
        <v>6</v>
      </c>
      <c r="E121" s="1" t="s">
        <v>4297</v>
      </c>
      <c r="F121" s="1" t="s">
        <v>4299</v>
      </c>
      <c r="G121" s="1" t="s">
        <v>20</v>
      </c>
      <c r="H121" s="1" t="s">
        <v>492</v>
      </c>
      <c r="I121" s="1" t="s">
        <v>495</v>
      </c>
      <c r="J121" s="1" t="s">
        <v>494</v>
      </c>
      <c r="K121" s="1" t="s">
        <v>493</v>
      </c>
      <c r="L121" s="1" t="s">
        <v>496</v>
      </c>
      <c r="M121" s="1" t="s">
        <v>497</v>
      </c>
      <c r="N121" s="1"/>
      <c r="O121" s="1" t="s">
        <v>8</v>
      </c>
      <c r="P121" s="1" t="s">
        <v>498</v>
      </c>
      <c r="Q121" s="1"/>
      <c r="R121" s="1"/>
      <c r="S121" s="1"/>
      <c r="T121" s="1"/>
      <c r="U121" s="1"/>
      <c r="V121" s="1"/>
      <c r="Y121" t="s">
        <v>8</v>
      </c>
      <c r="Z121" t="s">
        <v>4316</v>
      </c>
      <c r="AA121" t="s">
        <v>4317</v>
      </c>
      <c r="AB121" t="s">
        <v>4580</v>
      </c>
      <c r="AC121" t="s">
        <v>4327</v>
      </c>
      <c r="AD121" s="18">
        <v>46112</v>
      </c>
    </row>
    <row r="122" spans="1:30" ht="90" hidden="1">
      <c r="A122" s="1" t="s">
        <v>965</v>
      </c>
      <c r="B122" s="1">
        <v>1121</v>
      </c>
      <c r="C122" s="1">
        <v>3</v>
      </c>
      <c r="D122" s="1">
        <v>7</v>
      </c>
      <c r="E122" s="1" t="s">
        <v>4290</v>
      </c>
      <c r="F122" s="1" t="s">
        <v>4302</v>
      </c>
      <c r="G122" s="1" t="s">
        <v>4294</v>
      </c>
      <c r="H122" s="1" t="s">
        <v>753</v>
      </c>
      <c r="I122" s="1" t="s">
        <v>754</v>
      </c>
      <c r="J122" s="1" t="s">
        <v>755</v>
      </c>
      <c r="K122" s="1" t="s">
        <v>756</v>
      </c>
      <c r="L122" s="1" t="s">
        <v>757</v>
      </c>
      <c r="M122" s="1"/>
      <c r="N122" s="1"/>
      <c r="O122" s="1" t="s">
        <v>7</v>
      </c>
      <c r="P122" s="1" t="s">
        <v>758</v>
      </c>
      <c r="Q122" s="1"/>
      <c r="R122" s="1"/>
      <c r="S122" s="1"/>
      <c r="T122" s="1"/>
      <c r="U122" s="1"/>
      <c r="V122" s="1"/>
      <c r="Y122" t="s">
        <v>7</v>
      </c>
      <c r="Z122" t="s">
        <v>4316</v>
      </c>
      <c r="AA122" t="s">
        <v>4317</v>
      </c>
      <c r="AB122" t="s">
        <v>4581</v>
      </c>
      <c r="AC122" t="s">
        <v>4382</v>
      </c>
      <c r="AD122" s="18">
        <v>46112</v>
      </c>
    </row>
    <row r="123" spans="1:30" ht="105" hidden="1">
      <c r="A123" s="1" t="s">
        <v>965</v>
      </c>
      <c r="B123" s="1">
        <v>1122</v>
      </c>
      <c r="C123" s="1">
        <v>3</v>
      </c>
      <c r="D123" s="1">
        <v>8</v>
      </c>
      <c r="E123" s="1" t="s">
        <v>4290</v>
      </c>
      <c r="F123" s="1" t="s">
        <v>4302</v>
      </c>
      <c r="G123" s="1" t="s">
        <v>20</v>
      </c>
      <c r="H123" s="1" t="s">
        <v>759</v>
      </c>
      <c r="I123" s="1" t="s">
        <v>760</v>
      </c>
      <c r="J123" s="1" t="s">
        <v>761</v>
      </c>
      <c r="K123" s="1" t="s">
        <v>762</v>
      </c>
      <c r="L123" s="1" t="s">
        <v>763</v>
      </c>
      <c r="M123" s="1"/>
      <c r="N123" s="1"/>
      <c r="O123" s="1" t="s">
        <v>10</v>
      </c>
      <c r="P123" s="1" t="s">
        <v>764</v>
      </c>
      <c r="Q123" s="1"/>
      <c r="R123" s="1"/>
      <c r="S123" s="1"/>
      <c r="T123" s="1"/>
      <c r="U123" s="1"/>
      <c r="V123" s="1"/>
      <c r="Y123" t="s">
        <v>10</v>
      </c>
      <c r="Z123" t="s">
        <v>4316</v>
      </c>
      <c r="AA123" t="s">
        <v>4317</v>
      </c>
      <c r="AB123" t="s">
        <v>4582</v>
      </c>
      <c r="AC123" t="s">
        <v>4583</v>
      </c>
      <c r="AD123" s="18">
        <v>46112</v>
      </c>
    </row>
    <row r="124" spans="1:30" ht="210" hidden="1">
      <c r="A124" s="1" t="s">
        <v>965</v>
      </c>
      <c r="B124" s="1">
        <v>1123</v>
      </c>
      <c r="C124" s="1">
        <v>3</v>
      </c>
      <c r="D124" s="1">
        <v>9</v>
      </c>
      <c r="E124" s="1" t="s">
        <v>4297</v>
      </c>
      <c r="F124" s="1" t="s">
        <v>4298</v>
      </c>
      <c r="G124" s="1" t="s">
        <v>4294</v>
      </c>
      <c r="H124" s="1" t="s">
        <v>446</v>
      </c>
      <c r="I124" s="1" t="s">
        <v>450</v>
      </c>
      <c r="J124" s="1" t="s">
        <v>448</v>
      </c>
      <c r="K124" s="1" t="s">
        <v>448</v>
      </c>
      <c r="L124" s="1" t="s">
        <v>447</v>
      </c>
      <c r="M124" s="1" t="s">
        <v>449</v>
      </c>
      <c r="N124" s="1"/>
      <c r="O124" s="1" t="s">
        <v>10</v>
      </c>
      <c r="P124" s="1" t="s">
        <v>451</v>
      </c>
      <c r="Q124" s="1"/>
      <c r="R124" s="1"/>
      <c r="S124" s="1"/>
      <c r="T124" s="1"/>
      <c r="U124" s="1"/>
      <c r="V124" s="1"/>
      <c r="Y124" t="s">
        <v>10</v>
      </c>
      <c r="Z124" t="s">
        <v>4316</v>
      </c>
      <c r="AA124" t="s">
        <v>4317</v>
      </c>
      <c r="AB124" t="s">
        <v>4584</v>
      </c>
      <c r="AC124" t="s">
        <v>4418</v>
      </c>
      <c r="AD124" s="18">
        <v>46112</v>
      </c>
    </row>
    <row r="125" spans="1:30" ht="120" hidden="1">
      <c r="A125" s="1" t="s">
        <v>965</v>
      </c>
      <c r="B125" s="1">
        <v>1124</v>
      </c>
      <c r="C125" s="1">
        <v>3</v>
      </c>
      <c r="D125" s="1">
        <v>10</v>
      </c>
      <c r="E125" s="1" t="s">
        <v>4292</v>
      </c>
      <c r="F125" s="1" t="s">
        <v>4303</v>
      </c>
      <c r="G125" s="1" t="s">
        <v>20</v>
      </c>
      <c r="H125" s="1" t="s">
        <v>765</v>
      </c>
      <c r="I125" s="1" t="s">
        <v>766</v>
      </c>
      <c r="J125" s="1" t="s">
        <v>767</v>
      </c>
      <c r="K125" s="1" t="s">
        <v>768</v>
      </c>
      <c r="L125" s="1" t="s">
        <v>769</v>
      </c>
      <c r="M125" s="1"/>
      <c r="N125" s="1"/>
      <c r="O125" s="1" t="s">
        <v>9</v>
      </c>
      <c r="P125" s="1" t="s">
        <v>770</v>
      </c>
      <c r="Q125" s="1"/>
      <c r="R125" s="1"/>
      <c r="S125" s="1"/>
      <c r="T125" s="1"/>
      <c r="U125" s="1">
        <v>1</v>
      </c>
      <c r="V125" s="1"/>
      <c r="Y125" t="s">
        <v>9</v>
      </c>
      <c r="Z125" t="s">
        <v>4316</v>
      </c>
      <c r="AA125" t="s">
        <v>4317</v>
      </c>
      <c r="AB125" t="s">
        <v>4585</v>
      </c>
      <c r="AC125" t="s">
        <v>4327</v>
      </c>
      <c r="AD125" s="18">
        <v>46112</v>
      </c>
    </row>
    <row r="126" spans="1:30" ht="135" hidden="1">
      <c r="A126" s="1" t="s">
        <v>965</v>
      </c>
      <c r="B126" s="1">
        <v>1125</v>
      </c>
      <c r="C126" s="1">
        <v>3</v>
      </c>
      <c r="D126" s="1">
        <v>11</v>
      </c>
      <c r="E126" s="1" t="s">
        <v>4290</v>
      </c>
      <c r="F126" s="1" t="s">
        <v>4302</v>
      </c>
      <c r="G126" s="1" t="s">
        <v>20</v>
      </c>
      <c r="H126" s="1" t="s">
        <v>641</v>
      </c>
      <c r="I126" s="1" t="s">
        <v>643</v>
      </c>
      <c r="J126" s="1" t="s">
        <v>642</v>
      </c>
      <c r="K126" s="1" t="s">
        <v>645</v>
      </c>
      <c r="L126" s="1" t="s">
        <v>644</v>
      </c>
      <c r="M126" s="1"/>
      <c r="N126" s="1"/>
      <c r="O126" s="1" t="s">
        <v>8</v>
      </c>
      <c r="P126" s="1" t="s">
        <v>646</v>
      </c>
      <c r="Q126" s="1"/>
      <c r="R126" s="1"/>
      <c r="S126" s="1"/>
      <c r="T126" s="1"/>
      <c r="U126" s="1"/>
      <c r="V126" s="1"/>
      <c r="Y126" t="s">
        <v>8</v>
      </c>
      <c r="Z126" t="s">
        <v>4316</v>
      </c>
      <c r="AA126" t="s">
        <v>4317</v>
      </c>
      <c r="AB126" t="s">
        <v>4553</v>
      </c>
      <c r="AC126" t="s">
        <v>4366</v>
      </c>
      <c r="AD126" s="18">
        <v>46112</v>
      </c>
    </row>
    <row r="127" spans="1:30" ht="210" hidden="1">
      <c r="A127" s="1" t="s">
        <v>965</v>
      </c>
      <c r="B127" s="1">
        <v>1126</v>
      </c>
      <c r="C127" s="1">
        <v>3</v>
      </c>
      <c r="D127" s="1">
        <v>12</v>
      </c>
      <c r="E127" s="1" t="s">
        <v>4297</v>
      </c>
      <c r="F127" s="1" t="s">
        <v>4298</v>
      </c>
      <c r="G127" s="1" t="s">
        <v>20</v>
      </c>
      <c r="H127" s="1" t="s">
        <v>354</v>
      </c>
      <c r="I127" s="1" t="s">
        <v>356</v>
      </c>
      <c r="J127" s="1" t="s">
        <v>355</v>
      </c>
      <c r="K127" s="1" t="s">
        <v>357</v>
      </c>
      <c r="L127" s="1" t="s">
        <v>216</v>
      </c>
      <c r="M127" s="1" t="s">
        <v>358</v>
      </c>
      <c r="N127" s="1"/>
      <c r="O127" s="1" t="s">
        <v>7</v>
      </c>
      <c r="P127" s="1" t="s">
        <v>359</v>
      </c>
      <c r="Q127" s="1"/>
      <c r="R127" s="1"/>
      <c r="S127" s="1"/>
      <c r="T127" s="1"/>
      <c r="U127" s="1"/>
      <c r="V127" s="1"/>
      <c r="Y127" t="s">
        <v>7</v>
      </c>
      <c r="Z127" t="s">
        <v>4316</v>
      </c>
      <c r="AA127" t="s">
        <v>4317</v>
      </c>
      <c r="AB127" t="s">
        <v>4586</v>
      </c>
      <c r="AC127" t="s">
        <v>4323</v>
      </c>
      <c r="AD127" s="18">
        <v>46112</v>
      </c>
    </row>
    <row r="128" spans="1:30" ht="315" hidden="1">
      <c r="A128" s="1" t="s">
        <v>965</v>
      </c>
      <c r="B128" s="1">
        <v>1127</v>
      </c>
      <c r="C128" s="1">
        <v>3</v>
      </c>
      <c r="D128" s="1">
        <v>13</v>
      </c>
      <c r="E128" s="1" t="s">
        <v>4297</v>
      </c>
      <c r="F128" s="1" t="s">
        <v>4298</v>
      </c>
      <c r="G128" s="1" t="s">
        <v>4294</v>
      </c>
      <c r="H128" s="1" t="s">
        <v>771</v>
      </c>
      <c r="I128" s="1" t="s">
        <v>772</v>
      </c>
      <c r="J128" s="1" t="s">
        <v>775</v>
      </c>
      <c r="K128" s="1" t="s">
        <v>773</v>
      </c>
      <c r="L128" s="1" t="s">
        <v>774</v>
      </c>
      <c r="M128" s="1"/>
      <c r="N128" s="1"/>
      <c r="O128" s="1" t="s">
        <v>9</v>
      </c>
      <c r="P128" s="1" t="s">
        <v>776</v>
      </c>
      <c r="Q128" s="1"/>
      <c r="R128" s="1"/>
      <c r="S128" s="1"/>
      <c r="T128" s="1">
        <v>1</v>
      </c>
      <c r="U128" s="1"/>
      <c r="V128" s="1"/>
      <c r="Y128" t="s">
        <v>9</v>
      </c>
      <c r="Z128" t="s">
        <v>4316</v>
      </c>
      <c r="AA128" t="s">
        <v>4317</v>
      </c>
      <c r="AB128" t="s">
        <v>4587</v>
      </c>
      <c r="AC128" t="s">
        <v>4327</v>
      </c>
      <c r="AD128" s="18">
        <v>46112</v>
      </c>
    </row>
    <row r="129" spans="1:30" ht="390" hidden="1">
      <c r="A129" s="1" t="s">
        <v>965</v>
      </c>
      <c r="B129" s="1">
        <v>1128</v>
      </c>
      <c r="C129" s="1">
        <v>3</v>
      </c>
      <c r="D129" s="1">
        <v>14</v>
      </c>
      <c r="E129" s="1" t="s">
        <v>4295</v>
      </c>
      <c r="F129" s="1" t="s">
        <v>4296</v>
      </c>
      <c r="G129" s="1" t="s">
        <v>4294</v>
      </c>
      <c r="H129" s="1" t="s">
        <v>374</v>
      </c>
      <c r="I129" s="1" t="s">
        <v>378</v>
      </c>
      <c r="J129" s="1" t="s">
        <v>379</v>
      </c>
      <c r="K129" s="1" t="s">
        <v>377</v>
      </c>
      <c r="L129" s="1" t="s">
        <v>375</v>
      </c>
      <c r="M129" s="1" t="s">
        <v>376</v>
      </c>
      <c r="N129" s="1"/>
      <c r="O129" s="1" t="s">
        <v>10</v>
      </c>
      <c r="P129" s="1" t="s">
        <v>380</v>
      </c>
      <c r="Q129" s="1"/>
      <c r="R129" s="1"/>
      <c r="S129" s="1"/>
      <c r="T129" s="1"/>
      <c r="U129" s="1"/>
      <c r="V129" s="1"/>
      <c r="Y129" t="s">
        <v>10</v>
      </c>
      <c r="Z129" t="s">
        <v>4316</v>
      </c>
      <c r="AA129" t="s">
        <v>4317</v>
      </c>
      <c r="AB129" t="s">
        <v>4588</v>
      </c>
      <c r="AC129" t="s">
        <v>4444</v>
      </c>
      <c r="AD129" s="18">
        <v>46112</v>
      </c>
    </row>
    <row r="130" spans="1:30" ht="150" hidden="1">
      <c r="A130" s="1" t="s">
        <v>965</v>
      </c>
      <c r="B130" s="1">
        <v>1129</v>
      </c>
      <c r="C130" s="1">
        <v>3</v>
      </c>
      <c r="D130" s="1">
        <v>15</v>
      </c>
      <c r="E130" s="1" t="s">
        <v>4292</v>
      </c>
      <c r="F130" s="1" t="s">
        <v>4293</v>
      </c>
      <c r="G130" s="1" t="s">
        <v>4294</v>
      </c>
      <c r="H130" s="1" t="s">
        <v>660</v>
      </c>
      <c r="I130" s="1" t="s">
        <v>661</v>
      </c>
      <c r="J130" s="1" t="s">
        <v>664</v>
      </c>
      <c r="K130" s="1" t="s">
        <v>663</v>
      </c>
      <c r="L130" s="1" t="s">
        <v>662</v>
      </c>
      <c r="M130" s="1"/>
      <c r="N130" s="1"/>
      <c r="O130" s="1" t="s">
        <v>7</v>
      </c>
      <c r="P130" s="1" t="s">
        <v>665</v>
      </c>
      <c r="Q130" s="1"/>
      <c r="R130" s="1"/>
      <c r="S130" s="1"/>
      <c r="T130" s="1"/>
      <c r="U130" s="1"/>
      <c r="V130" s="1"/>
      <c r="Y130" t="s">
        <v>7</v>
      </c>
      <c r="Z130" t="s">
        <v>4316</v>
      </c>
      <c r="AA130" t="s">
        <v>4317</v>
      </c>
      <c r="AB130" t="s">
        <v>4589</v>
      </c>
      <c r="AC130" t="s">
        <v>4366</v>
      </c>
      <c r="AD130" s="18">
        <v>46112</v>
      </c>
    </row>
    <row r="131" spans="1:30" ht="210" hidden="1">
      <c r="A131" s="1" t="s">
        <v>965</v>
      </c>
      <c r="B131" s="1">
        <v>1130</v>
      </c>
      <c r="C131" s="1">
        <v>3</v>
      </c>
      <c r="D131" s="1">
        <v>16</v>
      </c>
      <c r="E131" s="1" t="s">
        <v>4297</v>
      </c>
      <c r="F131" s="1" t="s">
        <v>4298</v>
      </c>
      <c r="G131" s="1" t="s">
        <v>4294</v>
      </c>
      <c r="H131" s="1" t="s">
        <v>413</v>
      </c>
      <c r="I131" s="1" t="s">
        <v>414</v>
      </c>
      <c r="J131" s="1" t="s">
        <v>417</v>
      </c>
      <c r="K131" s="1" t="s">
        <v>418</v>
      </c>
      <c r="L131" s="1" t="s">
        <v>416</v>
      </c>
      <c r="M131" s="1" t="s">
        <v>415</v>
      </c>
      <c r="N131" s="1"/>
      <c r="O131" s="1" t="s">
        <v>9</v>
      </c>
      <c r="P131" s="1" t="s">
        <v>419</v>
      </c>
      <c r="Q131" s="1"/>
      <c r="R131" s="1"/>
      <c r="S131" s="1"/>
      <c r="T131" s="1"/>
      <c r="U131" s="1"/>
      <c r="V131" s="1"/>
      <c r="Y131" t="s">
        <v>9</v>
      </c>
      <c r="Z131" t="s">
        <v>4316</v>
      </c>
      <c r="AA131" t="s">
        <v>4317</v>
      </c>
      <c r="AB131" t="s">
        <v>4590</v>
      </c>
      <c r="AC131" t="s">
        <v>4512</v>
      </c>
      <c r="AD131" s="18">
        <v>46112</v>
      </c>
    </row>
    <row r="132" spans="1:30" ht="210" hidden="1">
      <c r="A132" s="1" t="s">
        <v>965</v>
      </c>
      <c r="B132" s="1">
        <v>1131</v>
      </c>
      <c r="C132" s="1">
        <v>3</v>
      </c>
      <c r="D132" s="1">
        <v>17</v>
      </c>
      <c r="E132" s="1" t="s">
        <v>4292</v>
      </c>
      <c r="F132" s="1" t="s">
        <v>4303</v>
      </c>
      <c r="G132" s="1" t="s">
        <v>20</v>
      </c>
      <c r="H132" s="1" t="s">
        <v>777</v>
      </c>
      <c r="I132" s="1" t="s">
        <v>778</v>
      </c>
      <c r="J132" s="1" t="s">
        <v>779</v>
      </c>
      <c r="K132" s="1" t="s">
        <v>780</v>
      </c>
      <c r="L132" s="1" t="s">
        <v>781</v>
      </c>
      <c r="M132" s="1"/>
      <c r="N132" s="1"/>
      <c r="O132" s="1" t="s">
        <v>10</v>
      </c>
      <c r="P132" s="1" t="s">
        <v>782</v>
      </c>
      <c r="Q132" s="1"/>
      <c r="R132" s="1"/>
      <c r="S132" s="1"/>
      <c r="T132" s="1"/>
      <c r="U132" s="1"/>
      <c r="V132" s="1"/>
      <c r="Y132" t="s">
        <v>10</v>
      </c>
      <c r="Z132" t="s">
        <v>4316</v>
      </c>
      <c r="AA132" t="s">
        <v>4317</v>
      </c>
      <c r="AB132" t="s">
        <v>4591</v>
      </c>
      <c r="AC132" t="s">
        <v>4321</v>
      </c>
      <c r="AD132" s="18">
        <v>46112</v>
      </c>
    </row>
    <row r="133" spans="1:30" ht="105" hidden="1">
      <c r="A133" s="1" t="s">
        <v>965</v>
      </c>
      <c r="B133" s="1">
        <v>1132</v>
      </c>
      <c r="C133" s="1">
        <v>3</v>
      </c>
      <c r="D133" s="1">
        <v>18</v>
      </c>
      <c r="E133" s="1" t="s">
        <v>4295</v>
      </c>
      <c r="F133" s="1" t="s">
        <v>4296</v>
      </c>
      <c r="G133" s="1" t="s">
        <v>20</v>
      </c>
      <c r="H133" s="1" t="s">
        <v>267</v>
      </c>
      <c r="I133" s="1" t="s">
        <v>271</v>
      </c>
      <c r="J133" s="1" t="s">
        <v>269</v>
      </c>
      <c r="K133" s="1" t="s">
        <v>268</v>
      </c>
      <c r="L133" s="1" t="s">
        <v>270</v>
      </c>
      <c r="M133" s="1"/>
      <c r="N133" s="1"/>
      <c r="O133" s="1" t="s">
        <v>10</v>
      </c>
      <c r="P133" s="1" t="s">
        <v>272</v>
      </c>
      <c r="Q133" s="1"/>
      <c r="R133" s="1"/>
      <c r="S133" s="1"/>
      <c r="T133" s="1"/>
      <c r="U133" s="1">
        <v>1</v>
      </c>
      <c r="V133" s="1"/>
      <c r="Y133" t="s">
        <v>10</v>
      </c>
      <c r="Z133" t="s">
        <v>4316</v>
      </c>
      <c r="AA133" t="s">
        <v>4317</v>
      </c>
      <c r="AB133" t="s">
        <v>4592</v>
      </c>
      <c r="AC133" t="s">
        <v>4444</v>
      </c>
      <c r="AD133" s="18">
        <v>46112</v>
      </c>
    </row>
    <row r="134" spans="1:30" ht="75" hidden="1">
      <c r="A134" s="1" t="s">
        <v>965</v>
      </c>
      <c r="B134" s="1">
        <v>1133</v>
      </c>
      <c r="C134" s="1">
        <v>3</v>
      </c>
      <c r="D134" s="1">
        <v>19</v>
      </c>
      <c r="E134" s="1" t="s">
        <v>4295</v>
      </c>
      <c r="F134" s="1" t="s">
        <v>4296</v>
      </c>
      <c r="G134" s="1" t="s">
        <v>20</v>
      </c>
      <c r="H134" s="1" t="s">
        <v>783</v>
      </c>
      <c r="I134" s="1" t="s">
        <v>784</v>
      </c>
      <c r="J134" s="1" t="s">
        <v>785</v>
      </c>
      <c r="K134" s="1" t="s">
        <v>786</v>
      </c>
      <c r="L134" s="1" t="s">
        <v>787</v>
      </c>
      <c r="M134" s="1"/>
      <c r="N134" s="1"/>
      <c r="O134" s="1" t="s">
        <v>9</v>
      </c>
      <c r="P134" s="1" t="s">
        <v>788</v>
      </c>
      <c r="Q134" s="1"/>
      <c r="R134" s="1"/>
      <c r="S134" s="1"/>
      <c r="T134" s="1"/>
      <c r="U134" s="1"/>
      <c r="V134" s="1"/>
      <c r="Y134" t="s">
        <v>9</v>
      </c>
      <c r="Z134" t="s">
        <v>4316</v>
      </c>
      <c r="AA134" t="s">
        <v>4317</v>
      </c>
      <c r="AB134" t="s">
        <v>4593</v>
      </c>
      <c r="AC134" t="s">
        <v>4354</v>
      </c>
      <c r="AD134" s="18">
        <v>46112</v>
      </c>
    </row>
    <row r="135" spans="1:30" ht="165" hidden="1">
      <c r="A135" s="1" t="s">
        <v>965</v>
      </c>
      <c r="B135" s="1">
        <v>1134</v>
      </c>
      <c r="C135" s="1">
        <v>3</v>
      </c>
      <c r="D135" s="1">
        <v>20</v>
      </c>
      <c r="E135" s="1" t="s">
        <v>4297</v>
      </c>
      <c r="F135" s="1" t="s">
        <v>4298</v>
      </c>
      <c r="G135" s="1" t="s">
        <v>4294</v>
      </c>
      <c r="H135" s="1" t="s">
        <v>306</v>
      </c>
      <c r="I135" s="1" t="s">
        <v>308</v>
      </c>
      <c r="J135" s="1" t="s">
        <v>311</v>
      </c>
      <c r="K135" s="1" t="s">
        <v>307</v>
      </c>
      <c r="L135" s="1" t="s">
        <v>310</v>
      </c>
      <c r="M135" s="1" t="s">
        <v>309</v>
      </c>
      <c r="N135" s="1"/>
      <c r="O135" s="1" t="s">
        <v>11</v>
      </c>
      <c r="P135" s="1" t="s">
        <v>312</v>
      </c>
      <c r="Q135" s="1"/>
      <c r="R135" s="1"/>
      <c r="S135" s="1"/>
      <c r="T135" s="1"/>
      <c r="U135" s="1"/>
      <c r="V135" s="1"/>
      <c r="Y135" t="s">
        <v>11</v>
      </c>
      <c r="Z135" t="s">
        <v>4316</v>
      </c>
      <c r="AA135" t="s">
        <v>4317</v>
      </c>
      <c r="AB135" t="s">
        <v>4594</v>
      </c>
      <c r="AC135" t="s">
        <v>4327</v>
      </c>
      <c r="AD135" s="18">
        <v>46112</v>
      </c>
    </row>
    <row r="136" spans="1:30" ht="90" hidden="1">
      <c r="A136" s="1" t="s">
        <v>965</v>
      </c>
      <c r="B136" s="1">
        <v>1135</v>
      </c>
      <c r="C136" s="1">
        <v>3</v>
      </c>
      <c r="D136" s="1">
        <v>21</v>
      </c>
      <c r="E136" s="1" t="s">
        <v>4292</v>
      </c>
      <c r="F136" s="1" t="s">
        <v>4303</v>
      </c>
      <c r="G136" s="1" t="s">
        <v>20</v>
      </c>
      <c r="H136" s="1" t="s">
        <v>789</v>
      </c>
      <c r="I136" s="1" t="s">
        <v>790</v>
      </c>
      <c r="J136" s="1" t="s">
        <v>791</v>
      </c>
      <c r="K136" s="1" t="s">
        <v>792</v>
      </c>
      <c r="L136" s="1" t="s">
        <v>793</v>
      </c>
      <c r="M136" s="1"/>
      <c r="N136" s="1"/>
      <c r="O136" s="1" t="s">
        <v>10</v>
      </c>
      <c r="P136" s="1" t="s">
        <v>827</v>
      </c>
      <c r="Q136" s="1"/>
      <c r="R136" s="1"/>
      <c r="S136" s="1"/>
      <c r="T136" s="1"/>
      <c r="U136" s="1"/>
      <c r="V136" s="1"/>
      <c r="Y136" t="s">
        <v>10</v>
      </c>
      <c r="Z136" t="s">
        <v>4316</v>
      </c>
      <c r="AA136" t="s">
        <v>4317</v>
      </c>
      <c r="AB136" t="s">
        <v>4595</v>
      </c>
      <c r="AC136" t="s">
        <v>4338</v>
      </c>
      <c r="AD136" s="18">
        <v>46112</v>
      </c>
    </row>
    <row r="137" spans="1:30" ht="210" hidden="1">
      <c r="A137" s="1" t="s">
        <v>965</v>
      </c>
      <c r="B137" s="1">
        <v>1136</v>
      </c>
      <c r="C137" s="1">
        <v>3</v>
      </c>
      <c r="D137" s="1">
        <v>22</v>
      </c>
      <c r="E137" s="1" t="s">
        <v>4305</v>
      </c>
      <c r="F137" s="1" t="s">
        <v>4307</v>
      </c>
      <c r="G137" s="1" t="s">
        <v>40</v>
      </c>
      <c r="H137" s="1" t="s">
        <v>794</v>
      </c>
      <c r="I137" s="1" t="s">
        <v>795</v>
      </c>
      <c r="J137" s="1" t="s">
        <v>796</v>
      </c>
      <c r="K137" s="1" t="s">
        <v>797</v>
      </c>
      <c r="L137" s="1" t="s">
        <v>798</v>
      </c>
      <c r="M137" s="1" t="s">
        <v>799</v>
      </c>
      <c r="N137" s="1"/>
      <c r="O137" s="1" t="s">
        <v>9</v>
      </c>
      <c r="P137" s="1" t="s">
        <v>828</v>
      </c>
      <c r="Q137" s="1"/>
      <c r="R137" s="1"/>
      <c r="S137" s="1"/>
      <c r="T137" s="1"/>
      <c r="U137" s="1"/>
      <c r="V137" s="1"/>
      <c r="Y137" t="s">
        <v>9</v>
      </c>
      <c r="Z137" t="s">
        <v>4316</v>
      </c>
      <c r="AA137" t="s">
        <v>4317</v>
      </c>
      <c r="AB137" t="s">
        <v>4596</v>
      </c>
      <c r="AC137" t="s">
        <v>4487</v>
      </c>
      <c r="AD137" s="18">
        <v>46112</v>
      </c>
    </row>
    <row r="138" spans="1:30" ht="60" hidden="1">
      <c r="A138" s="1" t="s">
        <v>965</v>
      </c>
      <c r="B138" s="1">
        <v>1137</v>
      </c>
      <c r="C138" s="1">
        <v>3</v>
      </c>
      <c r="D138" s="1">
        <v>23</v>
      </c>
      <c r="E138" s="1" t="s">
        <v>4292</v>
      </c>
      <c r="F138" s="1" t="s">
        <v>4303</v>
      </c>
      <c r="G138" s="1" t="s">
        <v>20</v>
      </c>
      <c r="H138" s="1" t="s">
        <v>800</v>
      </c>
      <c r="I138" s="1" t="s">
        <v>801</v>
      </c>
      <c r="J138" s="1" t="s">
        <v>802</v>
      </c>
      <c r="K138" s="1" t="s">
        <v>803</v>
      </c>
      <c r="L138" s="1" t="s">
        <v>804</v>
      </c>
      <c r="M138" s="1"/>
      <c r="N138" s="1"/>
      <c r="O138" s="1" t="s">
        <v>9</v>
      </c>
      <c r="P138" s="1" t="s">
        <v>829</v>
      </c>
      <c r="Q138" s="1"/>
      <c r="R138" s="1"/>
      <c r="S138" s="1"/>
      <c r="T138" s="1"/>
      <c r="U138" s="1"/>
      <c r="V138" s="1"/>
      <c r="Y138" t="s">
        <v>9</v>
      </c>
      <c r="Z138" t="s">
        <v>4316</v>
      </c>
      <c r="AA138" t="s">
        <v>4317</v>
      </c>
      <c r="AB138" t="s">
        <v>4597</v>
      </c>
      <c r="AC138" t="s">
        <v>4399</v>
      </c>
      <c r="AD138" s="18">
        <v>46112</v>
      </c>
    </row>
    <row r="139" spans="1:30" ht="409.5" hidden="1">
      <c r="A139" s="1" t="s">
        <v>965</v>
      </c>
      <c r="B139" s="1">
        <v>1138</v>
      </c>
      <c r="C139" s="1">
        <v>3</v>
      </c>
      <c r="D139" s="1">
        <v>24</v>
      </c>
      <c r="E139" s="1" t="s">
        <v>4292</v>
      </c>
      <c r="F139" s="1" t="s">
        <v>4293</v>
      </c>
      <c r="G139" s="1" t="s">
        <v>40</v>
      </c>
      <c r="H139" s="1" t="s">
        <v>753</v>
      </c>
      <c r="I139" s="1" t="s">
        <v>754</v>
      </c>
      <c r="J139" s="1" t="s">
        <v>757</v>
      </c>
      <c r="K139" s="1" t="s">
        <v>756</v>
      </c>
      <c r="L139" s="1" t="s">
        <v>755</v>
      </c>
      <c r="M139" s="1"/>
      <c r="N139" s="1"/>
      <c r="O139" s="1" t="s">
        <v>7</v>
      </c>
      <c r="P139" s="1" t="s">
        <v>830</v>
      </c>
      <c r="Q139" s="1"/>
      <c r="R139" s="1"/>
      <c r="S139" s="1"/>
      <c r="T139" s="1"/>
      <c r="U139" s="1"/>
      <c r="V139" s="1"/>
      <c r="Y139" t="s">
        <v>7</v>
      </c>
      <c r="Z139" t="s">
        <v>4316</v>
      </c>
      <c r="AA139" t="s">
        <v>4317</v>
      </c>
      <c r="AB139" t="s">
        <v>4598</v>
      </c>
      <c r="AC139" t="s">
        <v>4382</v>
      </c>
      <c r="AD139" s="18">
        <v>46112</v>
      </c>
    </row>
    <row r="140" spans="1:30" ht="409.5" hidden="1">
      <c r="A140" s="1" t="s">
        <v>965</v>
      </c>
      <c r="B140" s="1">
        <v>1139</v>
      </c>
      <c r="C140" s="1">
        <v>3</v>
      </c>
      <c r="D140" s="1">
        <v>25</v>
      </c>
      <c r="E140" s="1" t="s">
        <v>4305</v>
      </c>
      <c r="F140" s="1" t="s">
        <v>4307</v>
      </c>
      <c r="G140" s="1" t="s">
        <v>20</v>
      </c>
      <c r="H140" s="1" t="s">
        <v>740</v>
      </c>
      <c r="I140" s="1" t="s">
        <v>742</v>
      </c>
      <c r="J140" s="1" t="s">
        <v>743</v>
      </c>
      <c r="K140" s="1" t="s">
        <v>741</v>
      </c>
      <c r="L140" s="1" t="s">
        <v>744</v>
      </c>
      <c r="M140" s="1"/>
      <c r="N140" s="1"/>
      <c r="O140" s="1" t="s">
        <v>8</v>
      </c>
      <c r="P140" s="1" t="s">
        <v>831</v>
      </c>
      <c r="Q140" s="1"/>
      <c r="R140" s="1"/>
      <c r="S140" s="1"/>
      <c r="T140" s="1"/>
      <c r="U140" s="1">
        <v>1</v>
      </c>
      <c r="V140" s="1"/>
      <c r="Y140" t="s">
        <v>8</v>
      </c>
      <c r="Z140" t="s">
        <v>4316</v>
      </c>
      <c r="AA140" t="s">
        <v>4317</v>
      </c>
      <c r="AB140" t="s">
        <v>4599</v>
      </c>
      <c r="AC140" t="s">
        <v>4577</v>
      </c>
      <c r="AD140" s="18">
        <v>46112</v>
      </c>
    </row>
    <row r="141" spans="1:30" ht="409.5" hidden="1">
      <c r="A141" s="1" t="s">
        <v>965</v>
      </c>
      <c r="B141" s="1">
        <v>1140</v>
      </c>
      <c r="C141" s="1">
        <v>3</v>
      </c>
      <c r="D141" s="1">
        <v>26</v>
      </c>
      <c r="E141" s="1" t="s">
        <v>4290</v>
      </c>
      <c r="F141" s="1" t="s">
        <v>4302</v>
      </c>
      <c r="G141" s="1" t="s">
        <v>4294</v>
      </c>
      <c r="H141" s="1" t="s">
        <v>805</v>
      </c>
      <c r="I141" s="1" t="s">
        <v>806</v>
      </c>
      <c r="J141" s="1" t="s">
        <v>807</v>
      </c>
      <c r="K141" s="1" t="s">
        <v>808</v>
      </c>
      <c r="L141" s="1" t="s">
        <v>809</v>
      </c>
      <c r="M141" s="1" t="s">
        <v>810</v>
      </c>
      <c r="N141" s="1"/>
      <c r="O141" s="1" t="s">
        <v>10</v>
      </c>
      <c r="P141" s="1" t="s">
        <v>832</v>
      </c>
      <c r="Q141" s="1"/>
      <c r="R141" s="1"/>
      <c r="S141" s="1"/>
      <c r="T141" s="1"/>
      <c r="U141" s="1"/>
      <c r="V141" s="1"/>
      <c r="Y141" t="s">
        <v>10</v>
      </c>
      <c r="Z141" t="s">
        <v>4316</v>
      </c>
      <c r="AA141" t="s">
        <v>4317</v>
      </c>
      <c r="AB141" t="s">
        <v>4600</v>
      </c>
      <c r="AC141" t="s">
        <v>4336</v>
      </c>
      <c r="AD141" s="18">
        <v>46112</v>
      </c>
    </row>
    <row r="142" spans="1:30" ht="409.5" hidden="1">
      <c r="A142" s="1" t="s">
        <v>965</v>
      </c>
      <c r="B142" s="1">
        <v>1141</v>
      </c>
      <c r="C142" s="1">
        <v>3</v>
      </c>
      <c r="D142" s="1">
        <v>27</v>
      </c>
      <c r="E142" s="1" t="s">
        <v>4305</v>
      </c>
      <c r="F142" s="1" t="s">
        <v>4307</v>
      </c>
      <c r="G142" s="1" t="s">
        <v>4294</v>
      </c>
      <c r="H142" s="1" t="s">
        <v>811</v>
      </c>
      <c r="I142" s="1" t="s">
        <v>812</v>
      </c>
      <c r="J142" s="1" t="s">
        <v>813</v>
      </c>
      <c r="K142" s="1" t="s">
        <v>814</v>
      </c>
      <c r="L142" s="1" t="s">
        <v>815</v>
      </c>
      <c r="M142" s="1"/>
      <c r="N142" s="1"/>
      <c r="O142" s="1" t="s">
        <v>8</v>
      </c>
      <c r="P142" s="1" t="s">
        <v>833</v>
      </c>
      <c r="Q142" s="1"/>
      <c r="R142" s="1"/>
      <c r="S142" s="1"/>
      <c r="T142" s="1"/>
      <c r="U142" s="1"/>
      <c r="V142" s="1"/>
      <c r="Y142" t="s">
        <v>8</v>
      </c>
      <c r="Z142" t="s">
        <v>4316</v>
      </c>
      <c r="AA142" t="s">
        <v>4317</v>
      </c>
      <c r="AB142" t="s">
        <v>4601</v>
      </c>
      <c r="AC142" t="s">
        <v>4544</v>
      </c>
      <c r="AD142" s="18">
        <v>46112</v>
      </c>
    </row>
    <row r="143" spans="1:30" ht="409.5" hidden="1">
      <c r="A143" s="1" t="s">
        <v>965</v>
      </c>
      <c r="B143" s="1">
        <v>1142</v>
      </c>
      <c r="C143" s="1">
        <v>3</v>
      </c>
      <c r="D143" s="1">
        <v>28</v>
      </c>
      <c r="E143" s="1" t="s">
        <v>4305</v>
      </c>
      <c r="F143" s="1" t="s">
        <v>4307</v>
      </c>
      <c r="G143" s="1" t="s">
        <v>4294</v>
      </c>
      <c r="H143" s="1" t="s">
        <v>816</v>
      </c>
      <c r="I143" s="1" t="s">
        <v>817</v>
      </c>
      <c r="J143" s="1" t="s">
        <v>818</v>
      </c>
      <c r="K143" s="1" t="s">
        <v>819</v>
      </c>
      <c r="L143" s="1" t="s">
        <v>820</v>
      </c>
      <c r="M143" s="1" t="s">
        <v>821</v>
      </c>
      <c r="N143" s="1"/>
      <c r="O143" s="1" t="s">
        <v>7</v>
      </c>
      <c r="P143" s="1" t="s">
        <v>834</v>
      </c>
      <c r="Q143" s="1"/>
      <c r="R143" s="1"/>
      <c r="S143" s="1"/>
      <c r="T143" s="1"/>
      <c r="U143" s="1"/>
      <c r="V143" s="1"/>
      <c r="Y143" t="s">
        <v>7</v>
      </c>
      <c r="Z143" t="s">
        <v>4316</v>
      </c>
      <c r="AA143" t="s">
        <v>4317</v>
      </c>
      <c r="AB143" t="s">
        <v>4602</v>
      </c>
      <c r="AC143" t="s">
        <v>4399</v>
      </c>
      <c r="AD143" s="18">
        <v>46112</v>
      </c>
    </row>
    <row r="144" spans="1:30" ht="165" hidden="1">
      <c r="A144" s="1" t="s">
        <v>965</v>
      </c>
      <c r="B144" s="1">
        <v>1143</v>
      </c>
      <c r="C144" s="1">
        <v>3</v>
      </c>
      <c r="D144" s="1">
        <v>29</v>
      </c>
      <c r="E144" s="1" t="s">
        <v>4297</v>
      </c>
      <c r="F144" s="1" t="s">
        <v>4299</v>
      </c>
      <c r="G144" s="1" t="s">
        <v>20</v>
      </c>
      <c r="H144" s="1" t="s">
        <v>3532</v>
      </c>
      <c r="I144" s="1" t="s">
        <v>822</v>
      </c>
      <c r="J144" s="1" t="s">
        <v>823</v>
      </c>
      <c r="K144" s="1" t="s">
        <v>824</v>
      </c>
      <c r="L144" s="1" t="s">
        <v>825</v>
      </c>
      <c r="M144" s="1" t="s">
        <v>826</v>
      </c>
      <c r="N144" s="1"/>
      <c r="O144" s="1" t="s">
        <v>7</v>
      </c>
      <c r="P144" s="1" t="s">
        <v>835</v>
      </c>
      <c r="Q144" s="1"/>
      <c r="R144" s="1"/>
      <c r="S144" s="1"/>
      <c r="T144" s="1">
        <v>1</v>
      </c>
      <c r="U144" s="1"/>
      <c r="V144" s="1"/>
      <c r="Y144" t="s">
        <v>7</v>
      </c>
      <c r="Z144" t="s">
        <v>4316</v>
      </c>
      <c r="AA144" t="s">
        <v>4317</v>
      </c>
      <c r="AB144" t="s">
        <v>4603</v>
      </c>
      <c r="AC144" t="s">
        <v>4604</v>
      </c>
      <c r="AD144" s="18">
        <v>46112</v>
      </c>
    </row>
    <row r="145" spans="1:30" ht="180" hidden="1">
      <c r="A145" s="1" t="s">
        <v>965</v>
      </c>
      <c r="B145" s="1">
        <v>1144</v>
      </c>
      <c r="C145" s="1">
        <v>3</v>
      </c>
      <c r="D145" s="1">
        <v>30</v>
      </c>
      <c r="E145" s="1" t="s">
        <v>4295</v>
      </c>
      <c r="F145" s="1" t="s">
        <v>4296</v>
      </c>
      <c r="G145" s="1" t="s">
        <v>40</v>
      </c>
      <c r="H145" s="1" t="s">
        <v>367</v>
      </c>
      <c r="I145" s="1" t="s">
        <v>371</v>
      </c>
      <c r="J145" s="1" t="s">
        <v>372</v>
      </c>
      <c r="K145" s="1" t="s">
        <v>368</v>
      </c>
      <c r="L145" s="1" t="s">
        <v>369</v>
      </c>
      <c r="M145" s="1" t="s">
        <v>370</v>
      </c>
      <c r="N145" s="1"/>
      <c r="O145" s="1" t="s">
        <v>9</v>
      </c>
      <c r="P145" s="1" t="s">
        <v>836</v>
      </c>
      <c r="Q145" s="1"/>
      <c r="R145" s="1"/>
      <c r="S145" s="1"/>
      <c r="T145" s="1">
        <v>1</v>
      </c>
      <c r="U145" s="1"/>
      <c r="V145" s="1"/>
      <c r="Y145" t="s">
        <v>9</v>
      </c>
      <c r="Z145" t="s">
        <v>4316</v>
      </c>
      <c r="AA145" t="s">
        <v>4317</v>
      </c>
      <c r="AB145" t="s">
        <v>4605</v>
      </c>
      <c r="AC145" t="s">
        <v>4441</v>
      </c>
      <c r="AD145" s="18">
        <v>46112</v>
      </c>
    </row>
    <row r="146" spans="1:30" ht="90" hidden="1">
      <c r="A146" s="1" t="s">
        <v>965</v>
      </c>
      <c r="B146" s="1">
        <v>1145</v>
      </c>
      <c r="C146" s="1">
        <v>3</v>
      </c>
      <c r="D146" s="1">
        <v>31</v>
      </c>
      <c r="E146" s="1" t="s">
        <v>4297</v>
      </c>
      <c r="F146" s="1" t="s">
        <v>4298</v>
      </c>
      <c r="G146" s="1" t="s">
        <v>20</v>
      </c>
      <c r="H146" s="1" t="s">
        <v>543</v>
      </c>
      <c r="I146" s="1" t="s">
        <v>544</v>
      </c>
      <c r="J146" s="1" t="s">
        <v>393</v>
      </c>
      <c r="K146" s="1" t="s">
        <v>392</v>
      </c>
      <c r="L146" s="1" t="s">
        <v>545</v>
      </c>
      <c r="M146" s="1"/>
      <c r="N146" s="1"/>
      <c r="O146" s="1" t="s">
        <v>7</v>
      </c>
      <c r="P146" s="1" t="s">
        <v>837</v>
      </c>
      <c r="Q146" s="1"/>
      <c r="R146" s="1"/>
      <c r="S146" s="1"/>
      <c r="T146" s="1"/>
      <c r="U146" s="1"/>
      <c r="V146" s="1"/>
      <c r="Y146" t="s">
        <v>7</v>
      </c>
      <c r="Z146" t="s">
        <v>4316</v>
      </c>
      <c r="AA146" t="s">
        <v>4317</v>
      </c>
      <c r="AB146" t="s">
        <v>4533</v>
      </c>
      <c r="AC146" t="s">
        <v>4327</v>
      </c>
      <c r="AD146" s="18">
        <v>46112</v>
      </c>
    </row>
    <row r="147" spans="1:30" ht="210" hidden="1">
      <c r="A147" s="1" t="s">
        <v>965</v>
      </c>
      <c r="B147" s="1">
        <v>1146</v>
      </c>
      <c r="C147" s="1">
        <v>3</v>
      </c>
      <c r="D147" s="1">
        <v>32</v>
      </c>
      <c r="E147" s="1" t="s">
        <v>4297</v>
      </c>
      <c r="F147" s="1" t="s">
        <v>4298</v>
      </c>
      <c r="G147" s="1" t="s">
        <v>40</v>
      </c>
      <c r="H147" s="1" t="s">
        <v>511</v>
      </c>
      <c r="I147" s="1" t="s">
        <v>512</v>
      </c>
      <c r="J147" s="1" t="s">
        <v>516</v>
      </c>
      <c r="K147" s="1" t="s">
        <v>514</v>
      </c>
      <c r="L147" s="1" t="s">
        <v>515</v>
      </c>
      <c r="M147" s="1" t="s">
        <v>513</v>
      </c>
      <c r="N147" s="1"/>
      <c r="O147" s="1" t="s">
        <v>8</v>
      </c>
      <c r="P147" s="1" t="s">
        <v>838</v>
      </c>
      <c r="Q147" s="1"/>
      <c r="R147" s="1"/>
      <c r="S147" s="1"/>
      <c r="T147" s="1"/>
      <c r="U147" s="1"/>
      <c r="V147" s="1"/>
      <c r="Y147" t="s">
        <v>8</v>
      </c>
      <c r="Z147" t="s">
        <v>4316</v>
      </c>
      <c r="AA147" t="s">
        <v>4317</v>
      </c>
      <c r="AB147" t="s">
        <v>4606</v>
      </c>
      <c r="AC147" t="s">
        <v>4325</v>
      </c>
      <c r="AD147" s="18">
        <v>46112</v>
      </c>
    </row>
    <row r="148" spans="1:30" ht="105" hidden="1">
      <c r="A148" s="1" t="s">
        <v>965</v>
      </c>
      <c r="B148" s="1">
        <v>1147</v>
      </c>
      <c r="C148" s="1">
        <v>3</v>
      </c>
      <c r="D148" s="1">
        <v>33</v>
      </c>
      <c r="E148" s="1" t="s">
        <v>4305</v>
      </c>
      <c r="F148" s="1" t="s">
        <v>4306</v>
      </c>
      <c r="G148" s="1" t="s">
        <v>20</v>
      </c>
      <c r="H148" s="1" t="s">
        <v>839</v>
      </c>
      <c r="I148" s="1" t="s">
        <v>840</v>
      </c>
      <c r="J148" s="1" t="s">
        <v>841</v>
      </c>
      <c r="K148" s="1" t="s">
        <v>842</v>
      </c>
      <c r="L148" s="1" t="s">
        <v>843</v>
      </c>
      <c r="M148" s="1"/>
      <c r="N148" s="1"/>
      <c r="O148" s="1" t="s">
        <v>9</v>
      </c>
      <c r="P148" s="1" t="s">
        <v>844</v>
      </c>
      <c r="Q148" s="1"/>
      <c r="R148" s="1"/>
      <c r="S148" s="1"/>
      <c r="T148" s="1"/>
      <c r="U148" s="1"/>
      <c r="V148" s="1"/>
      <c r="Y148" t="s">
        <v>9</v>
      </c>
      <c r="Z148" t="s">
        <v>4316</v>
      </c>
      <c r="AA148" t="s">
        <v>4317</v>
      </c>
      <c r="AB148" t="s">
        <v>4607</v>
      </c>
      <c r="AC148" t="s">
        <v>4399</v>
      </c>
      <c r="AD148" s="18">
        <v>46112</v>
      </c>
    </row>
    <row r="149" spans="1:30" ht="90" hidden="1">
      <c r="A149" s="1" t="s">
        <v>965</v>
      </c>
      <c r="B149" s="1">
        <v>1148</v>
      </c>
      <c r="C149" s="1">
        <v>3</v>
      </c>
      <c r="D149" s="1">
        <v>34</v>
      </c>
      <c r="E149" s="1" t="s">
        <v>4292</v>
      </c>
      <c r="F149" s="1" t="s">
        <v>4303</v>
      </c>
      <c r="G149" s="1" t="s">
        <v>20</v>
      </c>
      <c r="H149" s="1" t="s">
        <v>845</v>
      </c>
      <c r="I149" s="1" t="s">
        <v>846</v>
      </c>
      <c r="J149" s="1" t="s">
        <v>847</v>
      </c>
      <c r="K149" s="1" t="s">
        <v>848</v>
      </c>
      <c r="L149" s="1" t="s">
        <v>849</v>
      </c>
      <c r="M149" s="1"/>
      <c r="N149" s="1"/>
      <c r="O149" s="1" t="s">
        <v>7</v>
      </c>
      <c r="P149" s="1" t="s">
        <v>850</v>
      </c>
      <c r="Q149" s="1"/>
      <c r="R149" s="1"/>
      <c r="S149" s="1"/>
      <c r="T149" s="1"/>
      <c r="U149" s="1"/>
      <c r="V149" s="1"/>
      <c r="Y149" t="s">
        <v>7</v>
      </c>
      <c r="Z149" t="s">
        <v>4316</v>
      </c>
      <c r="AA149" t="s">
        <v>4317</v>
      </c>
      <c r="AB149" t="s">
        <v>4608</v>
      </c>
      <c r="AC149" t="s">
        <v>4371</v>
      </c>
      <c r="AD149" s="18">
        <v>46112</v>
      </c>
    </row>
    <row r="150" spans="1:30" ht="270" hidden="1">
      <c r="A150" s="1" t="s">
        <v>965</v>
      </c>
      <c r="B150" s="1">
        <v>1149</v>
      </c>
      <c r="C150" s="1">
        <v>3</v>
      </c>
      <c r="D150" s="1">
        <v>35</v>
      </c>
      <c r="E150" s="1" t="s">
        <v>4297</v>
      </c>
      <c r="F150" s="1" t="s">
        <v>4300</v>
      </c>
      <c r="G150" s="1" t="s">
        <v>4294</v>
      </c>
      <c r="H150" s="1" t="s">
        <v>851</v>
      </c>
      <c r="I150" s="1" t="s">
        <v>852</v>
      </c>
      <c r="J150" s="1" t="s">
        <v>853</v>
      </c>
      <c r="K150" s="1" t="s">
        <v>854</v>
      </c>
      <c r="L150" s="1" t="s">
        <v>855</v>
      </c>
      <c r="M150" s="1" t="s">
        <v>856</v>
      </c>
      <c r="N150" s="1"/>
      <c r="O150" s="1" t="s">
        <v>8</v>
      </c>
      <c r="P150" s="1" t="s">
        <v>857</v>
      </c>
      <c r="Q150" s="1"/>
      <c r="R150" s="1"/>
      <c r="S150" s="1"/>
      <c r="T150" s="1">
        <v>1</v>
      </c>
      <c r="U150" s="1"/>
      <c r="V150" s="1"/>
      <c r="Y150" t="s">
        <v>8</v>
      </c>
      <c r="Z150" t="s">
        <v>4316</v>
      </c>
      <c r="AA150" t="s">
        <v>4317</v>
      </c>
      <c r="AB150" t="s">
        <v>4609</v>
      </c>
      <c r="AC150" t="s">
        <v>4517</v>
      </c>
      <c r="AD150" s="18">
        <v>46112</v>
      </c>
    </row>
    <row r="151" spans="1:30" ht="90" hidden="1">
      <c r="A151" s="1" t="s">
        <v>965</v>
      </c>
      <c r="B151" s="1">
        <v>1150</v>
      </c>
      <c r="C151" s="1">
        <v>3</v>
      </c>
      <c r="D151" s="1">
        <v>36</v>
      </c>
      <c r="E151" s="1" t="s">
        <v>4305</v>
      </c>
      <c r="F151" s="1" t="s">
        <v>4307</v>
      </c>
      <c r="G151" s="1" t="s">
        <v>20</v>
      </c>
      <c r="H151" s="1" t="s">
        <v>710</v>
      </c>
      <c r="I151" s="1" t="s">
        <v>713</v>
      </c>
      <c r="J151" s="1" t="s">
        <v>712</v>
      </c>
      <c r="K151" s="1" t="s">
        <v>711</v>
      </c>
      <c r="L151" s="1" t="s">
        <v>714</v>
      </c>
      <c r="M151" s="1"/>
      <c r="N151" s="1"/>
      <c r="O151" s="1" t="s">
        <v>8</v>
      </c>
      <c r="P151" s="1" t="s">
        <v>858</v>
      </c>
      <c r="Q151" s="1"/>
      <c r="R151" s="1"/>
      <c r="S151" s="1"/>
      <c r="T151" s="1"/>
      <c r="U151" s="1">
        <v>1</v>
      </c>
      <c r="V151" s="1"/>
      <c r="Y151" t="s">
        <v>8</v>
      </c>
      <c r="Z151" t="s">
        <v>4316</v>
      </c>
      <c r="AA151" t="s">
        <v>4317</v>
      </c>
      <c r="AB151" t="s">
        <v>4569</v>
      </c>
      <c r="AC151" t="s">
        <v>4399</v>
      </c>
      <c r="AD151" s="18">
        <v>46112</v>
      </c>
    </row>
    <row r="152" spans="1:30" ht="240" hidden="1">
      <c r="A152" s="1" t="s">
        <v>965</v>
      </c>
      <c r="B152" s="1">
        <v>1151</v>
      </c>
      <c r="C152" s="1">
        <v>3</v>
      </c>
      <c r="D152" s="1">
        <v>37</v>
      </c>
      <c r="E152" s="1" t="s">
        <v>4297</v>
      </c>
      <c r="F152" s="1" t="s">
        <v>4298</v>
      </c>
      <c r="G152" s="1" t="s">
        <v>20</v>
      </c>
      <c r="H152" s="1" t="s">
        <v>433</v>
      </c>
      <c r="I152" s="1" t="s">
        <v>438</v>
      </c>
      <c r="J152" s="1" t="s">
        <v>436</v>
      </c>
      <c r="K152" s="1" t="s">
        <v>434</v>
      </c>
      <c r="L152" s="1" t="s">
        <v>437</v>
      </c>
      <c r="M152" s="1" t="s">
        <v>435</v>
      </c>
      <c r="N152" s="1"/>
      <c r="O152" s="1" t="s">
        <v>9</v>
      </c>
      <c r="P152" s="1" t="s">
        <v>859</v>
      </c>
      <c r="Q152" s="1"/>
      <c r="R152" s="1"/>
      <c r="S152" s="1"/>
      <c r="T152" s="1"/>
      <c r="U152" s="1"/>
      <c r="V152" s="1"/>
      <c r="Y152" t="s">
        <v>9</v>
      </c>
      <c r="Z152" t="s">
        <v>4316</v>
      </c>
      <c r="AA152" t="s">
        <v>4317</v>
      </c>
      <c r="AB152" t="s">
        <v>4610</v>
      </c>
      <c r="AD152" s="18">
        <v>46112</v>
      </c>
    </row>
    <row r="153" spans="1:30" ht="90" hidden="1">
      <c r="A153" s="1" t="s">
        <v>965</v>
      </c>
      <c r="B153" s="1">
        <v>1152</v>
      </c>
      <c r="C153" s="1">
        <v>3</v>
      </c>
      <c r="D153" s="1">
        <v>38</v>
      </c>
      <c r="E153" s="1" t="s">
        <v>4290</v>
      </c>
      <c r="F153" s="1" t="s">
        <v>4302</v>
      </c>
      <c r="G153" s="1" t="s">
        <v>20</v>
      </c>
      <c r="H153" s="1" t="s">
        <v>594</v>
      </c>
      <c r="I153" s="1" t="s">
        <v>598</v>
      </c>
      <c r="J153" s="1" t="s">
        <v>597</v>
      </c>
      <c r="K153" s="1" t="s">
        <v>595</v>
      </c>
      <c r="L153" s="1" t="s">
        <v>596</v>
      </c>
      <c r="M153" s="1"/>
      <c r="N153" s="1"/>
      <c r="O153" s="1" t="s">
        <v>9</v>
      </c>
      <c r="P153" s="1" t="s">
        <v>860</v>
      </c>
      <c r="Q153" s="1"/>
      <c r="R153" s="1"/>
      <c r="S153" s="1"/>
      <c r="T153" s="1"/>
      <c r="U153" s="1"/>
      <c r="V153" s="1"/>
      <c r="Y153" t="s">
        <v>9</v>
      </c>
      <c r="Z153" t="s">
        <v>4316</v>
      </c>
      <c r="AA153" t="s">
        <v>4317</v>
      </c>
      <c r="AB153" t="s">
        <v>4542</v>
      </c>
      <c r="AC153" t="s">
        <v>4366</v>
      </c>
      <c r="AD153" s="18">
        <v>46112</v>
      </c>
    </row>
    <row r="154" spans="1:30" ht="180" hidden="1">
      <c r="A154" s="1" t="s">
        <v>965</v>
      </c>
      <c r="B154" s="1">
        <v>1153</v>
      </c>
      <c r="C154" s="1">
        <v>3</v>
      </c>
      <c r="D154" s="1">
        <v>39</v>
      </c>
      <c r="E154" s="1" t="s">
        <v>4290</v>
      </c>
      <c r="F154" s="1" t="s">
        <v>4302</v>
      </c>
      <c r="G154" s="1" t="s">
        <v>20</v>
      </c>
      <c r="H154" s="1" t="s">
        <v>861</v>
      </c>
      <c r="I154" s="1" t="s">
        <v>862</v>
      </c>
      <c r="J154" s="1" t="s">
        <v>863</v>
      </c>
      <c r="K154" s="1" t="s">
        <v>864</v>
      </c>
      <c r="L154" s="1" t="s">
        <v>865</v>
      </c>
      <c r="M154" s="1"/>
      <c r="N154" s="1"/>
      <c r="O154" s="1" t="s">
        <v>8</v>
      </c>
      <c r="P154" s="1" t="s">
        <v>866</v>
      </c>
      <c r="Q154" s="1"/>
      <c r="R154" s="1"/>
      <c r="S154" s="1"/>
      <c r="T154" s="1"/>
      <c r="U154" s="1"/>
      <c r="V154" s="1"/>
      <c r="Y154" t="s">
        <v>8</v>
      </c>
      <c r="Z154" t="s">
        <v>4316</v>
      </c>
      <c r="AA154" t="s">
        <v>4317</v>
      </c>
      <c r="AB154" t="s">
        <v>4611</v>
      </c>
      <c r="AC154" t="s">
        <v>4336</v>
      </c>
      <c r="AD154" s="18">
        <v>46112</v>
      </c>
    </row>
    <row r="155" spans="1:30" ht="120" hidden="1">
      <c r="A155" s="1" t="s">
        <v>965</v>
      </c>
      <c r="B155" s="1">
        <v>1154</v>
      </c>
      <c r="C155" s="1">
        <v>3</v>
      </c>
      <c r="D155" s="1">
        <v>40</v>
      </c>
      <c r="E155" s="1" t="s">
        <v>4297</v>
      </c>
      <c r="F155" s="1" t="s">
        <v>4300</v>
      </c>
      <c r="G155" s="1" t="s">
        <v>20</v>
      </c>
      <c r="H155" s="1" t="s">
        <v>246</v>
      </c>
      <c r="I155" s="1" t="s">
        <v>250</v>
      </c>
      <c r="J155" s="1" t="s">
        <v>249</v>
      </c>
      <c r="K155" s="1" t="s">
        <v>248</v>
      </c>
      <c r="L155" s="1" t="s">
        <v>247</v>
      </c>
      <c r="M155" s="1"/>
      <c r="N155" s="1"/>
      <c r="O155" s="1" t="s">
        <v>9</v>
      </c>
      <c r="P155" s="1" t="s">
        <v>251</v>
      </c>
      <c r="Q155" s="1"/>
      <c r="R155" s="1"/>
      <c r="S155" s="1"/>
      <c r="T155" s="1"/>
      <c r="U155" s="1"/>
      <c r="V155" s="1"/>
      <c r="Y155" t="s">
        <v>9</v>
      </c>
      <c r="Z155" t="s">
        <v>4316</v>
      </c>
      <c r="AA155" t="s">
        <v>4317</v>
      </c>
      <c r="AB155" t="s">
        <v>4612</v>
      </c>
      <c r="AC155" t="s">
        <v>4613</v>
      </c>
      <c r="AD155" s="18">
        <v>46112</v>
      </c>
    </row>
    <row r="156" spans="1:30" ht="120" hidden="1">
      <c r="A156" s="1" t="s">
        <v>965</v>
      </c>
      <c r="B156" s="1">
        <v>1155</v>
      </c>
      <c r="C156" s="1">
        <v>3</v>
      </c>
      <c r="D156" s="1">
        <v>41</v>
      </c>
      <c r="E156" s="1" t="s">
        <v>4297</v>
      </c>
      <c r="F156" s="1" t="s">
        <v>4298</v>
      </c>
      <c r="G156" s="1" t="s">
        <v>4294</v>
      </c>
      <c r="H156" s="1" t="s">
        <v>867</v>
      </c>
      <c r="I156" s="1" t="s">
        <v>868</v>
      </c>
      <c r="J156" s="1" t="s">
        <v>869</v>
      </c>
      <c r="K156" s="1" t="s">
        <v>870</v>
      </c>
      <c r="L156" s="1" t="s">
        <v>871</v>
      </c>
      <c r="M156" s="1" t="s">
        <v>872</v>
      </c>
      <c r="N156" s="1"/>
      <c r="O156" s="1" t="s">
        <v>7</v>
      </c>
      <c r="P156" s="1" t="s">
        <v>873</v>
      </c>
      <c r="Q156" s="1"/>
      <c r="R156" s="1"/>
      <c r="S156" s="1"/>
      <c r="T156" s="1"/>
      <c r="U156" s="1"/>
      <c r="V156" s="1"/>
      <c r="Y156" t="s">
        <v>7</v>
      </c>
      <c r="Z156" t="s">
        <v>4316</v>
      </c>
      <c r="AA156" t="s">
        <v>4317</v>
      </c>
      <c r="AB156" t="s">
        <v>4614</v>
      </c>
      <c r="AC156" t="s">
        <v>4327</v>
      </c>
      <c r="AD156" s="18">
        <v>46112</v>
      </c>
    </row>
    <row r="157" spans="1:30" ht="75" hidden="1">
      <c r="A157" s="1" t="s">
        <v>965</v>
      </c>
      <c r="B157" s="1">
        <v>1156</v>
      </c>
      <c r="C157" s="1">
        <v>3</v>
      </c>
      <c r="D157" s="1">
        <v>42</v>
      </c>
      <c r="E157" s="1" t="s">
        <v>4292</v>
      </c>
      <c r="F157" s="1" t="s">
        <v>4293</v>
      </c>
      <c r="G157" s="1" t="s">
        <v>20</v>
      </c>
      <c r="H157" s="1" t="s">
        <v>874</v>
      </c>
      <c r="I157" s="1" t="s">
        <v>875</v>
      </c>
      <c r="J157" s="1" t="s">
        <v>876</v>
      </c>
      <c r="K157" s="1" t="s">
        <v>877</v>
      </c>
      <c r="L157" s="1" t="s">
        <v>878</v>
      </c>
      <c r="M157" s="1"/>
      <c r="N157" s="1"/>
      <c r="O157" s="1" t="s">
        <v>10</v>
      </c>
      <c r="P157" s="1" t="s">
        <v>879</v>
      </c>
      <c r="Q157" s="1"/>
      <c r="R157" s="1"/>
      <c r="S157" s="1"/>
      <c r="T157" s="1"/>
      <c r="U157" s="1"/>
      <c r="V157" s="1"/>
      <c r="Y157" t="s">
        <v>10</v>
      </c>
      <c r="Z157" t="s">
        <v>4316</v>
      </c>
      <c r="AA157" t="s">
        <v>4317</v>
      </c>
      <c r="AB157" t="s">
        <v>4615</v>
      </c>
      <c r="AC157" t="s">
        <v>4382</v>
      </c>
      <c r="AD157" s="18">
        <v>46112</v>
      </c>
    </row>
    <row r="158" spans="1:30" ht="120" hidden="1">
      <c r="A158" s="1" t="s">
        <v>965</v>
      </c>
      <c r="B158" s="1">
        <v>1157</v>
      </c>
      <c r="C158" s="1">
        <v>3</v>
      </c>
      <c r="D158" s="1">
        <v>43</v>
      </c>
      <c r="E158" s="1" t="s">
        <v>4295</v>
      </c>
      <c r="F158" s="1" t="s">
        <v>4296</v>
      </c>
      <c r="G158" s="1" t="s">
        <v>4294</v>
      </c>
      <c r="H158" s="1" t="s">
        <v>341</v>
      </c>
      <c r="I158" s="1" t="s">
        <v>344</v>
      </c>
      <c r="J158" s="1" t="s">
        <v>343</v>
      </c>
      <c r="K158" s="1" t="s">
        <v>345</v>
      </c>
      <c r="L158" s="1" t="s">
        <v>342</v>
      </c>
      <c r="M158" s="1" t="s">
        <v>346</v>
      </c>
      <c r="N158" s="1"/>
      <c r="O158" s="1" t="s">
        <v>7</v>
      </c>
      <c r="P158" s="1" t="s">
        <v>880</v>
      </c>
      <c r="Q158" s="1"/>
      <c r="R158" s="1"/>
      <c r="S158" s="1"/>
      <c r="T158" s="1"/>
      <c r="U158" s="1"/>
      <c r="V158" s="1"/>
      <c r="Y158" t="s">
        <v>7</v>
      </c>
      <c r="Z158" t="s">
        <v>4316</v>
      </c>
      <c r="AA158" t="s">
        <v>4317</v>
      </c>
      <c r="AB158" t="s">
        <v>4616</v>
      </c>
      <c r="AC158" t="s">
        <v>4354</v>
      </c>
      <c r="AD158" s="18">
        <v>46112</v>
      </c>
    </row>
    <row r="159" spans="1:30" ht="105" hidden="1">
      <c r="A159" s="1" t="s">
        <v>965</v>
      </c>
      <c r="B159" s="1">
        <v>1158</v>
      </c>
      <c r="C159" s="1">
        <v>3</v>
      </c>
      <c r="D159" s="1">
        <v>44</v>
      </c>
      <c r="E159" s="1" t="s">
        <v>4290</v>
      </c>
      <c r="F159" s="1" t="s">
        <v>4302</v>
      </c>
      <c r="G159" s="1" t="s">
        <v>20</v>
      </c>
      <c r="H159" s="1" t="s">
        <v>881</v>
      </c>
      <c r="I159" s="1" t="s">
        <v>882</v>
      </c>
      <c r="J159" s="1" t="s">
        <v>883</v>
      </c>
      <c r="K159" s="1" t="s">
        <v>884</v>
      </c>
      <c r="L159" s="1" t="s">
        <v>885</v>
      </c>
      <c r="M159" s="1"/>
      <c r="N159" s="1"/>
      <c r="O159" s="1" t="s">
        <v>9</v>
      </c>
      <c r="P159" s="1" t="s">
        <v>886</v>
      </c>
      <c r="Q159" s="1"/>
      <c r="R159" s="1"/>
      <c r="S159" s="1"/>
      <c r="T159" s="1"/>
      <c r="U159" s="1"/>
      <c r="V159" s="1"/>
      <c r="Y159" t="s">
        <v>9</v>
      </c>
      <c r="Z159" t="s">
        <v>4316</v>
      </c>
      <c r="AA159" t="s">
        <v>4317</v>
      </c>
      <c r="AB159" t="s">
        <v>4617</v>
      </c>
      <c r="AC159" t="s">
        <v>4366</v>
      </c>
      <c r="AD159" s="18">
        <v>46112</v>
      </c>
    </row>
    <row r="160" spans="1:30" ht="90">
      <c r="A160" s="1" t="s">
        <v>965</v>
      </c>
      <c r="B160" s="1">
        <v>1159</v>
      </c>
      <c r="C160" s="1">
        <v>3</v>
      </c>
      <c r="D160" s="1">
        <v>45</v>
      </c>
      <c r="E160" s="1" t="s">
        <v>4297</v>
      </c>
      <c r="F160" s="1" t="s">
        <v>4299</v>
      </c>
      <c r="G160" s="1" t="s">
        <v>20</v>
      </c>
      <c r="H160" s="1" t="s">
        <v>891</v>
      </c>
      <c r="I160" s="1" t="s">
        <v>887</v>
      </c>
      <c r="J160" s="1" t="s">
        <v>888</v>
      </c>
      <c r="K160" s="1" t="s">
        <v>889</v>
      </c>
      <c r="L160" s="1" t="s">
        <v>890</v>
      </c>
      <c r="M160" s="1"/>
      <c r="N160" s="1"/>
      <c r="O160" s="1" t="s">
        <v>9</v>
      </c>
      <c r="P160" s="1" t="s">
        <v>892</v>
      </c>
      <c r="Q160" s="1"/>
      <c r="R160" s="1"/>
      <c r="S160" s="1"/>
      <c r="T160" s="1"/>
      <c r="U160" s="1">
        <v>1</v>
      </c>
      <c r="V160" s="1"/>
      <c r="Y160" t="s">
        <v>7</v>
      </c>
      <c r="Z160" t="s">
        <v>4331</v>
      </c>
      <c r="AA160" t="s">
        <v>4332</v>
      </c>
      <c r="AB160" t="s">
        <v>4618</v>
      </c>
      <c r="AC160" t="s">
        <v>4327</v>
      </c>
      <c r="AD160" s="18">
        <v>46112</v>
      </c>
    </row>
    <row r="161" spans="1:30" ht="90" hidden="1">
      <c r="A161" s="1" t="s">
        <v>965</v>
      </c>
      <c r="B161" s="1">
        <v>1160</v>
      </c>
      <c r="C161" s="1">
        <v>3</v>
      </c>
      <c r="D161" s="1">
        <v>46</v>
      </c>
      <c r="E161" s="1" t="s">
        <v>4295</v>
      </c>
      <c r="F161" s="1" t="s">
        <v>4296</v>
      </c>
      <c r="G161" s="1" t="s">
        <v>20</v>
      </c>
      <c r="H161" s="1" t="s">
        <v>893</v>
      </c>
      <c r="I161" s="1" t="s">
        <v>894</v>
      </c>
      <c r="J161" s="1" t="s">
        <v>895</v>
      </c>
      <c r="K161" s="1" t="s">
        <v>896</v>
      </c>
      <c r="L161" s="1" t="s">
        <v>897</v>
      </c>
      <c r="M161" s="1"/>
      <c r="N161" s="1"/>
      <c r="O161" s="1" t="s">
        <v>7</v>
      </c>
      <c r="P161" s="1" t="s">
        <v>898</v>
      </c>
      <c r="Q161" s="1"/>
      <c r="R161" s="1"/>
      <c r="S161" s="1"/>
      <c r="T161" s="1"/>
      <c r="U161" s="1"/>
      <c r="V161" s="1"/>
      <c r="Y161" t="s">
        <v>7</v>
      </c>
      <c r="Z161" t="s">
        <v>4316</v>
      </c>
      <c r="AA161" t="s">
        <v>4317</v>
      </c>
      <c r="AB161" t="s">
        <v>4619</v>
      </c>
      <c r="AC161" t="s">
        <v>4444</v>
      </c>
      <c r="AD161" s="18">
        <v>46112</v>
      </c>
    </row>
    <row r="162" spans="1:30" ht="150" hidden="1">
      <c r="A162" s="1" t="s">
        <v>965</v>
      </c>
      <c r="B162" s="1">
        <v>1161</v>
      </c>
      <c r="C162" s="1">
        <v>3</v>
      </c>
      <c r="D162" s="1">
        <v>47</v>
      </c>
      <c r="E162" s="1" t="s">
        <v>4295</v>
      </c>
      <c r="F162" s="1" t="s">
        <v>4296</v>
      </c>
      <c r="G162" s="1" t="s">
        <v>4294</v>
      </c>
      <c r="H162" s="1" t="s">
        <v>233</v>
      </c>
      <c r="I162" s="1" t="s">
        <v>237</v>
      </c>
      <c r="J162" s="1" t="s">
        <v>234</v>
      </c>
      <c r="K162" s="1" t="s">
        <v>236</v>
      </c>
      <c r="L162" s="1" t="s">
        <v>235</v>
      </c>
      <c r="M162" s="1"/>
      <c r="N162" s="1"/>
      <c r="O162" s="1" t="s">
        <v>7</v>
      </c>
      <c r="P162" s="1" t="s">
        <v>899</v>
      </c>
      <c r="Q162" s="1"/>
      <c r="R162" s="1"/>
      <c r="S162" s="1"/>
      <c r="T162" s="1"/>
      <c r="U162" s="1"/>
      <c r="V162" s="1"/>
      <c r="Y162" t="s">
        <v>7</v>
      </c>
      <c r="Z162" t="s">
        <v>4316</v>
      </c>
      <c r="AA162" t="s">
        <v>4317</v>
      </c>
      <c r="AB162" t="s">
        <v>4620</v>
      </c>
      <c r="AC162" t="s">
        <v>4371</v>
      </c>
      <c r="AD162" s="18">
        <v>46112</v>
      </c>
    </row>
    <row r="163" spans="1:30" ht="240" hidden="1">
      <c r="A163" s="1" t="s">
        <v>965</v>
      </c>
      <c r="B163" s="1">
        <v>1162</v>
      </c>
      <c r="C163" s="1">
        <v>3</v>
      </c>
      <c r="D163" s="1">
        <v>48</v>
      </c>
      <c r="E163" s="1" t="s">
        <v>4295</v>
      </c>
      <c r="F163" s="1" t="s">
        <v>4296</v>
      </c>
      <c r="G163" s="1" t="s">
        <v>20</v>
      </c>
      <c r="H163" s="1" t="s">
        <v>696</v>
      </c>
      <c r="I163" s="1" t="s">
        <v>699</v>
      </c>
      <c r="J163" s="1" t="s">
        <v>697</v>
      </c>
      <c r="K163" s="1" t="s">
        <v>698</v>
      </c>
      <c r="L163" s="1" t="s">
        <v>114</v>
      </c>
      <c r="M163" s="1" t="s">
        <v>113</v>
      </c>
      <c r="N163" s="1"/>
      <c r="O163" s="1" t="s">
        <v>9</v>
      </c>
      <c r="P163" s="1" t="s">
        <v>900</v>
      </c>
      <c r="Q163" s="1"/>
      <c r="R163" s="1"/>
      <c r="S163" s="1"/>
      <c r="T163" s="1"/>
      <c r="U163" s="1"/>
      <c r="V163" s="1"/>
      <c r="Y163" t="s">
        <v>9</v>
      </c>
      <c r="Z163" t="s">
        <v>4316</v>
      </c>
      <c r="AA163" t="s">
        <v>4317</v>
      </c>
      <c r="AB163" t="s">
        <v>4621</v>
      </c>
      <c r="AC163" t="s">
        <v>4338</v>
      </c>
      <c r="AD163" s="18">
        <v>46112</v>
      </c>
    </row>
    <row r="164" spans="1:30" ht="195" hidden="1">
      <c r="A164" s="1" t="s">
        <v>965</v>
      </c>
      <c r="B164" s="1">
        <v>1163</v>
      </c>
      <c r="C164" s="1">
        <v>3</v>
      </c>
      <c r="D164" s="1">
        <v>49</v>
      </c>
      <c r="E164" s="1" t="s">
        <v>4292</v>
      </c>
      <c r="F164" s="1" t="s">
        <v>4303</v>
      </c>
      <c r="G164" s="1" t="s">
        <v>20</v>
      </c>
      <c r="H164" s="1" t="s">
        <v>701</v>
      </c>
      <c r="I164" s="1" t="s">
        <v>702</v>
      </c>
      <c r="J164" s="1" t="s">
        <v>703</v>
      </c>
      <c r="K164" s="1" t="s">
        <v>390</v>
      </c>
      <c r="L164" s="1" t="s">
        <v>545</v>
      </c>
      <c r="M164" s="1" t="s">
        <v>901</v>
      </c>
      <c r="N164" s="1"/>
      <c r="O164" s="1" t="s">
        <v>11</v>
      </c>
      <c r="P164" s="1" t="s">
        <v>902</v>
      </c>
      <c r="Q164" s="1"/>
      <c r="R164" s="1"/>
      <c r="S164" s="1"/>
      <c r="T164" s="1"/>
      <c r="U164" s="1"/>
      <c r="V164" s="1"/>
      <c r="Y164" t="s">
        <v>11</v>
      </c>
      <c r="Z164" t="s">
        <v>4316</v>
      </c>
      <c r="AA164" t="s">
        <v>4317</v>
      </c>
      <c r="AB164" t="s">
        <v>4622</v>
      </c>
      <c r="AC164" t="s">
        <v>4567</v>
      </c>
      <c r="AD164" s="18">
        <v>46112</v>
      </c>
    </row>
    <row r="165" spans="1:30" ht="225" hidden="1">
      <c r="A165" s="1" t="s">
        <v>965</v>
      </c>
      <c r="B165" s="1">
        <v>1164</v>
      </c>
      <c r="C165" s="1">
        <v>3</v>
      </c>
      <c r="D165" s="1">
        <v>50</v>
      </c>
      <c r="E165" s="1" t="s">
        <v>4297</v>
      </c>
      <c r="F165" s="1" t="s">
        <v>4298</v>
      </c>
      <c r="G165" s="1" t="s">
        <v>4294</v>
      </c>
      <c r="H165" s="1" t="s">
        <v>214</v>
      </c>
      <c r="I165" s="1" t="s">
        <v>215</v>
      </c>
      <c r="J165" s="1" t="s">
        <v>91</v>
      </c>
      <c r="K165" s="1" t="s">
        <v>216</v>
      </c>
      <c r="L165" s="1" t="s">
        <v>90</v>
      </c>
      <c r="M165" s="1" t="s">
        <v>217</v>
      </c>
      <c r="N165" s="1"/>
      <c r="O165" s="1" t="s">
        <v>7</v>
      </c>
      <c r="P165" s="1" t="s">
        <v>903</v>
      </c>
      <c r="Q165" s="1"/>
      <c r="R165" s="1"/>
      <c r="S165" s="1"/>
      <c r="T165" s="1"/>
      <c r="U165" s="1"/>
      <c r="V165" s="1"/>
      <c r="Y165" t="s">
        <v>7</v>
      </c>
      <c r="Z165" t="s">
        <v>4316</v>
      </c>
      <c r="AA165" t="s">
        <v>4317</v>
      </c>
      <c r="AB165" t="s">
        <v>4623</v>
      </c>
      <c r="AC165" t="s">
        <v>4327</v>
      </c>
      <c r="AD165" s="18">
        <v>46112</v>
      </c>
    </row>
    <row r="166" spans="1:30" ht="300" hidden="1">
      <c r="A166" s="1" t="s">
        <v>965</v>
      </c>
      <c r="B166" s="1">
        <v>1165</v>
      </c>
      <c r="C166" s="1">
        <v>3</v>
      </c>
      <c r="D166" s="1">
        <v>51</v>
      </c>
      <c r="E166" s="1" t="s">
        <v>4297</v>
      </c>
      <c r="F166" s="1" t="s">
        <v>4299</v>
      </c>
      <c r="G166" s="1" t="s">
        <v>40</v>
      </c>
      <c r="H166" s="1" t="s">
        <v>904</v>
      </c>
      <c r="I166" s="1" t="s">
        <v>402</v>
      </c>
      <c r="J166" s="1" t="s">
        <v>403</v>
      </c>
      <c r="K166" s="1" t="s">
        <v>404</v>
      </c>
      <c r="L166" s="1" t="s">
        <v>405</v>
      </c>
      <c r="M166" s="1"/>
      <c r="N166" s="1"/>
      <c r="O166" s="1" t="s">
        <v>7</v>
      </c>
      <c r="P166" s="1" t="s">
        <v>905</v>
      </c>
      <c r="Q166" s="1"/>
      <c r="R166" s="1"/>
      <c r="S166" s="1"/>
      <c r="T166" s="1"/>
      <c r="U166" s="1"/>
      <c r="V166" s="1"/>
      <c r="Y166" t="s">
        <v>7</v>
      </c>
      <c r="Z166" t="s">
        <v>4316</v>
      </c>
      <c r="AA166" t="s">
        <v>4317</v>
      </c>
      <c r="AB166" t="s">
        <v>4624</v>
      </c>
      <c r="AC166" t="s">
        <v>4336</v>
      </c>
      <c r="AD166" s="18">
        <v>46112</v>
      </c>
    </row>
    <row r="167" spans="1:30" ht="180" hidden="1">
      <c r="A167" s="1" t="s">
        <v>965</v>
      </c>
      <c r="B167" s="1">
        <v>1166</v>
      </c>
      <c r="C167" s="1">
        <v>3</v>
      </c>
      <c r="D167" s="1">
        <v>52</v>
      </c>
      <c r="E167" s="1" t="s">
        <v>4297</v>
      </c>
      <c r="F167" s="1" t="s">
        <v>4298</v>
      </c>
      <c r="G167" s="1" t="s">
        <v>4294</v>
      </c>
      <c r="H167" s="1" t="s">
        <v>327</v>
      </c>
      <c r="I167" s="1" t="s">
        <v>332</v>
      </c>
      <c r="J167" s="1" t="s">
        <v>329</v>
      </c>
      <c r="K167" s="1" t="s">
        <v>331</v>
      </c>
      <c r="L167" s="1" t="s">
        <v>328</v>
      </c>
      <c r="M167" s="1" t="s">
        <v>330</v>
      </c>
      <c r="N167" s="1"/>
      <c r="O167" s="1" t="s">
        <v>9</v>
      </c>
      <c r="P167" s="1" t="s">
        <v>906</v>
      </c>
      <c r="Q167" s="1"/>
      <c r="R167" s="1"/>
      <c r="S167" s="1"/>
      <c r="T167" s="1"/>
      <c r="U167" s="1"/>
      <c r="V167" s="1"/>
      <c r="Y167" t="s">
        <v>9</v>
      </c>
      <c r="Z167" t="s">
        <v>4316</v>
      </c>
      <c r="AA167" t="s">
        <v>4317</v>
      </c>
      <c r="AB167" t="s">
        <v>4625</v>
      </c>
      <c r="AC167" t="s">
        <v>4323</v>
      </c>
      <c r="AD167" s="18">
        <v>46112</v>
      </c>
    </row>
    <row r="168" spans="1:30" ht="75" hidden="1">
      <c r="A168" s="1" t="s">
        <v>965</v>
      </c>
      <c r="B168" s="1">
        <v>1167</v>
      </c>
      <c r="C168" s="1">
        <v>3</v>
      </c>
      <c r="D168" s="1">
        <v>53</v>
      </c>
      <c r="E168" s="1" t="s">
        <v>4297</v>
      </c>
      <c r="F168" s="1" t="s">
        <v>4299</v>
      </c>
      <c r="G168" s="1" t="s">
        <v>20</v>
      </c>
      <c r="H168" s="1" t="s">
        <v>907</v>
      </c>
      <c r="I168" s="1" t="s">
        <v>908</v>
      </c>
      <c r="J168" s="1" t="s">
        <v>909</v>
      </c>
      <c r="K168" s="1" t="s">
        <v>910</v>
      </c>
      <c r="L168" s="1" t="s">
        <v>911</v>
      </c>
      <c r="M168" s="1" t="s">
        <v>912</v>
      </c>
      <c r="N168" s="1"/>
      <c r="O168" s="1" t="s">
        <v>9</v>
      </c>
      <c r="P168" s="1" t="s">
        <v>913</v>
      </c>
      <c r="Q168" s="1"/>
      <c r="R168" s="1"/>
      <c r="S168" s="1"/>
      <c r="T168" s="1"/>
      <c r="U168" s="1"/>
      <c r="V168" s="1"/>
      <c r="Y168" t="s">
        <v>9</v>
      </c>
      <c r="Z168" t="s">
        <v>4316</v>
      </c>
      <c r="AA168" t="s">
        <v>4317</v>
      </c>
      <c r="AB168" t="s">
        <v>4626</v>
      </c>
      <c r="AC168" t="s">
        <v>4327</v>
      </c>
      <c r="AD168" s="18">
        <v>46112</v>
      </c>
    </row>
    <row r="169" spans="1:30" ht="345" hidden="1">
      <c r="A169" s="1" t="s">
        <v>965</v>
      </c>
      <c r="B169" s="1">
        <v>1168</v>
      </c>
      <c r="C169" s="1">
        <v>3</v>
      </c>
      <c r="D169" s="1">
        <v>54</v>
      </c>
      <c r="E169" s="1" t="s">
        <v>4297</v>
      </c>
      <c r="F169" s="1" t="s">
        <v>4298</v>
      </c>
      <c r="G169" s="1" t="s">
        <v>4294</v>
      </c>
      <c r="H169" s="1" t="s">
        <v>420</v>
      </c>
      <c r="I169" s="1" t="s">
        <v>421</v>
      </c>
      <c r="J169" s="1" t="s">
        <v>423</v>
      </c>
      <c r="K169" s="1" t="s">
        <v>424</v>
      </c>
      <c r="L169" s="1" t="s">
        <v>422</v>
      </c>
      <c r="M169" s="1"/>
      <c r="N169" s="1"/>
      <c r="O169" s="1" t="s">
        <v>10</v>
      </c>
      <c r="P169" s="1" t="s">
        <v>425</v>
      </c>
      <c r="Q169" s="1"/>
      <c r="R169" s="1"/>
      <c r="S169" s="1"/>
      <c r="T169" s="1"/>
      <c r="U169" s="1"/>
      <c r="V169" s="1"/>
      <c r="Y169" t="s">
        <v>10</v>
      </c>
      <c r="Z169" t="s">
        <v>4316</v>
      </c>
      <c r="AA169" t="s">
        <v>4317</v>
      </c>
      <c r="AB169" t="s">
        <v>4627</v>
      </c>
      <c r="AC169" t="s">
        <v>4418</v>
      </c>
      <c r="AD169" s="18">
        <v>46112</v>
      </c>
    </row>
    <row r="170" spans="1:30" ht="150" hidden="1">
      <c r="A170" s="1" t="s">
        <v>965</v>
      </c>
      <c r="B170" s="1">
        <v>1169</v>
      </c>
      <c r="C170" s="1">
        <v>3</v>
      </c>
      <c r="D170" s="1">
        <v>55</v>
      </c>
      <c r="E170" s="1" t="s">
        <v>4292</v>
      </c>
      <c r="F170" s="1" t="s">
        <v>4293</v>
      </c>
      <c r="G170" s="1" t="s">
        <v>20</v>
      </c>
      <c r="H170" s="1" t="s">
        <v>582</v>
      </c>
      <c r="I170" s="1" t="s">
        <v>586</v>
      </c>
      <c r="J170" s="1" t="s">
        <v>583</v>
      </c>
      <c r="K170" s="1" t="s">
        <v>584</v>
      </c>
      <c r="L170" s="1" t="s">
        <v>585</v>
      </c>
      <c r="M170" s="1"/>
      <c r="N170" s="1"/>
      <c r="O170" s="1" t="s">
        <v>10</v>
      </c>
      <c r="P170" s="1" t="s">
        <v>914</v>
      </c>
      <c r="Q170" s="1"/>
      <c r="R170" s="1"/>
      <c r="S170" s="1"/>
      <c r="T170" s="1"/>
      <c r="U170" s="1"/>
      <c r="V170" s="1"/>
      <c r="Y170" t="s">
        <v>10</v>
      </c>
      <c r="Z170" t="s">
        <v>4316</v>
      </c>
      <c r="AA170" t="s">
        <v>4317</v>
      </c>
      <c r="AB170" t="s">
        <v>4628</v>
      </c>
      <c r="AC170" t="s">
        <v>4382</v>
      </c>
      <c r="AD170" s="18">
        <v>46112</v>
      </c>
    </row>
    <row r="171" spans="1:30" ht="90" hidden="1">
      <c r="A171" s="1" t="s">
        <v>965</v>
      </c>
      <c r="B171" s="1">
        <v>1170</v>
      </c>
      <c r="C171" s="1">
        <v>3</v>
      </c>
      <c r="D171" s="1">
        <v>56</v>
      </c>
      <c r="E171" s="1" t="s">
        <v>4305</v>
      </c>
      <c r="F171" s="1" t="s">
        <v>4306</v>
      </c>
      <c r="G171" s="1" t="s">
        <v>20</v>
      </c>
      <c r="H171" s="1" t="s">
        <v>5469</v>
      </c>
      <c r="I171" s="1" t="s">
        <v>634</v>
      </c>
      <c r="J171" s="1" t="s">
        <v>632</v>
      </c>
      <c r="K171" s="1" t="s">
        <v>633</v>
      </c>
      <c r="L171" s="1" t="s">
        <v>631</v>
      </c>
      <c r="M171" s="1"/>
      <c r="N171" s="1"/>
      <c r="O171" s="1" t="s">
        <v>10</v>
      </c>
      <c r="P171" s="1" t="s">
        <v>915</v>
      </c>
      <c r="Q171" s="1"/>
      <c r="R171" s="1"/>
      <c r="S171" s="1"/>
      <c r="T171" s="1"/>
      <c r="U171" s="1"/>
      <c r="V171" s="1"/>
      <c r="Y171" t="s">
        <v>10</v>
      </c>
      <c r="Z171" t="s">
        <v>4316</v>
      </c>
      <c r="AA171" t="s">
        <v>4317</v>
      </c>
      <c r="AB171" t="s">
        <v>4550</v>
      </c>
      <c r="AC171" t="s">
        <v>4551</v>
      </c>
      <c r="AD171" s="18">
        <v>46112</v>
      </c>
    </row>
    <row r="172" spans="1:30" ht="409.5" hidden="1">
      <c r="A172" s="1" t="s">
        <v>965</v>
      </c>
      <c r="B172" s="1">
        <v>1171</v>
      </c>
      <c r="C172" s="1">
        <v>4</v>
      </c>
      <c r="D172" s="1">
        <v>1</v>
      </c>
      <c r="E172" s="1" t="s">
        <v>4297</v>
      </c>
      <c r="F172" s="1" t="s">
        <v>4299</v>
      </c>
      <c r="G172" s="1" t="s">
        <v>20</v>
      </c>
      <c r="H172" s="1" t="s">
        <v>313</v>
      </c>
      <c r="I172" s="1" t="s">
        <v>822</v>
      </c>
      <c r="J172" s="1" t="s">
        <v>825</v>
      </c>
      <c r="K172" s="1" t="s">
        <v>916</v>
      </c>
      <c r="L172" s="1" t="s">
        <v>824</v>
      </c>
      <c r="M172" s="1" t="s">
        <v>823</v>
      </c>
      <c r="N172" s="1"/>
      <c r="O172" s="1" t="s">
        <v>11</v>
      </c>
      <c r="P172" s="1" t="s">
        <v>917</v>
      </c>
      <c r="Q172" s="1"/>
      <c r="R172" s="1"/>
      <c r="S172" s="1"/>
      <c r="T172" s="1"/>
      <c r="U172" s="1"/>
      <c r="V172" s="1"/>
      <c r="Y172" t="s">
        <v>11</v>
      </c>
      <c r="Z172" t="s">
        <v>4316</v>
      </c>
      <c r="AA172" t="s">
        <v>4317</v>
      </c>
      <c r="AB172" t="s">
        <v>4629</v>
      </c>
      <c r="AC172" t="s">
        <v>4630</v>
      </c>
      <c r="AD172" s="18">
        <v>46112</v>
      </c>
    </row>
    <row r="173" spans="1:30" ht="75" hidden="1">
      <c r="A173" s="1" t="s">
        <v>965</v>
      </c>
      <c r="B173" s="1">
        <v>1172</v>
      </c>
      <c r="C173" s="1">
        <v>4</v>
      </c>
      <c r="D173" s="1">
        <v>2</v>
      </c>
      <c r="E173" s="1" t="s">
        <v>4292</v>
      </c>
      <c r="F173" s="1" t="s">
        <v>4303</v>
      </c>
      <c r="G173" s="1" t="s">
        <v>20</v>
      </c>
      <c r="H173" s="1" t="s">
        <v>261</v>
      </c>
      <c r="I173" s="1" t="s">
        <v>265</v>
      </c>
      <c r="J173" s="1" t="s">
        <v>262</v>
      </c>
      <c r="K173" s="1" t="s">
        <v>918</v>
      </c>
      <c r="L173" s="1" t="s">
        <v>264</v>
      </c>
      <c r="M173" s="1"/>
      <c r="N173" s="1"/>
      <c r="O173" s="1" t="s">
        <v>9</v>
      </c>
      <c r="P173" s="1" t="s">
        <v>919</v>
      </c>
      <c r="Q173" s="1"/>
      <c r="R173" s="1"/>
      <c r="S173" s="1"/>
      <c r="T173" s="1"/>
      <c r="U173" s="1"/>
      <c r="V173" s="1"/>
      <c r="Y173" t="s">
        <v>9</v>
      </c>
      <c r="Z173" t="s">
        <v>4316</v>
      </c>
      <c r="AA173" t="s">
        <v>4317</v>
      </c>
      <c r="AB173" t="s">
        <v>4631</v>
      </c>
      <c r="AC173" t="s">
        <v>4354</v>
      </c>
      <c r="AD173" s="18">
        <v>46112</v>
      </c>
    </row>
    <row r="174" spans="1:30" ht="150" hidden="1">
      <c r="A174" s="1" t="s">
        <v>965</v>
      </c>
      <c r="B174" s="1">
        <v>1173</v>
      </c>
      <c r="C174" s="1">
        <v>4</v>
      </c>
      <c r="D174" s="1">
        <v>3</v>
      </c>
      <c r="E174" s="1" t="s">
        <v>4292</v>
      </c>
      <c r="F174" s="1" t="s">
        <v>4293</v>
      </c>
      <c r="G174" s="1" t="s">
        <v>40</v>
      </c>
      <c r="H174" s="1" t="s">
        <v>252</v>
      </c>
      <c r="I174" s="1" t="s">
        <v>255</v>
      </c>
      <c r="J174" s="1" t="s">
        <v>253</v>
      </c>
      <c r="K174" s="1" t="s">
        <v>256</v>
      </c>
      <c r="L174" s="1" t="s">
        <v>254</v>
      </c>
      <c r="M174" s="1"/>
      <c r="N174" s="1"/>
      <c r="O174" s="1" t="s">
        <v>8</v>
      </c>
      <c r="P174" s="1" t="s">
        <v>920</v>
      </c>
      <c r="Q174" s="1"/>
      <c r="R174" s="1"/>
      <c r="S174" s="1"/>
      <c r="T174" s="1"/>
      <c r="U174" s="1"/>
      <c r="V174" s="1"/>
      <c r="Y174" t="s">
        <v>8</v>
      </c>
      <c r="Z174" t="s">
        <v>4316</v>
      </c>
      <c r="AA174" t="s">
        <v>4317</v>
      </c>
      <c r="AB174" t="s">
        <v>4632</v>
      </c>
      <c r="AC174" t="s">
        <v>4444</v>
      </c>
      <c r="AD174" s="18">
        <v>46112</v>
      </c>
    </row>
    <row r="175" spans="1:30" ht="210" hidden="1">
      <c r="A175" s="1" t="s">
        <v>965</v>
      </c>
      <c r="B175" s="1">
        <v>1174</v>
      </c>
      <c r="C175" s="1">
        <v>4</v>
      </c>
      <c r="D175" s="1">
        <v>4</v>
      </c>
      <c r="E175" s="1" t="s">
        <v>4305</v>
      </c>
      <c r="F175" s="1" t="s">
        <v>4307</v>
      </c>
      <c r="G175" s="1" t="s">
        <v>40</v>
      </c>
      <c r="H175" s="1" t="s">
        <v>794</v>
      </c>
      <c r="I175" s="1" t="s">
        <v>796</v>
      </c>
      <c r="J175" s="1" t="s">
        <v>798</v>
      </c>
      <c r="K175" s="1" t="s">
        <v>797</v>
      </c>
      <c r="L175" s="1" t="s">
        <v>795</v>
      </c>
      <c r="M175" s="1" t="s">
        <v>799</v>
      </c>
      <c r="N175" s="1"/>
      <c r="O175" s="1" t="s">
        <v>9</v>
      </c>
      <c r="P175" s="1" t="s">
        <v>921</v>
      </c>
      <c r="Q175" s="1"/>
      <c r="R175" s="1"/>
      <c r="S175" s="1"/>
      <c r="T175" s="1"/>
      <c r="U175" s="1"/>
      <c r="V175" s="1"/>
      <c r="Y175" t="s">
        <v>9</v>
      </c>
      <c r="Z175" t="s">
        <v>4316</v>
      </c>
      <c r="AA175" t="s">
        <v>4317</v>
      </c>
      <c r="AB175" t="s">
        <v>4633</v>
      </c>
      <c r="AC175" t="s">
        <v>4487</v>
      </c>
      <c r="AD175" s="18">
        <v>46112</v>
      </c>
    </row>
    <row r="176" spans="1:30" ht="90" hidden="1">
      <c r="A176" s="1" t="s">
        <v>965</v>
      </c>
      <c r="B176" s="1">
        <v>1175</v>
      </c>
      <c r="C176" s="1">
        <v>4</v>
      </c>
      <c r="D176" s="1">
        <v>5</v>
      </c>
      <c r="E176" s="1" t="s">
        <v>4290</v>
      </c>
      <c r="F176" s="1" t="s">
        <v>4302</v>
      </c>
      <c r="G176" s="1" t="s">
        <v>20</v>
      </c>
      <c r="H176" s="1" t="s">
        <v>922</v>
      </c>
      <c r="I176" s="1" t="s">
        <v>923</v>
      </c>
      <c r="J176" s="1" t="s">
        <v>924</v>
      </c>
      <c r="K176" s="1" t="s">
        <v>925</v>
      </c>
      <c r="L176" s="1" t="s">
        <v>926</v>
      </c>
      <c r="M176" s="1"/>
      <c r="N176" s="1"/>
      <c r="O176" s="1" t="s">
        <v>9</v>
      </c>
      <c r="P176" s="1" t="s">
        <v>927</v>
      </c>
      <c r="Q176" s="1"/>
      <c r="R176" s="1"/>
      <c r="S176" s="1"/>
      <c r="T176" s="1"/>
      <c r="U176" s="1"/>
      <c r="V176" s="1"/>
      <c r="Y176" t="s">
        <v>9</v>
      </c>
      <c r="Z176" t="s">
        <v>4316</v>
      </c>
      <c r="AA176" t="s">
        <v>4317</v>
      </c>
      <c r="AB176" t="s">
        <v>4634</v>
      </c>
      <c r="AC176" t="s">
        <v>4366</v>
      </c>
      <c r="AD176" s="18">
        <v>46112</v>
      </c>
    </row>
    <row r="177" spans="1:30" ht="105" hidden="1">
      <c r="A177" s="1" t="s">
        <v>965</v>
      </c>
      <c r="B177" s="1">
        <v>1176</v>
      </c>
      <c r="C177" s="1">
        <v>4</v>
      </c>
      <c r="D177" s="1">
        <v>6</v>
      </c>
      <c r="E177" s="1" t="s">
        <v>4305</v>
      </c>
      <c r="F177" s="1" t="s">
        <v>4307</v>
      </c>
      <c r="G177" s="1" t="s">
        <v>20</v>
      </c>
      <c r="H177" s="1" t="s">
        <v>613</v>
      </c>
      <c r="I177" s="1" t="s">
        <v>616</v>
      </c>
      <c r="J177" s="1" t="s">
        <v>617</v>
      </c>
      <c r="K177" s="1" t="s">
        <v>614</v>
      </c>
      <c r="L177" s="1" t="s">
        <v>615</v>
      </c>
      <c r="M177" s="1"/>
      <c r="N177" s="1"/>
      <c r="O177" s="1" t="s">
        <v>8</v>
      </c>
      <c r="P177" s="1" t="s">
        <v>928</v>
      </c>
      <c r="Q177" s="1"/>
      <c r="R177" s="1"/>
      <c r="S177" s="1"/>
      <c r="T177" s="1"/>
      <c r="U177" s="1"/>
      <c r="V177" s="1"/>
      <c r="Y177" t="s">
        <v>8</v>
      </c>
      <c r="Z177" t="s">
        <v>4316</v>
      </c>
      <c r="AA177" t="s">
        <v>4317</v>
      </c>
      <c r="AB177" t="s">
        <v>4635</v>
      </c>
      <c r="AC177" t="s">
        <v>4547</v>
      </c>
      <c r="AD177" s="18">
        <v>46112</v>
      </c>
    </row>
    <row r="178" spans="1:30" ht="195" hidden="1">
      <c r="A178" s="1" t="s">
        <v>965</v>
      </c>
      <c r="B178" s="1">
        <v>1177</v>
      </c>
      <c r="C178" s="1">
        <v>4</v>
      </c>
      <c r="D178" s="1">
        <v>7</v>
      </c>
      <c r="E178" s="1" t="s">
        <v>4292</v>
      </c>
      <c r="F178" s="1" t="s">
        <v>4303</v>
      </c>
      <c r="G178" s="1" t="s">
        <v>20</v>
      </c>
      <c r="H178" s="1" t="s">
        <v>647</v>
      </c>
      <c r="I178" s="1" t="s">
        <v>652</v>
      </c>
      <c r="J178" s="1" t="s">
        <v>649</v>
      </c>
      <c r="K178" s="1" t="s">
        <v>650</v>
      </c>
      <c r="L178" s="1" t="s">
        <v>651</v>
      </c>
      <c r="M178" s="1" t="s">
        <v>648</v>
      </c>
      <c r="N178" s="1"/>
      <c r="O178" s="1" t="s">
        <v>8</v>
      </c>
      <c r="P178" s="1" t="s">
        <v>929</v>
      </c>
      <c r="Q178" s="1"/>
      <c r="R178" s="1"/>
      <c r="S178" s="1"/>
      <c r="T178" s="1"/>
      <c r="U178" s="1"/>
      <c r="V178" s="1"/>
      <c r="Y178" t="s">
        <v>8</v>
      </c>
      <c r="Z178" t="s">
        <v>4316</v>
      </c>
      <c r="AA178" t="s">
        <v>4317</v>
      </c>
      <c r="AB178" t="s">
        <v>4636</v>
      </c>
      <c r="AC178" t="s">
        <v>4338</v>
      </c>
      <c r="AD178" s="18">
        <v>46112</v>
      </c>
    </row>
    <row r="179" spans="1:30" ht="360" hidden="1">
      <c r="A179" s="1" t="s">
        <v>965</v>
      </c>
      <c r="B179" s="1">
        <v>1178</v>
      </c>
      <c r="C179" s="1">
        <v>4</v>
      </c>
      <c r="D179" s="1">
        <v>8</v>
      </c>
      <c r="E179" s="1" t="s">
        <v>4297</v>
      </c>
      <c r="F179" s="1" t="s">
        <v>4298</v>
      </c>
      <c r="G179" s="1" t="s">
        <v>4294</v>
      </c>
      <c r="H179" s="1" t="s">
        <v>499</v>
      </c>
      <c r="I179" s="1" t="s">
        <v>931</v>
      </c>
      <c r="J179" s="1" t="s">
        <v>932</v>
      </c>
      <c r="K179" s="1" t="s">
        <v>933</v>
      </c>
      <c r="L179" s="1" t="s">
        <v>930</v>
      </c>
      <c r="M179" s="1"/>
      <c r="N179" s="1"/>
      <c r="O179" s="1" t="s">
        <v>10</v>
      </c>
      <c r="P179" s="1" t="s">
        <v>934</v>
      </c>
      <c r="Q179" s="1"/>
      <c r="R179" s="1"/>
      <c r="S179" s="1"/>
      <c r="T179" s="1">
        <v>1</v>
      </c>
      <c r="U179" s="1">
        <v>1</v>
      </c>
      <c r="V179" s="1"/>
      <c r="Y179" t="s">
        <v>10</v>
      </c>
      <c r="Z179" t="s">
        <v>4316</v>
      </c>
      <c r="AA179" t="s">
        <v>4317</v>
      </c>
      <c r="AB179" t="s">
        <v>4637</v>
      </c>
      <c r="AC179" t="s">
        <v>4323</v>
      </c>
      <c r="AD179" s="18">
        <v>46112</v>
      </c>
    </row>
    <row r="180" spans="1:30" ht="195" hidden="1">
      <c r="A180" s="1" t="s">
        <v>965</v>
      </c>
      <c r="B180" s="1">
        <v>1179</v>
      </c>
      <c r="C180" s="1">
        <v>4</v>
      </c>
      <c r="D180" s="1">
        <v>9</v>
      </c>
      <c r="E180" s="1" t="s">
        <v>4292</v>
      </c>
      <c r="F180" s="1" t="s">
        <v>4304</v>
      </c>
      <c r="G180" s="1" t="s">
        <v>40</v>
      </c>
      <c r="H180" s="1" t="s">
        <v>935</v>
      </c>
      <c r="I180" s="1" t="s">
        <v>224</v>
      </c>
      <c r="J180" s="1" t="s">
        <v>222</v>
      </c>
      <c r="K180" s="1" t="s">
        <v>936</v>
      </c>
      <c r="L180" s="1" t="s">
        <v>937</v>
      </c>
      <c r="M180" s="1" t="s">
        <v>221</v>
      </c>
      <c r="N180" s="1"/>
      <c r="O180" s="1" t="s">
        <v>7</v>
      </c>
      <c r="P180" s="1" t="s">
        <v>938</v>
      </c>
      <c r="Q180" s="1"/>
      <c r="R180" s="1"/>
      <c r="S180" s="1"/>
      <c r="T180" s="1"/>
      <c r="U180" s="1"/>
      <c r="V180" s="1"/>
      <c r="Y180" t="s">
        <v>7</v>
      </c>
      <c r="Z180" t="s">
        <v>4316</v>
      </c>
      <c r="AA180" t="s">
        <v>4317</v>
      </c>
      <c r="AB180" t="s">
        <v>4638</v>
      </c>
      <c r="AC180" t="s">
        <v>4321</v>
      </c>
      <c r="AD180" s="18">
        <v>46112</v>
      </c>
    </row>
    <row r="181" spans="1:30" ht="210" hidden="1">
      <c r="A181" s="1" t="s">
        <v>965</v>
      </c>
      <c r="B181" s="1">
        <v>1180</v>
      </c>
      <c r="C181" s="1">
        <v>4</v>
      </c>
      <c r="D181" s="1">
        <v>10</v>
      </c>
      <c r="E181" s="1" t="s">
        <v>4290</v>
      </c>
      <c r="F181" s="1" t="s">
        <v>4291</v>
      </c>
      <c r="G181" s="1" t="s">
        <v>20</v>
      </c>
      <c r="H181" s="1" t="s">
        <v>360</v>
      </c>
      <c r="I181" s="1" t="s">
        <v>361</v>
      </c>
      <c r="J181" s="1" t="s">
        <v>363</v>
      </c>
      <c r="K181" s="1" t="s">
        <v>362</v>
      </c>
      <c r="L181" s="1" t="s">
        <v>365</v>
      </c>
      <c r="M181" s="1" t="s">
        <v>364</v>
      </c>
      <c r="N181" s="1"/>
      <c r="O181" s="1" t="s">
        <v>9</v>
      </c>
      <c r="P181" s="1" t="s">
        <v>939</v>
      </c>
      <c r="Q181" s="1"/>
      <c r="R181" s="1"/>
      <c r="S181" s="1"/>
      <c r="T181" s="1"/>
      <c r="U181" s="1">
        <v>1</v>
      </c>
      <c r="V181" s="1"/>
      <c r="Y181" t="s">
        <v>9</v>
      </c>
      <c r="Z181" t="s">
        <v>4316</v>
      </c>
      <c r="AA181" t="s">
        <v>4317</v>
      </c>
      <c r="AB181" t="s">
        <v>4639</v>
      </c>
      <c r="AC181" t="s">
        <v>4502</v>
      </c>
      <c r="AD181" s="18">
        <v>46112</v>
      </c>
    </row>
    <row r="182" spans="1:30" ht="150" hidden="1">
      <c r="A182" s="1" t="s">
        <v>965</v>
      </c>
      <c r="B182" s="1">
        <v>1181</v>
      </c>
      <c r="C182" s="1">
        <v>4</v>
      </c>
      <c r="D182" s="1">
        <v>11</v>
      </c>
      <c r="E182" s="1" t="s">
        <v>4292</v>
      </c>
      <c r="F182" s="1" t="s">
        <v>4293</v>
      </c>
      <c r="G182" s="1" t="s">
        <v>20</v>
      </c>
      <c r="H182" s="1" t="s">
        <v>671</v>
      </c>
      <c r="I182" s="1" t="s">
        <v>675</v>
      </c>
      <c r="J182" s="1" t="s">
        <v>672</v>
      </c>
      <c r="K182" s="1" t="s">
        <v>673</v>
      </c>
      <c r="L182" s="1" t="s">
        <v>674</v>
      </c>
      <c r="M182" s="1"/>
      <c r="N182" s="1"/>
      <c r="O182" s="1" t="s">
        <v>7</v>
      </c>
      <c r="P182" s="1" t="s">
        <v>940</v>
      </c>
      <c r="Q182" s="1"/>
      <c r="R182" s="1"/>
      <c r="S182" s="1"/>
      <c r="T182" s="1"/>
      <c r="U182" s="1"/>
      <c r="V182" s="1"/>
      <c r="Y182" t="s">
        <v>7</v>
      </c>
      <c r="Z182" t="s">
        <v>4316</v>
      </c>
      <c r="AA182" t="s">
        <v>4317</v>
      </c>
      <c r="AB182" t="s">
        <v>4640</v>
      </c>
      <c r="AC182" t="s">
        <v>4366</v>
      </c>
      <c r="AD182" s="18">
        <v>46112</v>
      </c>
    </row>
    <row r="183" spans="1:30" ht="120">
      <c r="A183" s="1" t="s">
        <v>965</v>
      </c>
      <c r="B183" s="1">
        <v>1182</v>
      </c>
      <c r="C183" s="1">
        <v>4</v>
      </c>
      <c r="D183" s="1">
        <v>12</v>
      </c>
      <c r="E183" s="1" t="s">
        <v>4297</v>
      </c>
      <c r="F183" s="1" t="s">
        <v>4298</v>
      </c>
      <c r="G183" s="1" t="s">
        <v>4294</v>
      </c>
      <c r="H183" s="1" t="s">
        <v>942</v>
      </c>
      <c r="I183" s="1" t="s">
        <v>943</v>
      </c>
      <c r="J183" s="1" t="s">
        <v>944</v>
      </c>
      <c r="K183" s="1" t="s">
        <v>945</v>
      </c>
      <c r="L183" s="1" t="s">
        <v>946</v>
      </c>
      <c r="M183" s="1" t="s">
        <v>947</v>
      </c>
      <c r="N183" s="1"/>
      <c r="O183" s="1" t="s">
        <v>9</v>
      </c>
      <c r="P183" s="1" t="s">
        <v>941</v>
      </c>
      <c r="Q183" s="1"/>
      <c r="R183" s="1"/>
      <c r="S183" s="1"/>
      <c r="T183" s="1"/>
      <c r="U183" s="1">
        <v>1</v>
      </c>
      <c r="V183" s="1"/>
      <c r="Y183" t="s">
        <v>9</v>
      </c>
      <c r="Z183" t="s">
        <v>4331</v>
      </c>
      <c r="AA183" t="s">
        <v>4317</v>
      </c>
      <c r="AB183" t="s">
        <v>4641</v>
      </c>
      <c r="AC183" t="s">
        <v>4512</v>
      </c>
      <c r="AD183" s="18">
        <v>46112</v>
      </c>
    </row>
    <row r="184" spans="1:30" ht="75" hidden="1">
      <c r="A184" s="1" t="s">
        <v>965</v>
      </c>
      <c r="B184" s="1">
        <v>1183</v>
      </c>
      <c r="C184" s="1">
        <v>4</v>
      </c>
      <c r="D184" s="1">
        <v>13</v>
      </c>
      <c r="E184" s="1" t="s">
        <v>4295</v>
      </c>
      <c r="F184" s="1" t="s">
        <v>4296</v>
      </c>
      <c r="G184" s="1" t="s">
        <v>20</v>
      </c>
      <c r="H184" s="1" t="s">
        <v>383</v>
      </c>
      <c r="I184" s="1" t="s">
        <v>387</v>
      </c>
      <c r="J184" s="1" t="s">
        <v>384</v>
      </c>
      <c r="K184" s="1" t="s">
        <v>386</v>
      </c>
      <c r="L184" s="1" t="s">
        <v>385</v>
      </c>
      <c r="M184" s="1"/>
      <c r="N184" s="1"/>
      <c r="O184" s="1" t="s">
        <v>7</v>
      </c>
      <c r="P184" s="1" t="s">
        <v>388</v>
      </c>
      <c r="Q184" s="1"/>
      <c r="R184" s="1"/>
      <c r="S184" s="1"/>
      <c r="T184" s="1"/>
      <c r="U184" s="1"/>
      <c r="V184" s="1"/>
      <c r="Y184" t="s">
        <v>7</v>
      </c>
      <c r="Z184" t="s">
        <v>4316</v>
      </c>
      <c r="AA184" t="s">
        <v>4317</v>
      </c>
      <c r="AB184" t="s">
        <v>4642</v>
      </c>
      <c r="AC184" t="s">
        <v>4354</v>
      </c>
      <c r="AD184" s="18">
        <v>46112</v>
      </c>
    </row>
    <row r="185" spans="1:30" ht="75" hidden="1">
      <c r="A185" s="1" t="s">
        <v>965</v>
      </c>
      <c r="B185" s="1">
        <v>1184</v>
      </c>
      <c r="C185" s="1">
        <v>4</v>
      </c>
      <c r="D185" s="1">
        <v>14</v>
      </c>
      <c r="E185" s="1" t="s">
        <v>4297</v>
      </c>
      <c r="F185" s="1" t="s">
        <v>4298</v>
      </c>
      <c r="G185" s="1" t="s">
        <v>20</v>
      </c>
      <c r="H185" s="1" t="s">
        <v>395</v>
      </c>
      <c r="I185" s="1" t="s">
        <v>399</v>
      </c>
      <c r="J185" s="1" t="s">
        <v>396</v>
      </c>
      <c r="K185" s="1" t="s">
        <v>397</v>
      </c>
      <c r="L185" s="1" t="s">
        <v>398</v>
      </c>
      <c r="M185" s="1"/>
      <c r="N185" s="1"/>
      <c r="O185" s="1" t="s">
        <v>9</v>
      </c>
      <c r="P185" s="1" t="s">
        <v>948</v>
      </c>
      <c r="Q185" s="1"/>
      <c r="R185" s="1"/>
      <c r="S185" s="1"/>
      <c r="T185" s="1">
        <v>1</v>
      </c>
      <c r="U185" s="1"/>
      <c r="V185" s="1"/>
      <c r="Y185" t="s">
        <v>9</v>
      </c>
      <c r="Z185" t="s">
        <v>4316</v>
      </c>
      <c r="AA185" t="s">
        <v>4317</v>
      </c>
      <c r="AB185" t="s">
        <v>4643</v>
      </c>
      <c r="AC185" t="s">
        <v>4327</v>
      </c>
      <c r="AD185" s="18">
        <v>46112</v>
      </c>
    </row>
    <row r="186" spans="1:30" ht="255" hidden="1">
      <c r="A186" s="1" t="s">
        <v>965</v>
      </c>
      <c r="B186" s="1">
        <v>1185</v>
      </c>
      <c r="C186" s="1">
        <v>4</v>
      </c>
      <c r="D186" s="1">
        <v>15</v>
      </c>
      <c r="E186" s="1" t="s">
        <v>4292</v>
      </c>
      <c r="F186" s="1" t="s">
        <v>4293</v>
      </c>
      <c r="G186" s="1" t="s">
        <v>40</v>
      </c>
      <c r="H186" s="1" t="s">
        <v>949</v>
      </c>
      <c r="I186" s="1" t="s">
        <v>950</v>
      </c>
      <c r="J186" s="1" t="s">
        <v>951</v>
      </c>
      <c r="K186" s="1" t="s">
        <v>952</v>
      </c>
      <c r="L186" s="1" t="s">
        <v>953</v>
      </c>
      <c r="M186" s="1" t="s">
        <v>954</v>
      </c>
      <c r="N186" s="1"/>
      <c r="O186" s="1" t="s">
        <v>9</v>
      </c>
      <c r="P186" s="1" t="s">
        <v>955</v>
      </c>
      <c r="Q186" s="1"/>
      <c r="R186" s="1"/>
      <c r="S186" s="1"/>
      <c r="T186" s="1"/>
      <c r="U186" s="1"/>
      <c r="V186" s="1"/>
      <c r="Z186" t="s">
        <v>4386</v>
      </c>
      <c r="AB186" t="s">
        <v>4644</v>
      </c>
      <c r="AC186" t="s">
        <v>4517</v>
      </c>
      <c r="AD186" s="18">
        <v>46112</v>
      </c>
    </row>
    <row r="187" spans="1:30" ht="75" hidden="1">
      <c r="A187" s="1" t="s">
        <v>965</v>
      </c>
      <c r="B187" s="1">
        <v>1186</v>
      </c>
      <c r="C187" s="1">
        <v>4</v>
      </c>
      <c r="D187" s="1">
        <v>16</v>
      </c>
      <c r="E187" s="1" t="s">
        <v>4297</v>
      </c>
      <c r="F187" s="1" t="s">
        <v>4298</v>
      </c>
      <c r="G187" s="1" t="s">
        <v>20</v>
      </c>
      <c r="H187" s="1" t="s">
        <v>547</v>
      </c>
      <c r="I187" s="1" t="s">
        <v>956</v>
      </c>
      <c r="J187" s="1" t="s">
        <v>551</v>
      </c>
      <c r="K187" s="1" t="s">
        <v>550</v>
      </c>
      <c r="L187" s="1" t="s">
        <v>549</v>
      </c>
      <c r="M187" s="1"/>
      <c r="N187" s="1"/>
      <c r="O187" s="1" t="s">
        <v>7</v>
      </c>
      <c r="P187" s="1" t="s">
        <v>957</v>
      </c>
      <c r="Q187" s="1"/>
      <c r="R187" s="1"/>
      <c r="S187" s="1"/>
      <c r="T187" s="1"/>
      <c r="U187" s="1"/>
      <c r="V187" s="1"/>
      <c r="Y187" t="s">
        <v>7</v>
      </c>
      <c r="Z187" t="s">
        <v>4316</v>
      </c>
      <c r="AA187" t="s">
        <v>4317</v>
      </c>
      <c r="AB187" t="s">
        <v>4645</v>
      </c>
      <c r="AC187" t="s">
        <v>4327</v>
      </c>
      <c r="AD187" s="18">
        <v>46112</v>
      </c>
    </row>
    <row r="188" spans="1:30" ht="165" hidden="1">
      <c r="A188" s="1" t="s">
        <v>965</v>
      </c>
      <c r="B188" s="1">
        <v>1187</v>
      </c>
      <c r="C188" s="1">
        <v>4</v>
      </c>
      <c r="D188" s="1">
        <v>17</v>
      </c>
      <c r="E188" s="1" t="s">
        <v>4292</v>
      </c>
      <c r="F188" s="1" t="s">
        <v>4304</v>
      </c>
      <c r="G188" s="1" t="s">
        <v>20</v>
      </c>
      <c r="H188" s="1" t="s">
        <v>958</v>
      </c>
      <c r="I188" s="1" t="s">
        <v>959</v>
      </c>
      <c r="J188" s="1" t="s">
        <v>960</v>
      </c>
      <c r="K188" s="1" t="s">
        <v>961</v>
      </c>
      <c r="L188" s="1" t="s">
        <v>962</v>
      </c>
      <c r="M188" s="1"/>
      <c r="N188" s="1"/>
      <c r="O188" s="1" t="s">
        <v>7</v>
      </c>
      <c r="P188" s="1" t="s">
        <v>963</v>
      </c>
      <c r="Q188" s="1"/>
      <c r="R188" s="1"/>
      <c r="S188" s="1"/>
      <c r="T188" s="1"/>
      <c r="U188" s="1"/>
      <c r="V188" s="1"/>
      <c r="Y188" t="s">
        <v>7</v>
      </c>
      <c r="Z188" t="s">
        <v>4316</v>
      </c>
      <c r="AA188" t="s">
        <v>4317</v>
      </c>
      <c r="AB188" t="s">
        <v>4646</v>
      </c>
      <c r="AC188" t="s">
        <v>4321</v>
      </c>
      <c r="AD188" s="18">
        <v>46112</v>
      </c>
    </row>
    <row r="189" spans="1:30" ht="195" hidden="1">
      <c r="A189" s="1" t="s">
        <v>965</v>
      </c>
      <c r="B189" s="1">
        <v>1188</v>
      </c>
      <c r="C189" s="1">
        <v>4</v>
      </c>
      <c r="D189" s="1">
        <v>18</v>
      </c>
      <c r="E189" s="1" t="s">
        <v>4292</v>
      </c>
      <c r="F189" s="1" t="s">
        <v>4293</v>
      </c>
      <c r="G189" s="1" t="s">
        <v>20</v>
      </c>
      <c r="H189" s="1" t="s">
        <v>500</v>
      </c>
      <c r="I189" s="1" t="s">
        <v>504</v>
      </c>
      <c r="J189" s="1" t="s">
        <v>992</v>
      </c>
      <c r="K189" s="1" t="s">
        <v>501</v>
      </c>
      <c r="L189" s="1" t="s">
        <v>993</v>
      </c>
      <c r="M189" s="1" t="s">
        <v>994</v>
      </c>
      <c r="N189" s="1"/>
      <c r="O189" s="1" t="s">
        <v>11</v>
      </c>
      <c r="P189" s="1" t="s">
        <v>995</v>
      </c>
      <c r="Q189" s="1"/>
      <c r="R189" s="1"/>
      <c r="S189" s="1"/>
      <c r="T189" s="1"/>
      <c r="U189" s="1"/>
      <c r="V189" s="1"/>
      <c r="Y189" t="s">
        <v>11</v>
      </c>
      <c r="Z189" t="s">
        <v>4316</v>
      </c>
      <c r="AA189" t="s">
        <v>4317</v>
      </c>
      <c r="AB189" t="s">
        <v>4647</v>
      </c>
      <c r="AC189" t="s">
        <v>4338</v>
      </c>
      <c r="AD189" s="18">
        <v>46112</v>
      </c>
    </row>
    <row r="190" spans="1:30" ht="105" hidden="1">
      <c r="A190" s="1" t="s">
        <v>965</v>
      </c>
      <c r="B190" s="1">
        <v>1189</v>
      </c>
      <c r="C190" s="1">
        <v>4</v>
      </c>
      <c r="D190" s="1">
        <v>19</v>
      </c>
      <c r="E190" s="1" t="s">
        <v>4297</v>
      </c>
      <c r="F190" s="1" t="s">
        <v>4298</v>
      </c>
      <c r="G190" s="1" t="s">
        <v>20</v>
      </c>
      <c r="H190" s="1" t="s">
        <v>996</v>
      </c>
      <c r="I190" s="1" t="s">
        <v>997</v>
      </c>
      <c r="J190" s="1" t="s">
        <v>998</v>
      </c>
      <c r="K190" s="1" t="s">
        <v>999</v>
      </c>
      <c r="L190" s="1" t="s">
        <v>1000</v>
      </c>
      <c r="M190" s="1"/>
      <c r="N190" s="1"/>
      <c r="O190" s="1" t="s">
        <v>10</v>
      </c>
      <c r="P190" s="1" t="s">
        <v>1001</v>
      </c>
      <c r="Q190" s="1"/>
      <c r="R190" s="1"/>
      <c r="S190" s="1"/>
      <c r="T190" s="1">
        <v>1</v>
      </c>
      <c r="U190" s="1">
        <v>1</v>
      </c>
      <c r="V190" s="1"/>
      <c r="Y190" t="s">
        <v>10</v>
      </c>
      <c r="Z190" t="s">
        <v>4316</v>
      </c>
      <c r="AA190" t="s">
        <v>4317</v>
      </c>
      <c r="AB190" t="s">
        <v>4648</v>
      </c>
      <c r="AC190" t="s">
        <v>4327</v>
      </c>
      <c r="AD190" s="18">
        <v>46112</v>
      </c>
    </row>
    <row r="191" spans="1:30" ht="105" hidden="1">
      <c r="A191" s="1" t="s">
        <v>965</v>
      </c>
      <c r="B191" s="1">
        <v>1190</v>
      </c>
      <c r="C191" s="1">
        <v>4</v>
      </c>
      <c r="D191" s="1">
        <v>20</v>
      </c>
      <c r="E191" s="1" t="s">
        <v>4297</v>
      </c>
      <c r="F191" s="1" t="s">
        <v>4300</v>
      </c>
      <c r="G191" s="1" t="s">
        <v>4294</v>
      </c>
      <c r="H191" s="1" t="s">
        <v>1002</v>
      </c>
      <c r="I191" s="1" t="s">
        <v>1003</v>
      </c>
      <c r="J191" s="1" t="s">
        <v>1004</v>
      </c>
      <c r="K191" s="1" t="s">
        <v>1005</v>
      </c>
      <c r="L191" s="1" t="s">
        <v>1006</v>
      </c>
      <c r="M191" s="1"/>
      <c r="N191" s="1"/>
      <c r="O191" s="1" t="s">
        <v>9</v>
      </c>
      <c r="P191" s="1" t="s">
        <v>1007</v>
      </c>
      <c r="Q191" s="1"/>
      <c r="R191" s="1"/>
      <c r="S191" s="1"/>
      <c r="T191" s="1"/>
      <c r="U191" s="1"/>
      <c r="V191" s="1"/>
      <c r="Y191" t="s">
        <v>9</v>
      </c>
      <c r="Z191" t="s">
        <v>4316</v>
      </c>
      <c r="AA191" t="s">
        <v>4317</v>
      </c>
      <c r="AB191" t="s">
        <v>4649</v>
      </c>
      <c r="AC191" t="s">
        <v>4338</v>
      </c>
      <c r="AD191" s="18">
        <v>46112</v>
      </c>
    </row>
    <row r="192" spans="1:30" ht="135" hidden="1">
      <c r="A192" s="1" t="s">
        <v>965</v>
      </c>
      <c r="B192" s="1">
        <v>1191</v>
      </c>
      <c r="C192" s="1">
        <v>4</v>
      </c>
      <c r="D192" s="1">
        <v>21</v>
      </c>
      <c r="E192" s="1" t="s">
        <v>4292</v>
      </c>
      <c r="F192" s="1" t="s">
        <v>4293</v>
      </c>
      <c r="G192" s="1" t="s">
        <v>40</v>
      </c>
      <c r="H192" s="1" t="s">
        <v>1008</v>
      </c>
      <c r="I192" s="1" t="s">
        <v>1009</v>
      </c>
      <c r="J192" s="1" t="s">
        <v>1010</v>
      </c>
      <c r="K192" s="1" t="s">
        <v>1011</v>
      </c>
      <c r="L192" s="1" t="s">
        <v>1012</v>
      </c>
      <c r="M192" s="1"/>
      <c r="N192" s="1"/>
      <c r="O192" s="1" t="s">
        <v>7</v>
      </c>
      <c r="P192" s="1" t="s">
        <v>1013</v>
      </c>
      <c r="Q192" s="1"/>
      <c r="R192" s="1"/>
      <c r="S192" s="1"/>
      <c r="T192" s="1"/>
      <c r="U192" s="1">
        <v>1</v>
      </c>
      <c r="V192" s="1"/>
      <c r="Y192" t="s">
        <v>7</v>
      </c>
      <c r="Z192" t="s">
        <v>4316</v>
      </c>
      <c r="AA192" t="s">
        <v>4317</v>
      </c>
      <c r="AB192" t="s">
        <v>4650</v>
      </c>
      <c r="AC192" t="s">
        <v>4382</v>
      </c>
      <c r="AD192" s="18">
        <v>46112</v>
      </c>
    </row>
    <row r="193" spans="1:30" ht="195" hidden="1">
      <c r="A193" s="1" t="s">
        <v>965</v>
      </c>
      <c r="B193" s="1">
        <v>1192</v>
      </c>
      <c r="C193" s="1">
        <v>4</v>
      </c>
      <c r="D193" s="1">
        <v>22</v>
      </c>
      <c r="E193" s="1" t="s">
        <v>4292</v>
      </c>
      <c r="F193" s="1" t="s">
        <v>4304</v>
      </c>
      <c r="G193" s="1" t="s">
        <v>40</v>
      </c>
      <c r="H193" s="1" t="s">
        <v>226</v>
      </c>
      <c r="I193" s="1" t="s">
        <v>228</v>
      </c>
      <c r="J193" s="1" t="s">
        <v>230</v>
      </c>
      <c r="K193" s="1" t="s">
        <v>227</v>
      </c>
      <c r="L193" s="1" t="s">
        <v>229</v>
      </c>
      <c r="M193" s="1" t="s">
        <v>231</v>
      </c>
      <c r="N193" s="1"/>
      <c r="O193" s="1" t="s">
        <v>9</v>
      </c>
      <c r="P193" s="1" t="s">
        <v>232</v>
      </c>
      <c r="Q193" s="1"/>
      <c r="R193" s="1"/>
      <c r="S193" s="1"/>
      <c r="T193" s="1"/>
      <c r="U193" s="1"/>
      <c r="V193" s="1"/>
      <c r="Y193" t="s">
        <v>9</v>
      </c>
      <c r="Z193" t="s">
        <v>4316</v>
      </c>
      <c r="AA193" t="s">
        <v>4317</v>
      </c>
      <c r="AB193" t="s">
        <v>4651</v>
      </c>
      <c r="AC193" t="s">
        <v>4652</v>
      </c>
      <c r="AD193" s="18">
        <v>46112</v>
      </c>
    </row>
    <row r="194" spans="1:30" ht="60" hidden="1">
      <c r="A194" s="1" t="s">
        <v>965</v>
      </c>
      <c r="B194" s="1">
        <v>1193</v>
      </c>
      <c r="C194" s="1">
        <v>4</v>
      </c>
      <c r="D194" s="1">
        <v>23</v>
      </c>
      <c r="E194" s="1" t="s">
        <v>4292</v>
      </c>
      <c r="F194" s="1" t="s">
        <v>4303</v>
      </c>
      <c r="G194" s="1" t="s">
        <v>20</v>
      </c>
      <c r="H194" s="1" t="s">
        <v>1014</v>
      </c>
      <c r="I194" s="1" t="s">
        <v>1015</v>
      </c>
      <c r="J194" s="1" t="s">
        <v>1016</v>
      </c>
      <c r="K194" s="1" t="s">
        <v>1017</v>
      </c>
      <c r="L194" s="1" t="s">
        <v>1018</v>
      </c>
      <c r="M194" s="1"/>
      <c r="N194" s="1"/>
      <c r="O194" s="1" t="s">
        <v>7</v>
      </c>
      <c r="P194" s="1" t="s">
        <v>1091</v>
      </c>
      <c r="Q194" s="1"/>
      <c r="R194" s="1"/>
      <c r="S194" s="1"/>
      <c r="T194" s="1"/>
      <c r="U194" s="1"/>
      <c r="V194" s="1"/>
      <c r="Y194" t="s">
        <v>7</v>
      </c>
      <c r="Z194" t="s">
        <v>4316</v>
      </c>
      <c r="AA194" t="s">
        <v>4317</v>
      </c>
      <c r="AB194" t="s">
        <v>4653</v>
      </c>
      <c r="AC194" t="s">
        <v>4366</v>
      </c>
      <c r="AD194" s="18">
        <v>46112</v>
      </c>
    </row>
    <row r="195" spans="1:30" ht="195" hidden="1">
      <c r="A195" s="1" t="s">
        <v>965</v>
      </c>
      <c r="B195" s="1">
        <v>1194</v>
      </c>
      <c r="C195" s="1">
        <v>4</v>
      </c>
      <c r="D195" s="1">
        <v>24</v>
      </c>
      <c r="E195" s="1" t="s">
        <v>4297</v>
      </c>
      <c r="F195" s="1" t="s">
        <v>4300</v>
      </c>
      <c r="G195" s="1" t="s">
        <v>20</v>
      </c>
      <c r="H195" s="1" t="s">
        <v>689</v>
      </c>
      <c r="I195" s="1" t="s">
        <v>690</v>
      </c>
      <c r="J195" s="1" t="s">
        <v>694</v>
      </c>
      <c r="K195" s="1" t="s">
        <v>692</v>
      </c>
      <c r="L195" s="1" t="s">
        <v>691</v>
      </c>
      <c r="M195" s="1" t="s">
        <v>693</v>
      </c>
      <c r="N195" s="1"/>
      <c r="O195" s="1" t="s">
        <v>10</v>
      </c>
      <c r="P195" s="1" t="s">
        <v>695</v>
      </c>
      <c r="Q195" s="1"/>
      <c r="R195" s="1"/>
      <c r="S195" s="1"/>
      <c r="T195" s="1"/>
      <c r="U195" s="1"/>
      <c r="V195" s="1"/>
      <c r="Y195" t="s">
        <v>10</v>
      </c>
      <c r="Z195" t="s">
        <v>4316</v>
      </c>
      <c r="AA195" t="s">
        <v>4317</v>
      </c>
      <c r="AB195" t="s">
        <v>691</v>
      </c>
      <c r="AC195" t="s">
        <v>4338</v>
      </c>
      <c r="AD195" s="18">
        <v>46112</v>
      </c>
    </row>
    <row r="196" spans="1:30" ht="90" hidden="1">
      <c r="A196" s="1" t="s">
        <v>965</v>
      </c>
      <c r="B196" s="1">
        <v>1195</v>
      </c>
      <c r="C196" s="1">
        <v>4</v>
      </c>
      <c r="D196" s="1">
        <v>25</v>
      </c>
      <c r="E196" s="1" t="s">
        <v>4295</v>
      </c>
      <c r="F196" s="1" t="s">
        <v>4296</v>
      </c>
      <c r="G196" s="1" t="s">
        <v>20</v>
      </c>
      <c r="H196" s="1" t="s">
        <v>1019</v>
      </c>
      <c r="I196" s="1" t="s">
        <v>1020</v>
      </c>
      <c r="J196" s="1" t="s">
        <v>1021</v>
      </c>
      <c r="K196" s="1" t="s">
        <v>1022</v>
      </c>
      <c r="L196" s="1" t="s">
        <v>1023</v>
      </c>
      <c r="M196" s="1"/>
      <c r="N196" s="1"/>
      <c r="O196" s="1" t="s">
        <v>8</v>
      </c>
      <c r="P196" s="1" t="s">
        <v>1092</v>
      </c>
      <c r="Q196" s="1"/>
      <c r="R196" s="1"/>
      <c r="S196" s="1"/>
      <c r="T196" s="1"/>
      <c r="U196" s="1"/>
      <c r="V196" s="1"/>
      <c r="Y196" t="s">
        <v>8</v>
      </c>
      <c r="Z196" t="s">
        <v>4316</v>
      </c>
      <c r="AA196" t="s">
        <v>4317</v>
      </c>
      <c r="AB196" t="s">
        <v>4654</v>
      </c>
      <c r="AC196" t="s">
        <v>4441</v>
      </c>
      <c r="AD196" s="18">
        <v>46112</v>
      </c>
    </row>
    <row r="197" spans="1:30" ht="90" hidden="1">
      <c r="A197" s="1" t="s">
        <v>965</v>
      </c>
      <c r="B197" s="1">
        <v>1196</v>
      </c>
      <c r="C197" s="1">
        <v>4</v>
      </c>
      <c r="D197" s="1">
        <v>26</v>
      </c>
      <c r="E197" s="1" t="s">
        <v>4295</v>
      </c>
      <c r="F197" s="1" t="s">
        <v>4296</v>
      </c>
      <c r="G197" s="1" t="s">
        <v>4294</v>
      </c>
      <c r="H197" s="1" t="s">
        <v>1024</v>
      </c>
      <c r="I197" s="1" t="s">
        <v>1025</v>
      </c>
      <c r="J197" s="1" t="s">
        <v>1026</v>
      </c>
      <c r="K197" s="1" t="s">
        <v>1027</v>
      </c>
      <c r="L197" s="1" t="s">
        <v>1028</v>
      </c>
      <c r="M197" s="1"/>
      <c r="N197" s="1"/>
      <c r="O197" s="1" t="s">
        <v>9</v>
      </c>
      <c r="P197" s="1" t="s">
        <v>1093</v>
      </c>
      <c r="Q197" s="1"/>
      <c r="R197" s="1"/>
      <c r="S197" s="1"/>
      <c r="T197" s="1"/>
      <c r="U197" s="1"/>
      <c r="V197" s="1"/>
      <c r="Y197" t="s">
        <v>9</v>
      </c>
      <c r="Z197" t="s">
        <v>4316</v>
      </c>
      <c r="AA197" t="s">
        <v>4317</v>
      </c>
      <c r="AB197" t="s">
        <v>4655</v>
      </c>
      <c r="AC197" t="s">
        <v>4656</v>
      </c>
      <c r="AD197" s="18">
        <v>46112</v>
      </c>
    </row>
    <row r="198" spans="1:30" ht="409.5" hidden="1">
      <c r="A198" s="1" t="s">
        <v>965</v>
      </c>
      <c r="B198" s="1">
        <v>1197</v>
      </c>
      <c r="C198" s="1">
        <v>4</v>
      </c>
      <c r="D198" s="1">
        <v>27</v>
      </c>
      <c r="E198" s="1" t="s">
        <v>4297</v>
      </c>
      <c r="F198" s="1" t="s">
        <v>4301</v>
      </c>
      <c r="G198" s="1" t="s">
        <v>20</v>
      </c>
      <c r="H198" s="1" t="s">
        <v>320</v>
      </c>
      <c r="I198" s="1" t="s">
        <v>324</v>
      </c>
      <c r="J198" s="1" t="s">
        <v>325</v>
      </c>
      <c r="K198" s="1" t="s">
        <v>321</v>
      </c>
      <c r="L198" s="1" t="s">
        <v>322</v>
      </c>
      <c r="M198" s="1" t="s">
        <v>323</v>
      </c>
      <c r="N198" s="1"/>
      <c r="O198" s="1" t="s">
        <v>8</v>
      </c>
      <c r="P198" s="1" t="s">
        <v>1094</v>
      </c>
      <c r="Q198" s="1"/>
      <c r="R198" s="1"/>
      <c r="S198" s="1"/>
      <c r="T198" s="1"/>
      <c r="U198" s="1">
        <v>1</v>
      </c>
      <c r="V198" s="1"/>
      <c r="Z198" t="s">
        <v>4386</v>
      </c>
      <c r="AB198" t="s">
        <v>4657</v>
      </c>
      <c r="AC198" t="s">
        <v>4517</v>
      </c>
      <c r="AD198" s="18">
        <v>46112</v>
      </c>
    </row>
    <row r="199" spans="1:30" ht="409.5" hidden="1">
      <c r="A199" s="1" t="s">
        <v>965</v>
      </c>
      <c r="B199" s="1">
        <v>1198</v>
      </c>
      <c r="C199" s="1">
        <v>4</v>
      </c>
      <c r="D199" s="1">
        <v>28</v>
      </c>
      <c r="E199" s="1" t="s">
        <v>4297</v>
      </c>
      <c r="F199" s="1" t="s">
        <v>4298</v>
      </c>
      <c r="G199" s="1" t="s">
        <v>20</v>
      </c>
      <c r="H199" s="1" t="s">
        <v>395</v>
      </c>
      <c r="I199" s="1" t="s">
        <v>397</v>
      </c>
      <c r="J199" s="1" t="s">
        <v>396</v>
      </c>
      <c r="K199" s="1" t="s">
        <v>398</v>
      </c>
      <c r="L199" s="1" t="s">
        <v>399</v>
      </c>
      <c r="M199" s="1"/>
      <c r="N199" s="1"/>
      <c r="O199" s="1" t="s">
        <v>7</v>
      </c>
      <c r="P199" s="1" t="s">
        <v>1095</v>
      </c>
      <c r="Q199" s="1"/>
      <c r="R199" s="1"/>
      <c r="S199" s="1"/>
      <c r="T199" s="1"/>
      <c r="U199" s="1"/>
      <c r="V199" s="1"/>
      <c r="Y199" t="s">
        <v>7</v>
      </c>
      <c r="Z199" t="s">
        <v>4316</v>
      </c>
      <c r="AA199" t="s">
        <v>4317</v>
      </c>
      <c r="AB199" t="s">
        <v>4658</v>
      </c>
      <c r="AC199" t="s">
        <v>4327</v>
      </c>
      <c r="AD199" s="18">
        <v>46112</v>
      </c>
    </row>
    <row r="200" spans="1:30" ht="409.5" hidden="1">
      <c r="A200" s="1" t="s">
        <v>965</v>
      </c>
      <c r="B200" s="1">
        <v>1199</v>
      </c>
      <c r="C200" s="1">
        <v>4</v>
      </c>
      <c r="D200" s="1">
        <v>29</v>
      </c>
      <c r="E200" s="1" t="s">
        <v>4297</v>
      </c>
      <c r="F200" s="1" t="s">
        <v>4298</v>
      </c>
      <c r="G200" s="1" t="s">
        <v>20</v>
      </c>
      <c r="H200" s="1" t="s">
        <v>996</v>
      </c>
      <c r="I200" s="1" t="s">
        <v>999</v>
      </c>
      <c r="J200" s="1" t="s">
        <v>997</v>
      </c>
      <c r="K200" s="1" t="s">
        <v>1000</v>
      </c>
      <c r="L200" s="1" t="s">
        <v>998</v>
      </c>
      <c r="M200" s="1"/>
      <c r="N200" s="1"/>
      <c r="O200" s="1" t="s">
        <v>9</v>
      </c>
      <c r="P200" s="1" t="s">
        <v>1096</v>
      </c>
      <c r="Q200" s="1"/>
      <c r="R200" s="1"/>
      <c r="S200" s="1"/>
      <c r="T200" s="1"/>
      <c r="U200" s="1"/>
      <c r="V200" s="1"/>
      <c r="Y200" t="s">
        <v>9</v>
      </c>
      <c r="Z200" t="s">
        <v>4316</v>
      </c>
      <c r="AA200" t="s">
        <v>4317</v>
      </c>
      <c r="AB200" t="s">
        <v>4659</v>
      </c>
      <c r="AC200" t="s">
        <v>4327</v>
      </c>
      <c r="AD200" s="18">
        <v>46112</v>
      </c>
    </row>
    <row r="201" spans="1:30" ht="300" hidden="1">
      <c r="A201" s="1" t="s">
        <v>965</v>
      </c>
      <c r="B201" s="1">
        <v>1200</v>
      </c>
      <c r="C201" s="1">
        <v>4</v>
      </c>
      <c r="D201" s="1">
        <v>30</v>
      </c>
      <c r="E201" s="1" t="s">
        <v>4290</v>
      </c>
      <c r="F201" s="1" t="s">
        <v>4291</v>
      </c>
      <c r="G201" s="1" t="s">
        <v>4294</v>
      </c>
      <c r="H201" s="1" t="s">
        <v>285</v>
      </c>
      <c r="I201" s="1" t="s">
        <v>227</v>
      </c>
      <c r="J201" s="1" t="s">
        <v>363</v>
      </c>
      <c r="K201" s="1" t="s">
        <v>364</v>
      </c>
      <c r="L201" s="1" t="s">
        <v>365</v>
      </c>
      <c r="M201" s="1" t="s">
        <v>19</v>
      </c>
      <c r="N201" s="1"/>
      <c r="O201" s="1" t="s">
        <v>11</v>
      </c>
      <c r="P201" s="1" t="s">
        <v>291</v>
      </c>
      <c r="Q201" s="1"/>
      <c r="R201" s="1"/>
      <c r="S201" s="1"/>
      <c r="T201" s="1"/>
      <c r="U201" s="1"/>
      <c r="V201" s="1"/>
      <c r="Y201" t="s">
        <v>11</v>
      </c>
      <c r="Z201" t="s">
        <v>4316</v>
      </c>
      <c r="AA201" t="s">
        <v>4317</v>
      </c>
      <c r="AB201" t="s">
        <v>4660</v>
      </c>
      <c r="AC201" t="s">
        <v>4661</v>
      </c>
      <c r="AD201" s="18">
        <v>46112</v>
      </c>
    </row>
    <row r="202" spans="1:30" ht="165" hidden="1">
      <c r="A202" s="1" t="s">
        <v>965</v>
      </c>
      <c r="B202" s="1">
        <v>1201</v>
      </c>
      <c r="C202" s="1">
        <v>4</v>
      </c>
      <c r="D202" s="1">
        <v>31</v>
      </c>
      <c r="E202" s="1" t="s">
        <v>4297</v>
      </c>
      <c r="F202" s="1" t="s">
        <v>4300</v>
      </c>
      <c r="G202" s="1" t="s">
        <v>20</v>
      </c>
      <c r="H202" s="1" t="s">
        <v>1029</v>
      </c>
      <c r="I202" s="1" t="s">
        <v>1030</v>
      </c>
      <c r="J202" s="1" t="s">
        <v>1031</v>
      </c>
      <c r="K202" s="1" t="s">
        <v>1032</v>
      </c>
      <c r="L202" s="1" t="s">
        <v>1033</v>
      </c>
      <c r="M202" s="1" t="s">
        <v>1034</v>
      </c>
      <c r="N202" s="1"/>
      <c r="O202" s="1" t="s">
        <v>7</v>
      </c>
      <c r="P202" s="1" t="s">
        <v>1097</v>
      </c>
      <c r="Q202" s="1"/>
      <c r="R202" s="1"/>
      <c r="S202" s="1"/>
      <c r="T202" s="1"/>
      <c r="U202" s="1"/>
      <c r="V202" s="1"/>
      <c r="Y202" t="s">
        <v>7</v>
      </c>
      <c r="Z202" t="s">
        <v>4316</v>
      </c>
      <c r="AA202" t="s">
        <v>4317</v>
      </c>
      <c r="AB202" t="s">
        <v>4662</v>
      </c>
      <c r="AC202" t="s">
        <v>4338</v>
      </c>
      <c r="AD202" s="18">
        <v>46112</v>
      </c>
    </row>
    <row r="203" spans="1:30" ht="165" hidden="1">
      <c r="A203" s="1" t="s">
        <v>965</v>
      </c>
      <c r="B203" s="1">
        <v>1202</v>
      </c>
      <c r="C203" s="1">
        <v>4</v>
      </c>
      <c r="D203" s="1">
        <v>32</v>
      </c>
      <c r="E203" s="1" t="s">
        <v>4297</v>
      </c>
      <c r="F203" s="1" t="s">
        <v>4300</v>
      </c>
      <c r="G203" s="1" t="s">
        <v>20</v>
      </c>
      <c r="H203" s="1" t="s">
        <v>1035</v>
      </c>
      <c r="I203" s="1" t="s">
        <v>1036</v>
      </c>
      <c r="J203" s="1" t="s">
        <v>1037</v>
      </c>
      <c r="K203" s="1" t="s">
        <v>1038</v>
      </c>
      <c r="L203" s="1" t="s">
        <v>1039</v>
      </c>
      <c r="M203" s="1"/>
      <c r="N203" s="1"/>
      <c r="O203" s="1" t="s">
        <v>8</v>
      </c>
      <c r="P203" s="1" t="s">
        <v>1097</v>
      </c>
      <c r="Q203" s="1"/>
      <c r="R203" s="1"/>
      <c r="S203" s="1"/>
      <c r="T203" s="1"/>
      <c r="U203" s="1"/>
      <c r="V203" s="1"/>
      <c r="Y203" t="s">
        <v>8</v>
      </c>
      <c r="Z203" t="s">
        <v>4316</v>
      </c>
      <c r="AA203" t="s">
        <v>4317</v>
      </c>
      <c r="AB203" t="s">
        <v>4663</v>
      </c>
      <c r="AC203" t="s">
        <v>4547</v>
      </c>
      <c r="AD203" s="18">
        <v>46112</v>
      </c>
    </row>
    <row r="204" spans="1:30" ht="90" hidden="1">
      <c r="A204" s="1" t="s">
        <v>965</v>
      </c>
      <c r="B204" s="1">
        <v>1203</v>
      </c>
      <c r="C204" s="1">
        <v>4</v>
      </c>
      <c r="D204" s="1">
        <v>33</v>
      </c>
      <c r="E204" s="1" t="s">
        <v>4290</v>
      </c>
      <c r="F204" s="1" t="s">
        <v>4302</v>
      </c>
      <c r="G204" s="1" t="s">
        <v>20</v>
      </c>
      <c r="H204" s="1" t="s">
        <v>716</v>
      </c>
      <c r="I204" s="1" t="s">
        <v>717</v>
      </c>
      <c r="J204" s="1" t="s">
        <v>719</v>
      </c>
      <c r="K204" s="1" t="s">
        <v>718</v>
      </c>
      <c r="L204" s="1" t="s">
        <v>720</v>
      </c>
      <c r="M204" s="1"/>
      <c r="N204" s="1"/>
      <c r="O204" s="1" t="s">
        <v>10</v>
      </c>
      <c r="P204" s="1" t="s">
        <v>721</v>
      </c>
      <c r="Q204" s="1"/>
      <c r="R204" s="1"/>
      <c r="S204" s="1"/>
      <c r="T204" s="1"/>
      <c r="U204" s="1"/>
      <c r="V204" s="1"/>
      <c r="Y204" t="s">
        <v>10</v>
      </c>
      <c r="Z204" t="s">
        <v>4316</v>
      </c>
      <c r="AA204" t="s">
        <v>4317</v>
      </c>
      <c r="AB204" t="s">
        <v>4664</v>
      </c>
      <c r="AC204" t="s">
        <v>4366</v>
      </c>
      <c r="AD204" s="18">
        <v>46112</v>
      </c>
    </row>
    <row r="205" spans="1:30" ht="90" hidden="1">
      <c r="A205" s="1" t="s">
        <v>965</v>
      </c>
      <c r="B205" s="1">
        <v>1204</v>
      </c>
      <c r="C205" s="1">
        <v>4</v>
      </c>
      <c r="D205" s="1">
        <v>34</v>
      </c>
      <c r="E205" s="1" t="s">
        <v>4290</v>
      </c>
      <c r="F205" s="1" t="s">
        <v>4302</v>
      </c>
      <c r="G205" s="1" t="s">
        <v>4294</v>
      </c>
      <c r="H205" s="1" t="s">
        <v>1040</v>
      </c>
      <c r="I205" s="1" t="s">
        <v>1041</v>
      </c>
      <c r="J205" s="1" t="s">
        <v>1042</v>
      </c>
      <c r="K205" s="1" t="s">
        <v>1043</v>
      </c>
      <c r="L205" s="1" t="s">
        <v>1044</v>
      </c>
      <c r="M205" s="1"/>
      <c r="N205" s="1"/>
      <c r="O205" s="1" t="s">
        <v>8</v>
      </c>
      <c r="P205" s="1" t="s">
        <v>1042</v>
      </c>
      <c r="Q205" s="1"/>
      <c r="R205" s="1"/>
      <c r="S205" s="1"/>
      <c r="T205" s="1"/>
      <c r="U205" s="1"/>
      <c r="V205" s="1"/>
      <c r="Y205" t="s">
        <v>8</v>
      </c>
      <c r="Z205" t="s">
        <v>4316</v>
      </c>
      <c r="AA205" t="s">
        <v>4317</v>
      </c>
      <c r="AB205" t="s">
        <v>4665</v>
      </c>
      <c r="AC205" t="s">
        <v>4366</v>
      </c>
      <c r="AD205" s="18">
        <v>46112</v>
      </c>
    </row>
    <row r="206" spans="1:30" ht="105" hidden="1">
      <c r="A206" s="1" t="s">
        <v>965</v>
      </c>
      <c r="B206" s="1">
        <v>1205</v>
      </c>
      <c r="C206" s="1">
        <v>4</v>
      </c>
      <c r="D206" s="1">
        <v>35</v>
      </c>
      <c r="E206" s="1" t="s">
        <v>4297</v>
      </c>
      <c r="F206" s="1" t="s">
        <v>4298</v>
      </c>
      <c r="G206" s="1" t="s">
        <v>40</v>
      </c>
      <c r="H206" s="1" t="s">
        <v>1045</v>
      </c>
      <c r="I206" s="1" t="s">
        <v>1046</v>
      </c>
      <c r="J206" s="1" t="s">
        <v>1047</v>
      </c>
      <c r="K206" s="1" t="s">
        <v>1048</v>
      </c>
      <c r="L206" s="1" t="s">
        <v>1049</v>
      </c>
      <c r="M206" s="1" t="s">
        <v>1050</v>
      </c>
      <c r="N206" s="1"/>
      <c r="O206" s="1" t="s">
        <v>10</v>
      </c>
      <c r="P206" s="1" t="s">
        <v>1098</v>
      </c>
      <c r="Q206" s="1"/>
      <c r="R206" s="1"/>
      <c r="S206" s="1"/>
      <c r="T206" s="1">
        <v>1</v>
      </c>
      <c r="U206" s="1"/>
      <c r="V206" s="1"/>
      <c r="Y206" t="s">
        <v>10</v>
      </c>
      <c r="Z206" t="s">
        <v>4316</v>
      </c>
      <c r="AA206" t="s">
        <v>4317</v>
      </c>
      <c r="AB206" t="s">
        <v>4666</v>
      </c>
      <c r="AC206" t="s">
        <v>4327</v>
      </c>
      <c r="AD206" s="18">
        <v>46112</v>
      </c>
    </row>
    <row r="207" spans="1:30" ht="135" hidden="1">
      <c r="A207" s="1" t="s">
        <v>965</v>
      </c>
      <c r="B207" s="1">
        <v>1206</v>
      </c>
      <c r="C207" s="1">
        <v>4</v>
      </c>
      <c r="D207" s="1">
        <v>36</v>
      </c>
      <c r="E207" s="1" t="s">
        <v>4297</v>
      </c>
      <c r="F207" s="1" t="s">
        <v>4299</v>
      </c>
      <c r="G207" s="1" t="s">
        <v>4294</v>
      </c>
      <c r="H207" s="1" t="s">
        <v>560</v>
      </c>
      <c r="I207" s="1" t="s">
        <v>554</v>
      </c>
      <c r="J207" s="1" t="s">
        <v>564</v>
      </c>
      <c r="K207" s="1" t="s">
        <v>561</v>
      </c>
      <c r="L207" s="1" t="s">
        <v>563</v>
      </c>
      <c r="M207" s="1"/>
      <c r="N207" s="1"/>
      <c r="O207" s="1" t="s">
        <v>9</v>
      </c>
      <c r="P207" s="1" t="s">
        <v>1099</v>
      </c>
      <c r="Q207" s="1"/>
      <c r="R207" s="1"/>
      <c r="S207" s="1"/>
      <c r="T207" s="1"/>
      <c r="U207" s="1"/>
      <c r="V207" s="1"/>
      <c r="Z207" t="s">
        <v>4386</v>
      </c>
      <c r="AB207" t="s">
        <v>4667</v>
      </c>
      <c r="AC207" t="s">
        <v>4336</v>
      </c>
      <c r="AD207" s="18">
        <v>46112</v>
      </c>
    </row>
    <row r="208" spans="1:30" ht="285" hidden="1">
      <c r="A208" s="1" t="s">
        <v>965</v>
      </c>
      <c r="B208" s="1">
        <v>1207</v>
      </c>
      <c r="C208" s="1">
        <v>4</v>
      </c>
      <c r="D208" s="1">
        <v>37</v>
      </c>
      <c r="E208" s="1" t="s">
        <v>4297</v>
      </c>
      <c r="F208" s="1" t="s">
        <v>4298</v>
      </c>
      <c r="G208" s="1" t="s">
        <v>4294</v>
      </c>
      <c r="H208" s="1" t="s">
        <v>239</v>
      </c>
      <c r="I208" s="1" t="s">
        <v>1051</v>
      </c>
      <c r="J208" s="1" t="s">
        <v>1052</v>
      </c>
      <c r="K208" s="1" t="s">
        <v>1051</v>
      </c>
      <c r="L208" s="1" t="s">
        <v>1053</v>
      </c>
      <c r="M208" s="1" t="s">
        <v>1051</v>
      </c>
      <c r="N208" s="1"/>
      <c r="O208" s="1" t="s">
        <v>8</v>
      </c>
      <c r="P208" s="1" t="s">
        <v>245</v>
      </c>
      <c r="Q208" s="1"/>
      <c r="R208" s="1"/>
      <c r="S208" s="1"/>
      <c r="T208" s="1"/>
      <c r="U208" s="1"/>
      <c r="V208" s="1"/>
      <c r="Z208" t="s">
        <v>4386</v>
      </c>
      <c r="AB208" t="s">
        <v>4668</v>
      </c>
      <c r="AC208" t="s">
        <v>4327</v>
      </c>
      <c r="AD208" s="18">
        <v>46112</v>
      </c>
    </row>
    <row r="209" spans="1:30" ht="225" hidden="1">
      <c r="A209" s="1" t="s">
        <v>965</v>
      </c>
      <c r="B209" s="1">
        <v>1208</v>
      </c>
      <c r="C209" s="1">
        <v>4</v>
      </c>
      <c r="D209" s="1">
        <v>38</v>
      </c>
      <c r="E209" s="1" t="s">
        <v>4290</v>
      </c>
      <c r="F209" s="1" t="s">
        <v>4291</v>
      </c>
      <c r="G209" s="1" t="s">
        <v>20</v>
      </c>
      <c r="H209" s="1" t="s">
        <v>1054</v>
      </c>
      <c r="I209" s="1" t="s">
        <v>1055</v>
      </c>
      <c r="J209" s="1" t="s">
        <v>1056</v>
      </c>
      <c r="K209" s="1" t="s">
        <v>1057</v>
      </c>
      <c r="L209" s="1" t="s">
        <v>1058</v>
      </c>
      <c r="M209" s="1" t="s">
        <v>1059</v>
      </c>
      <c r="N209" s="1"/>
      <c r="O209" s="1" t="s">
        <v>7</v>
      </c>
      <c r="P209" s="1" t="s">
        <v>1100</v>
      </c>
      <c r="Q209" s="1"/>
      <c r="R209" s="1"/>
      <c r="S209" s="1"/>
      <c r="T209" s="1">
        <v>1</v>
      </c>
      <c r="U209" s="1"/>
      <c r="V209" s="1"/>
      <c r="Y209" t="s">
        <v>7</v>
      </c>
      <c r="Z209" t="s">
        <v>4316</v>
      </c>
      <c r="AA209" t="s">
        <v>4317</v>
      </c>
      <c r="AB209" t="s">
        <v>4669</v>
      </c>
      <c r="AC209" t="s">
        <v>4502</v>
      </c>
      <c r="AD209" s="18">
        <v>46112</v>
      </c>
    </row>
    <row r="210" spans="1:30" ht="90" hidden="1">
      <c r="A210" s="1" t="s">
        <v>965</v>
      </c>
      <c r="B210" s="1">
        <v>1209</v>
      </c>
      <c r="C210" s="1">
        <v>4</v>
      </c>
      <c r="D210" s="1">
        <v>39</v>
      </c>
      <c r="E210" s="1" t="s">
        <v>4295</v>
      </c>
      <c r="F210" s="1" t="s">
        <v>4296</v>
      </c>
      <c r="G210" s="1" t="s">
        <v>20</v>
      </c>
      <c r="H210" s="1" t="s">
        <v>1060</v>
      </c>
      <c r="I210" s="1" t="s">
        <v>247</v>
      </c>
      <c r="J210" s="1" t="s">
        <v>248</v>
      </c>
      <c r="K210" s="1" t="s">
        <v>1061</v>
      </c>
      <c r="L210" s="1" t="s">
        <v>250</v>
      </c>
      <c r="M210" s="1"/>
      <c r="N210" s="1"/>
      <c r="O210" s="1" t="s">
        <v>10</v>
      </c>
      <c r="P210" s="1" t="s">
        <v>1101</v>
      </c>
      <c r="Q210" s="1"/>
      <c r="R210" s="1"/>
      <c r="S210" s="1"/>
      <c r="T210" s="1">
        <v>1</v>
      </c>
      <c r="U210" s="1"/>
      <c r="V210" s="1"/>
      <c r="Y210" t="s">
        <v>10</v>
      </c>
      <c r="Z210" t="s">
        <v>4316</v>
      </c>
      <c r="AA210" t="s">
        <v>4317</v>
      </c>
      <c r="AB210" t="s">
        <v>4670</v>
      </c>
      <c r="AD210" s="18">
        <v>46112</v>
      </c>
    </row>
    <row r="211" spans="1:30" ht="240" hidden="1">
      <c r="A211" s="1" t="s">
        <v>965</v>
      </c>
      <c r="B211" s="1">
        <v>1210</v>
      </c>
      <c r="C211" s="1">
        <v>4</v>
      </c>
      <c r="D211" s="1">
        <v>40</v>
      </c>
      <c r="E211" s="1" t="s">
        <v>4297</v>
      </c>
      <c r="F211" s="1" t="s">
        <v>4298</v>
      </c>
      <c r="G211" s="1" t="s">
        <v>40</v>
      </c>
      <c r="H211" s="1" t="s">
        <v>381</v>
      </c>
      <c r="I211" s="1" t="s">
        <v>91</v>
      </c>
      <c r="J211" s="1" t="s">
        <v>89</v>
      </c>
      <c r="K211" s="1" t="s">
        <v>217</v>
      </c>
      <c r="L211" s="1" t="s">
        <v>216</v>
      </c>
      <c r="M211" s="1" t="s">
        <v>90</v>
      </c>
      <c r="N211" s="1"/>
      <c r="O211" s="1" t="s">
        <v>8</v>
      </c>
      <c r="P211" s="1" t="s">
        <v>382</v>
      </c>
      <c r="Q211" s="1"/>
      <c r="R211" s="1"/>
      <c r="S211" s="1"/>
      <c r="T211" s="1"/>
      <c r="U211" s="1"/>
      <c r="V211" s="1"/>
      <c r="Y211" t="s">
        <v>8</v>
      </c>
      <c r="Z211" t="s">
        <v>4316</v>
      </c>
      <c r="AA211" t="s">
        <v>4317</v>
      </c>
      <c r="AB211" t="s">
        <v>4671</v>
      </c>
      <c r="AC211" t="s">
        <v>4327</v>
      </c>
      <c r="AD211" s="18">
        <v>46112</v>
      </c>
    </row>
    <row r="212" spans="1:30" ht="180" hidden="1">
      <c r="A212" s="1" t="s">
        <v>965</v>
      </c>
      <c r="B212" s="1">
        <v>1211</v>
      </c>
      <c r="C212" s="1">
        <v>4</v>
      </c>
      <c r="D212" s="1">
        <v>41</v>
      </c>
      <c r="E212" s="1" t="s">
        <v>4295</v>
      </c>
      <c r="F212" s="1" t="s">
        <v>4296</v>
      </c>
      <c r="G212" s="1" t="s">
        <v>40</v>
      </c>
      <c r="H212" s="1" t="s">
        <v>299</v>
      </c>
      <c r="I212" s="1" t="s">
        <v>302</v>
      </c>
      <c r="J212" s="1" t="s">
        <v>303</v>
      </c>
      <c r="K212" s="1" t="s">
        <v>304</v>
      </c>
      <c r="L212" s="1" t="s">
        <v>301</v>
      </c>
      <c r="M212" s="1" t="s">
        <v>300</v>
      </c>
      <c r="N212" s="1"/>
      <c r="O212" s="1" t="s">
        <v>10</v>
      </c>
      <c r="P212" s="1" t="s">
        <v>305</v>
      </c>
      <c r="Q212" s="1"/>
      <c r="R212" s="1"/>
      <c r="S212" s="1"/>
      <c r="T212" s="1"/>
      <c r="U212" s="1">
        <v>1</v>
      </c>
      <c r="V212" s="1"/>
      <c r="Y212" t="s">
        <v>10</v>
      </c>
      <c r="Z212" t="s">
        <v>4316</v>
      </c>
      <c r="AA212" t="s">
        <v>4317</v>
      </c>
      <c r="AB212" t="s">
        <v>4672</v>
      </c>
      <c r="AC212" t="s">
        <v>4673</v>
      </c>
      <c r="AD212" s="18">
        <v>46112</v>
      </c>
    </row>
    <row r="213" spans="1:30" ht="240" hidden="1">
      <c r="A213" s="1" t="s">
        <v>965</v>
      </c>
      <c r="B213" s="1">
        <v>1212</v>
      </c>
      <c r="C213" s="1">
        <v>4</v>
      </c>
      <c r="D213" s="1">
        <v>42</v>
      </c>
      <c r="E213" s="1" t="s">
        <v>4292</v>
      </c>
      <c r="F213" s="1" t="s">
        <v>4293</v>
      </c>
      <c r="G213" s="1" t="s">
        <v>4294</v>
      </c>
      <c r="H213" s="1" t="s">
        <v>606</v>
      </c>
      <c r="I213" s="1" t="s">
        <v>611</v>
      </c>
      <c r="J213" s="1" t="s">
        <v>610</v>
      </c>
      <c r="K213" s="1" t="s">
        <v>608</v>
      </c>
      <c r="L213" s="1" t="s">
        <v>609</v>
      </c>
      <c r="M213" s="1" t="s">
        <v>607</v>
      </c>
      <c r="N213" s="1"/>
      <c r="O213" s="1" t="s">
        <v>10</v>
      </c>
      <c r="P213" s="1" t="s">
        <v>612</v>
      </c>
      <c r="Q213" s="1"/>
      <c r="R213" s="1"/>
      <c r="S213" s="1"/>
      <c r="T213" s="1"/>
      <c r="U213" s="1"/>
      <c r="V213" s="1"/>
      <c r="Y213" t="s">
        <v>10</v>
      </c>
      <c r="Z213" t="s">
        <v>4316</v>
      </c>
      <c r="AA213" t="s">
        <v>4317</v>
      </c>
      <c r="AB213" t="s">
        <v>4674</v>
      </c>
      <c r="AC213" t="s">
        <v>4382</v>
      </c>
      <c r="AD213" s="18">
        <v>46112</v>
      </c>
    </row>
    <row r="214" spans="1:30" ht="75" hidden="1">
      <c r="A214" s="1" t="s">
        <v>965</v>
      </c>
      <c r="B214" s="1">
        <v>1213</v>
      </c>
      <c r="C214" s="1">
        <v>4</v>
      </c>
      <c r="D214" s="1">
        <v>43</v>
      </c>
      <c r="E214" s="1" t="s">
        <v>4297</v>
      </c>
      <c r="F214" s="1" t="s">
        <v>4298</v>
      </c>
      <c r="G214" s="1" t="s">
        <v>20</v>
      </c>
      <c r="H214" s="1" t="s">
        <v>470</v>
      </c>
      <c r="I214" s="1" t="s">
        <v>1062</v>
      </c>
      <c r="J214" s="1" t="s">
        <v>1063</v>
      </c>
      <c r="K214" s="1" t="s">
        <v>1064</v>
      </c>
      <c r="L214" s="1" t="s">
        <v>475</v>
      </c>
      <c r="M214" s="1"/>
      <c r="N214" s="1"/>
      <c r="O214" s="1" t="s">
        <v>10</v>
      </c>
      <c r="P214" s="1" t="s">
        <v>475</v>
      </c>
      <c r="Q214" s="1"/>
      <c r="R214" s="1"/>
      <c r="S214" s="1"/>
      <c r="T214" s="1"/>
      <c r="U214" s="1">
        <v>1</v>
      </c>
      <c r="V214" s="1"/>
      <c r="Y214" t="s">
        <v>10</v>
      </c>
      <c r="Z214" t="s">
        <v>4316</v>
      </c>
      <c r="AA214" t="s">
        <v>4317</v>
      </c>
      <c r="AB214" t="s">
        <v>4675</v>
      </c>
      <c r="AC214" t="s">
        <v>4327</v>
      </c>
      <c r="AD214" s="18">
        <v>46112</v>
      </c>
    </row>
    <row r="215" spans="1:30" ht="240" hidden="1">
      <c r="A215" s="1" t="s">
        <v>965</v>
      </c>
      <c r="B215" s="1">
        <v>1214</v>
      </c>
      <c r="C215" s="1">
        <v>4</v>
      </c>
      <c r="D215" s="1">
        <v>44</v>
      </c>
      <c r="E215" s="1" t="s">
        <v>4297</v>
      </c>
      <c r="F215" s="1" t="s">
        <v>4298</v>
      </c>
      <c r="G215" s="1" t="s">
        <v>20</v>
      </c>
      <c r="H215" s="1" t="s">
        <v>433</v>
      </c>
      <c r="I215" s="1" t="s">
        <v>438</v>
      </c>
      <c r="J215" s="1" t="s">
        <v>435</v>
      </c>
      <c r="K215" s="1" t="s">
        <v>434</v>
      </c>
      <c r="L215" s="1" t="s">
        <v>436</v>
      </c>
      <c r="M215" s="1" t="s">
        <v>437</v>
      </c>
      <c r="N215" s="1"/>
      <c r="O215" s="1" t="s">
        <v>9</v>
      </c>
      <c r="P215" s="1" t="s">
        <v>439</v>
      </c>
      <c r="Q215" s="1"/>
      <c r="R215" s="1"/>
      <c r="S215" s="1"/>
      <c r="T215" s="1"/>
      <c r="U215" s="1"/>
      <c r="V215" s="1"/>
      <c r="Y215" t="s">
        <v>9</v>
      </c>
      <c r="Z215" t="s">
        <v>4316</v>
      </c>
      <c r="AA215" t="s">
        <v>4317</v>
      </c>
      <c r="AB215" t="s">
        <v>4676</v>
      </c>
      <c r="AD215" s="18">
        <v>46112</v>
      </c>
    </row>
    <row r="216" spans="1:30" ht="60" hidden="1">
      <c r="A216" s="1" t="s">
        <v>965</v>
      </c>
      <c r="B216" s="1">
        <v>1215</v>
      </c>
      <c r="C216" s="1">
        <v>4</v>
      </c>
      <c r="D216" s="1">
        <v>45</v>
      </c>
      <c r="E216" s="1" t="s">
        <v>4292</v>
      </c>
      <c r="F216" s="1" t="s">
        <v>4303</v>
      </c>
      <c r="G216" s="1" t="s">
        <v>20</v>
      </c>
      <c r="H216" s="1" t="s">
        <v>800</v>
      </c>
      <c r="I216" s="1" t="s">
        <v>803</v>
      </c>
      <c r="J216" s="1" t="s">
        <v>802</v>
      </c>
      <c r="K216" s="1" t="s">
        <v>801</v>
      </c>
      <c r="L216" s="1" t="s">
        <v>804</v>
      </c>
      <c r="M216" s="1"/>
      <c r="N216" s="1"/>
      <c r="O216" s="1" t="s">
        <v>7</v>
      </c>
      <c r="P216" s="1" t="s">
        <v>829</v>
      </c>
      <c r="Q216" s="1"/>
      <c r="R216" s="1"/>
      <c r="S216" s="1"/>
      <c r="T216" s="1"/>
      <c r="U216" s="1"/>
      <c r="V216" s="1"/>
      <c r="Y216" t="s">
        <v>7</v>
      </c>
      <c r="Z216" t="s">
        <v>4316</v>
      </c>
      <c r="AA216" t="s">
        <v>4317</v>
      </c>
      <c r="AB216" t="s">
        <v>4677</v>
      </c>
      <c r="AC216" t="s">
        <v>4399</v>
      </c>
      <c r="AD216" s="18">
        <v>46112</v>
      </c>
    </row>
    <row r="217" spans="1:30" ht="180" hidden="1">
      <c r="A217" s="1" t="s">
        <v>965</v>
      </c>
      <c r="B217" s="1">
        <v>1216</v>
      </c>
      <c r="C217" s="1">
        <v>4</v>
      </c>
      <c r="D217" s="1">
        <v>46</v>
      </c>
      <c r="E217" s="1" t="s">
        <v>4292</v>
      </c>
      <c r="F217" s="1" t="s">
        <v>4293</v>
      </c>
      <c r="G217" s="1" t="s">
        <v>20</v>
      </c>
      <c r="H217" s="1" t="s">
        <v>572</v>
      </c>
      <c r="I217" s="1" t="s">
        <v>573</v>
      </c>
      <c r="J217" s="1" t="s">
        <v>574</v>
      </c>
      <c r="K217" s="1" t="s">
        <v>1065</v>
      </c>
      <c r="L217" s="1" t="s">
        <v>1066</v>
      </c>
      <c r="M217" s="1" t="s">
        <v>576</v>
      </c>
      <c r="N217" s="1"/>
      <c r="O217" s="1" t="s">
        <v>10</v>
      </c>
      <c r="P217" s="1" t="s">
        <v>578</v>
      </c>
      <c r="Q217" s="1"/>
      <c r="R217" s="1"/>
      <c r="S217" s="1"/>
      <c r="T217" s="1"/>
      <c r="U217" s="1">
        <v>1</v>
      </c>
      <c r="V217" s="1"/>
      <c r="Y217" t="s">
        <v>10</v>
      </c>
      <c r="Z217" t="s">
        <v>4316</v>
      </c>
      <c r="AA217" t="s">
        <v>4317</v>
      </c>
      <c r="AB217" t="s">
        <v>4678</v>
      </c>
      <c r="AC217" t="s">
        <v>4366</v>
      </c>
      <c r="AD217" s="18">
        <v>46112</v>
      </c>
    </row>
    <row r="218" spans="1:30" ht="90">
      <c r="A218" s="1" t="s">
        <v>965</v>
      </c>
      <c r="B218" s="1">
        <v>1217</v>
      </c>
      <c r="C218" s="1">
        <v>4</v>
      </c>
      <c r="D218" s="1">
        <v>47</v>
      </c>
      <c r="E218" s="1" t="s">
        <v>4292</v>
      </c>
      <c r="F218" s="1" t="s">
        <v>4303</v>
      </c>
      <c r="G218" s="1" t="s">
        <v>20</v>
      </c>
      <c r="H218" s="1" t="s">
        <v>789</v>
      </c>
      <c r="I218" s="1" t="s">
        <v>793</v>
      </c>
      <c r="J218" s="1" t="s">
        <v>790</v>
      </c>
      <c r="K218" s="1" t="s">
        <v>791</v>
      </c>
      <c r="L218" s="1" t="s">
        <v>792</v>
      </c>
      <c r="M218" s="1"/>
      <c r="N218" s="1"/>
      <c r="O218" s="1" t="s">
        <v>9</v>
      </c>
      <c r="P218" s="1" t="s">
        <v>827</v>
      </c>
      <c r="Q218" s="1"/>
      <c r="R218" s="1"/>
      <c r="S218" s="1"/>
      <c r="T218" s="1"/>
      <c r="U218" s="1"/>
      <c r="V218" s="1"/>
      <c r="Y218" t="s">
        <v>7</v>
      </c>
      <c r="Z218" t="s">
        <v>4331</v>
      </c>
      <c r="AA218" t="s">
        <v>4332</v>
      </c>
      <c r="AB218" t="s">
        <v>4679</v>
      </c>
      <c r="AC218" t="s">
        <v>4338</v>
      </c>
      <c r="AD218" s="18">
        <v>46112</v>
      </c>
    </row>
    <row r="219" spans="1:30" ht="375" hidden="1">
      <c r="A219" s="1" t="s">
        <v>965</v>
      </c>
      <c r="B219" s="1">
        <v>1218</v>
      </c>
      <c r="C219" s="1">
        <v>4</v>
      </c>
      <c r="D219" s="1">
        <v>48</v>
      </c>
      <c r="E219" s="1" t="s">
        <v>4295</v>
      </c>
      <c r="F219" s="1" t="s">
        <v>4296</v>
      </c>
      <c r="G219" s="1" t="s">
        <v>40</v>
      </c>
      <c r="H219" s="1" t="s">
        <v>1067</v>
      </c>
      <c r="I219" s="1" t="s">
        <v>338</v>
      </c>
      <c r="J219" s="1" t="s">
        <v>337</v>
      </c>
      <c r="K219" s="1" t="s">
        <v>335</v>
      </c>
      <c r="L219" s="1" t="s">
        <v>339</v>
      </c>
      <c r="M219" s="1" t="s">
        <v>336</v>
      </c>
      <c r="N219" s="1"/>
      <c r="O219" s="1" t="s">
        <v>11</v>
      </c>
      <c r="P219" s="1" t="s">
        <v>340</v>
      </c>
      <c r="Q219" s="1"/>
      <c r="R219" s="1"/>
      <c r="S219" s="1"/>
      <c r="T219" s="1"/>
      <c r="U219" s="1">
        <v>1</v>
      </c>
      <c r="V219" s="1"/>
      <c r="Y219" t="s">
        <v>11</v>
      </c>
      <c r="Z219" t="s">
        <v>4316</v>
      </c>
      <c r="AA219" t="s">
        <v>4317</v>
      </c>
      <c r="AB219" t="s">
        <v>4680</v>
      </c>
      <c r="AC219" t="s">
        <v>4465</v>
      </c>
      <c r="AD219" s="18">
        <v>46112</v>
      </c>
    </row>
    <row r="220" spans="1:30" ht="75" hidden="1">
      <c r="A220" s="1" t="s">
        <v>965</v>
      </c>
      <c r="B220" s="1">
        <v>1219</v>
      </c>
      <c r="C220" s="1">
        <v>4</v>
      </c>
      <c r="D220" s="1">
        <v>49</v>
      </c>
      <c r="E220" s="1" t="s">
        <v>4305</v>
      </c>
      <c r="F220" s="1" t="s">
        <v>4307</v>
      </c>
      <c r="G220" s="1" t="s">
        <v>4294</v>
      </c>
      <c r="H220" s="1" t="s">
        <v>811</v>
      </c>
      <c r="I220" s="1" t="s">
        <v>814</v>
      </c>
      <c r="J220" s="1" t="s">
        <v>815</v>
      </c>
      <c r="K220" s="1" t="s">
        <v>812</v>
      </c>
      <c r="L220" s="1" t="s">
        <v>813</v>
      </c>
      <c r="M220" s="1"/>
      <c r="N220" s="1"/>
      <c r="O220" s="1" t="s">
        <v>10</v>
      </c>
      <c r="P220" s="1" t="s">
        <v>1102</v>
      </c>
      <c r="Q220" s="1"/>
      <c r="R220" s="1"/>
      <c r="S220" s="1"/>
      <c r="T220" s="1"/>
      <c r="U220" s="1"/>
      <c r="V220" s="1"/>
      <c r="Y220" t="s">
        <v>10</v>
      </c>
      <c r="Z220" t="s">
        <v>4316</v>
      </c>
      <c r="AA220" t="s">
        <v>4317</v>
      </c>
      <c r="AB220" t="s">
        <v>4681</v>
      </c>
      <c r="AC220" t="s">
        <v>4544</v>
      </c>
      <c r="AD220" s="18">
        <v>46112</v>
      </c>
    </row>
    <row r="221" spans="1:30" ht="90" hidden="1">
      <c r="A221" s="1" t="s">
        <v>965</v>
      </c>
      <c r="B221" s="1">
        <v>1220</v>
      </c>
      <c r="C221" s="1">
        <v>4</v>
      </c>
      <c r="D221" s="1">
        <v>50</v>
      </c>
      <c r="E221" s="1" t="s">
        <v>4295</v>
      </c>
      <c r="F221" s="1" t="s">
        <v>4296</v>
      </c>
      <c r="G221" s="1" t="s">
        <v>4294</v>
      </c>
      <c r="H221" s="1" t="s">
        <v>279</v>
      </c>
      <c r="I221" s="1" t="s">
        <v>281</v>
      </c>
      <c r="J221" s="1" t="s">
        <v>282</v>
      </c>
      <c r="K221" s="1" t="s">
        <v>283</v>
      </c>
      <c r="L221" s="1" t="s">
        <v>1068</v>
      </c>
      <c r="M221" s="1"/>
      <c r="N221" s="1"/>
      <c r="O221" s="1" t="s">
        <v>7</v>
      </c>
      <c r="P221" s="1" t="s">
        <v>284</v>
      </c>
      <c r="Q221" s="1"/>
      <c r="R221" s="1"/>
      <c r="S221" s="1"/>
      <c r="T221" s="1"/>
      <c r="U221" s="1"/>
      <c r="V221" s="1"/>
      <c r="Y221" t="s">
        <v>7</v>
      </c>
      <c r="Z221" t="s">
        <v>4316</v>
      </c>
      <c r="AA221" t="s">
        <v>4317</v>
      </c>
      <c r="AB221" t="s">
        <v>4682</v>
      </c>
      <c r="AC221" t="s">
        <v>4441</v>
      </c>
      <c r="AD221" s="18">
        <v>46112</v>
      </c>
    </row>
    <row r="222" spans="1:30" ht="135" hidden="1">
      <c r="A222" s="1" t="s">
        <v>965</v>
      </c>
      <c r="B222" s="1">
        <v>1221</v>
      </c>
      <c r="C222" s="1">
        <v>4</v>
      </c>
      <c r="D222" s="1">
        <v>51</v>
      </c>
      <c r="E222" s="1" t="s">
        <v>4290</v>
      </c>
      <c r="F222" s="1" t="s">
        <v>4302</v>
      </c>
      <c r="G222" s="1" t="s">
        <v>20</v>
      </c>
      <c r="H222" s="1" t="s">
        <v>1069</v>
      </c>
      <c r="I222" s="1" t="s">
        <v>1070</v>
      </c>
      <c r="J222" s="1" t="s">
        <v>1071</v>
      </c>
      <c r="K222" s="1" t="s">
        <v>1072</v>
      </c>
      <c r="L222" s="1" t="s">
        <v>1073</v>
      </c>
      <c r="M222" s="1"/>
      <c r="N222" s="1"/>
      <c r="O222" s="1" t="s">
        <v>7</v>
      </c>
      <c r="P222" s="1" t="s">
        <v>1103</v>
      </c>
      <c r="Q222" s="1"/>
      <c r="R222" s="1"/>
      <c r="S222" s="1"/>
      <c r="T222" s="1">
        <v>1</v>
      </c>
      <c r="U222" s="1"/>
      <c r="V222" s="1"/>
      <c r="Y222" t="s">
        <v>7</v>
      </c>
      <c r="Z222" t="s">
        <v>4316</v>
      </c>
      <c r="AA222" t="s">
        <v>4317</v>
      </c>
      <c r="AB222" t="s">
        <v>4683</v>
      </c>
      <c r="AC222" t="s">
        <v>4366</v>
      </c>
      <c r="AD222" s="18">
        <v>46112</v>
      </c>
    </row>
    <row r="223" spans="1:30" ht="75" hidden="1">
      <c r="A223" s="1" t="s">
        <v>965</v>
      </c>
      <c r="B223" s="1">
        <v>1222</v>
      </c>
      <c r="C223" s="1">
        <v>4</v>
      </c>
      <c r="D223" s="1">
        <v>52</v>
      </c>
      <c r="E223" s="1" t="s">
        <v>4295</v>
      </c>
      <c r="F223" s="1" t="s">
        <v>4296</v>
      </c>
      <c r="G223" s="1" t="s">
        <v>20</v>
      </c>
      <c r="H223" s="1" t="s">
        <v>1074</v>
      </c>
      <c r="I223" s="1" t="s">
        <v>1075</v>
      </c>
      <c r="J223" s="1" t="s">
        <v>1076</v>
      </c>
      <c r="K223" s="1" t="s">
        <v>1077</v>
      </c>
      <c r="L223" s="1" t="s">
        <v>1078</v>
      </c>
      <c r="M223" s="1"/>
      <c r="N223" s="1"/>
      <c r="O223" s="1" t="s">
        <v>8</v>
      </c>
      <c r="P223" s="1" t="s">
        <v>1104</v>
      </c>
      <c r="Q223" s="1"/>
      <c r="R223" s="1"/>
      <c r="S223" s="1"/>
      <c r="T223" s="1"/>
      <c r="U223" s="1"/>
      <c r="V223" s="1"/>
      <c r="Y223" t="s">
        <v>8</v>
      </c>
      <c r="Z223" t="s">
        <v>4316</v>
      </c>
      <c r="AA223" t="s">
        <v>4317</v>
      </c>
      <c r="AB223" t="s">
        <v>4684</v>
      </c>
      <c r="AC223" t="s">
        <v>4441</v>
      </c>
      <c r="AD223" s="18">
        <v>46112</v>
      </c>
    </row>
    <row r="224" spans="1:30" ht="105">
      <c r="A224" s="1" t="s">
        <v>965</v>
      </c>
      <c r="B224" s="1">
        <v>1223</v>
      </c>
      <c r="C224" s="1">
        <v>4</v>
      </c>
      <c r="D224" s="1">
        <v>53</v>
      </c>
      <c r="E224" s="1" t="s">
        <v>4295</v>
      </c>
      <c r="F224" s="1" t="s">
        <v>4296</v>
      </c>
      <c r="G224" s="1" t="s">
        <v>4294</v>
      </c>
      <c r="H224" s="1" t="s">
        <v>1079</v>
      </c>
      <c r="I224" s="1" t="s">
        <v>1080</v>
      </c>
      <c r="J224" s="1" t="s">
        <v>1081</v>
      </c>
      <c r="K224" s="1" t="s">
        <v>1082</v>
      </c>
      <c r="L224" s="1" t="s">
        <v>1083</v>
      </c>
      <c r="M224" s="1" t="s">
        <v>1084</v>
      </c>
      <c r="N224" s="1"/>
      <c r="O224" s="1" t="s">
        <v>8</v>
      </c>
      <c r="P224" s="1" t="s">
        <v>1105</v>
      </c>
      <c r="Q224" s="1"/>
      <c r="R224" s="1"/>
      <c r="S224" s="1"/>
      <c r="T224" s="1"/>
      <c r="U224" s="1"/>
      <c r="V224" s="1"/>
      <c r="Y224" t="s">
        <v>9</v>
      </c>
      <c r="Z224" t="s">
        <v>4331</v>
      </c>
      <c r="AA224" t="s">
        <v>4332</v>
      </c>
      <c r="AB224" t="s">
        <v>4685</v>
      </c>
      <c r="AC224" t="s">
        <v>4369</v>
      </c>
      <c r="AD224" s="18">
        <v>46112</v>
      </c>
    </row>
    <row r="225" spans="1:30" ht="90">
      <c r="A225" s="1" t="s">
        <v>965</v>
      </c>
      <c r="B225" s="1">
        <v>1224</v>
      </c>
      <c r="C225" s="1">
        <v>4</v>
      </c>
      <c r="D225" s="1">
        <v>54</v>
      </c>
      <c r="E225" s="1" t="s">
        <v>4305</v>
      </c>
      <c r="F225" s="1" t="s">
        <v>4307</v>
      </c>
      <c r="G225" s="1" t="s">
        <v>20</v>
      </c>
      <c r="H225" s="1" t="s">
        <v>619</v>
      </c>
      <c r="I225" s="1" t="s">
        <v>621</v>
      </c>
      <c r="J225" s="1" t="s">
        <v>620</v>
      </c>
      <c r="K225" s="1" t="s">
        <v>622</v>
      </c>
      <c r="L225" s="1" t="s">
        <v>623</v>
      </c>
      <c r="M225" s="1"/>
      <c r="N225" s="1"/>
      <c r="O225" s="1" t="s">
        <v>9</v>
      </c>
      <c r="P225" s="1" t="s">
        <v>624</v>
      </c>
      <c r="Q225" s="1"/>
      <c r="R225" s="1"/>
      <c r="S225" s="1"/>
      <c r="T225" s="1"/>
      <c r="U225" s="1"/>
      <c r="V225" s="1"/>
      <c r="Y225" t="s">
        <v>10</v>
      </c>
      <c r="Z225" t="s">
        <v>4331</v>
      </c>
      <c r="AA225" t="s">
        <v>4332</v>
      </c>
      <c r="AB225" t="s">
        <v>4686</v>
      </c>
      <c r="AC225" t="s">
        <v>4478</v>
      </c>
      <c r="AD225" s="18">
        <v>46112</v>
      </c>
    </row>
    <row r="226" spans="1:30" ht="210" hidden="1">
      <c r="A226" s="1" t="s">
        <v>965</v>
      </c>
      <c r="B226" s="1">
        <v>1225</v>
      </c>
      <c r="C226" s="1">
        <v>4</v>
      </c>
      <c r="D226" s="1">
        <v>55</v>
      </c>
      <c r="E226" s="1" t="s">
        <v>4297</v>
      </c>
      <c r="F226" s="1" t="s">
        <v>4298</v>
      </c>
      <c r="G226" s="1" t="s">
        <v>40</v>
      </c>
      <c r="H226" s="1" t="s">
        <v>511</v>
      </c>
      <c r="I226" s="1" t="s">
        <v>515</v>
      </c>
      <c r="J226" s="1" t="s">
        <v>516</v>
      </c>
      <c r="K226" s="1" t="s">
        <v>514</v>
      </c>
      <c r="L226" s="1" t="s">
        <v>513</v>
      </c>
      <c r="M226" s="1" t="s">
        <v>512</v>
      </c>
      <c r="N226" s="1"/>
      <c r="O226" s="1" t="s">
        <v>8</v>
      </c>
      <c r="P226" s="1" t="s">
        <v>517</v>
      </c>
      <c r="Q226" s="1"/>
      <c r="R226" s="1"/>
      <c r="S226" s="1"/>
      <c r="T226" s="1"/>
      <c r="U226" s="1"/>
      <c r="V226" s="1"/>
      <c r="Y226" t="s">
        <v>8</v>
      </c>
      <c r="Z226" t="s">
        <v>4316</v>
      </c>
      <c r="AA226" t="s">
        <v>4317</v>
      </c>
      <c r="AB226" t="s">
        <v>4687</v>
      </c>
      <c r="AC226" t="s">
        <v>4325</v>
      </c>
      <c r="AD226" s="18">
        <v>46112</v>
      </c>
    </row>
    <row r="227" spans="1:30" ht="165" hidden="1">
      <c r="A227" s="1" t="s">
        <v>965</v>
      </c>
      <c r="B227" s="1">
        <v>1226</v>
      </c>
      <c r="C227" s="1">
        <v>4</v>
      </c>
      <c r="D227" s="1">
        <v>56</v>
      </c>
      <c r="E227" s="1" t="s">
        <v>4292</v>
      </c>
      <c r="F227" s="1" t="s">
        <v>4304</v>
      </c>
      <c r="G227" s="1" t="s">
        <v>4294</v>
      </c>
      <c r="H227" s="1" t="s">
        <v>219</v>
      </c>
      <c r="I227" s="1" t="s">
        <v>224</v>
      </c>
      <c r="J227" s="1" t="s">
        <v>223</v>
      </c>
      <c r="K227" s="1" t="s">
        <v>222</v>
      </c>
      <c r="L227" s="1" t="s">
        <v>221</v>
      </c>
      <c r="M227" s="1" t="s">
        <v>220</v>
      </c>
      <c r="N227" s="1"/>
      <c r="O227" s="1" t="s">
        <v>10</v>
      </c>
      <c r="P227" s="1" t="s">
        <v>225</v>
      </c>
      <c r="Q227" s="1"/>
      <c r="R227" s="1"/>
      <c r="S227" s="1"/>
      <c r="T227" s="1"/>
      <c r="U227" s="1"/>
      <c r="V227" s="1"/>
      <c r="Y227" t="s">
        <v>10</v>
      </c>
      <c r="Z227" t="s">
        <v>4316</v>
      </c>
      <c r="AA227" t="s">
        <v>4317</v>
      </c>
      <c r="AB227" t="s">
        <v>4688</v>
      </c>
      <c r="AC227" t="s">
        <v>4321</v>
      </c>
      <c r="AD227" s="18">
        <v>46112</v>
      </c>
    </row>
    <row r="228" spans="1:30" ht="135" hidden="1">
      <c r="A228" s="1" t="s">
        <v>965</v>
      </c>
      <c r="B228" s="1">
        <v>1227</v>
      </c>
      <c r="C228" s="1">
        <v>4</v>
      </c>
      <c r="D228" s="1">
        <v>57</v>
      </c>
      <c r="E228" s="1" t="s">
        <v>4292</v>
      </c>
      <c r="F228" s="1" t="s">
        <v>4293</v>
      </c>
      <c r="G228" s="1" t="s">
        <v>20</v>
      </c>
      <c r="H228" s="1" t="s">
        <v>636</v>
      </c>
      <c r="I228" s="1" t="s">
        <v>640</v>
      </c>
      <c r="J228" s="1" t="s">
        <v>637</v>
      </c>
      <c r="K228" s="1" t="s">
        <v>638</v>
      </c>
      <c r="L228" s="1" t="s">
        <v>639</v>
      </c>
      <c r="M228" s="1"/>
      <c r="N228" s="1"/>
      <c r="O228" s="1" t="s">
        <v>10</v>
      </c>
      <c r="P228" s="1" t="s">
        <v>5470</v>
      </c>
      <c r="Q228" s="1"/>
      <c r="R228" s="1"/>
      <c r="S228" s="1"/>
      <c r="T228" s="1"/>
      <c r="U228" s="1"/>
      <c r="V228" s="1"/>
      <c r="Y228" t="s">
        <v>10</v>
      </c>
      <c r="Z228" t="s">
        <v>4316</v>
      </c>
      <c r="AA228" t="s">
        <v>4317</v>
      </c>
      <c r="AB228" t="s">
        <v>4689</v>
      </c>
      <c r="AC228" t="s">
        <v>4366</v>
      </c>
      <c r="AD228" s="18">
        <v>46112</v>
      </c>
    </row>
    <row r="229" spans="1:30" ht="90" hidden="1">
      <c r="A229" s="1" t="s">
        <v>965</v>
      </c>
      <c r="B229" s="1">
        <v>1228</v>
      </c>
      <c r="C229" s="1">
        <v>4</v>
      </c>
      <c r="D229" s="1">
        <v>58</v>
      </c>
      <c r="E229" s="1" t="s">
        <v>4295</v>
      </c>
      <c r="F229" s="1" t="s">
        <v>4296</v>
      </c>
      <c r="G229" s="1" t="s">
        <v>4294</v>
      </c>
      <c r="H229" s="1" t="s">
        <v>1085</v>
      </c>
      <c r="I229" s="1" t="s">
        <v>1086</v>
      </c>
      <c r="J229" s="1" t="s">
        <v>1087</v>
      </c>
      <c r="K229" s="1" t="s">
        <v>1088</v>
      </c>
      <c r="L229" s="1" t="s">
        <v>1089</v>
      </c>
      <c r="M229" s="1" t="s">
        <v>1090</v>
      </c>
      <c r="N229" s="1"/>
      <c r="O229" s="1" t="s">
        <v>9</v>
      </c>
      <c r="P229" s="1" t="s">
        <v>1106</v>
      </c>
      <c r="Q229" s="1"/>
      <c r="R229" s="1"/>
      <c r="S229" s="1"/>
      <c r="T229" s="1"/>
      <c r="U229" s="1"/>
      <c r="V229" s="1"/>
      <c r="Y229" t="s">
        <v>9</v>
      </c>
      <c r="Z229" t="s">
        <v>4316</v>
      </c>
      <c r="AA229" t="s">
        <v>4317</v>
      </c>
      <c r="AB229" t="s">
        <v>4690</v>
      </c>
      <c r="AC229" t="s">
        <v>4444</v>
      </c>
      <c r="AD229" s="18">
        <v>46112</v>
      </c>
    </row>
    <row r="230" spans="1:30" ht="409.5" hidden="1">
      <c r="A230" s="1" t="s">
        <v>965</v>
      </c>
      <c r="B230" s="1">
        <v>1229</v>
      </c>
      <c r="C230" s="1">
        <v>5</v>
      </c>
      <c r="D230" s="1">
        <v>1</v>
      </c>
      <c r="E230" s="1" t="s">
        <v>4292</v>
      </c>
      <c r="F230" s="1" t="s">
        <v>4303</v>
      </c>
      <c r="G230" s="1" t="s">
        <v>20</v>
      </c>
      <c r="H230" s="1" t="s">
        <v>1107</v>
      </c>
      <c r="I230" s="1" t="s">
        <v>1108</v>
      </c>
      <c r="J230" s="1" t="s">
        <v>1109</v>
      </c>
      <c r="K230" s="1" t="s">
        <v>1110</v>
      </c>
      <c r="L230" s="1" t="s">
        <v>1111</v>
      </c>
      <c r="M230" s="1" t="s">
        <v>1112</v>
      </c>
      <c r="N230" s="1"/>
      <c r="O230" s="1" t="s">
        <v>11</v>
      </c>
      <c r="P230" s="1" t="s">
        <v>1113</v>
      </c>
      <c r="Q230" s="1"/>
      <c r="R230" s="1"/>
      <c r="S230" s="1"/>
      <c r="T230" s="1">
        <v>1</v>
      </c>
      <c r="U230" s="1">
        <v>1</v>
      </c>
      <c r="V230" s="1"/>
      <c r="W230" s="1">
        <v>1</v>
      </c>
      <c r="Y230" t="s">
        <v>11</v>
      </c>
      <c r="Z230" t="s">
        <v>4316</v>
      </c>
      <c r="AA230" t="s">
        <v>4317</v>
      </c>
      <c r="AB230" t="s">
        <v>4691</v>
      </c>
      <c r="AC230" t="s">
        <v>4338</v>
      </c>
      <c r="AD230" s="18">
        <v>46112</v>
      </c>
    </row>
    <row r="231" spans="1:30" ht="75" hidden="1">
      <c r="A231" s="1" t="s">
        <v>965</v>
      </c>
      <c r="B231" s="1">
        <v>1230</v>
      </c>
      <c r="C231" s="1">
        <v>5</v>
      </c>
      <c r="D231" s="1">
        <v>2</v>
      </c>
      <c r="E231" s="1" t="s">
        <v>4290</v>
      </c>
      <c r="F231" s="1" t="s">
        <v>4302</v>
      </c>
      <c r="G231" s="1" t="s">
        <v>20</v>
      </c>
      <c r="H231" s="1" t="s">
        <v>1114</v>
      </c>
      <c r="I231" s="1" t="s">
        <v>1115</v>
      </c>
      <c r="J231" s="1" t="s">
        <v>1116</v>
      </c>
      <c r="K231" s="1" t="s">
        <v>1117</v>
      </c>
      <c r="L231" s="1" t="s">
        <v>1118</v>
      </c>
      <c r="M231" s="1" t="s">
        <v>1119</v>
      </c>
      <c r="N231" s="1"/>
      <c r="O231" s="1" t="s">
        <v>10</v>
      </c>
      <c r="P231" s="1" t="s">
        <v>1176</v>
      </c>
      <c r="Q231" s="1"/>
      <c r="R231" s="1"/>
      <c r="S231" s="1"/>
      <c r="T231" s="1"/>
      <c r="U231" s="1"/>
      <c r="V231" s="1"/>
      <c r="W231" s="1">
        <v>1</v>
      </c>
      <c r="Y231" t="s">
        <v>10</v>
      </c>
      <c r="Z231" t="s">
        <v>4316</v>
      </c>
      <c r="AA231" t="s">
        <v>4317</v>
      </c>
      <c r="AB231" t="s">
        <v>4692</v>
      </c>
      <c r="AC231" t="s">
        <v>4369</v>
      </c>
      <c r="AD231" s="18">
        <v>46112</v>
      </c>
    </row>
    <row r="232" spans="1:30" ht="90" hidden="1">
      <c r="A232" s="1" t="s">
        <v>965</v>
      </c>
      <c r="B232" s="1">
        <v>1231</v>
      </c>
      <c r="C232" s="1">
        <v>5</v>
      </c>
      <c r="D232" s="1">
        <v>3</v>
      </c>
      <c r="E232" s="1" t="s">
        <v>4290</v>
      </c>
      <c r="F232" s="1" t="s">
        <v>4291</v>
      </c>
      <c r="G232" s="1" t="s">
        <v>20</v>
      </c>
      <c r="H232" s="1" t="s">
        <v>1120</v>
      </c>
      <c r="I232" s="1" t="s">
        <v>1121</v>
      </c>
      <c r="J232" s="1" t="s">
        <v>1122</v>
      </c>
      <c r="K232" s="1" t="s">
        <v>92</v>
      </c>
      <c r="L232" s="1" t="s">
        <v>362</v>
      </c>
      <c r="M232" s="1" t="s">
        <v>364</v>
      </c>
      <c r="N232" s="1"/>
      <c r="O232" s="1" t="s">
        <v>10</v>
      </c>
      <c r="P232" s="1" t="s">
        <v>1178</v>
      </c>
      <c r="Q232" s="1"/>
      <c r="R232" s="1"/>
      <c r="S232" s="1"/>
      <c r="T232" s="1"/>
      <c r="U232" s="1"/>
      <c r="V232" s="1"/>
      <c r="W232" s="1"/>
      <c r="Y232" t="s">
        <v>10</v>
      </c>
      <c r="Z232" t="s">
        <v>4316</v>
      </c>
      <c r="AA232" t="s">
        <v>4317</v>
      </c>
      <c r="AB232" t="s">
        <v>4693</v>
      </c>
      <c r="AC232" t="s">
        <v>4502</v>
      </c>
      <c r="AD232" s="18">
        <v>46112</v>
      </c>
    </row>
    <row r="233" spans="1:30" ht="165" hidden="1">
      <c r="A233" s="1" t="s">
        <v>965</v>
      </c>
      <c r="B233" s="1">
        <v>1232</v>
      </c>
      <c r="C233" s="1">
        <v>5</v>
      </c>
      <c r="D233" s="1">
        <v>4</v>
      </c>
      <c r="E233" s="1" t="s">
        <v>4295</v>
      </c>
      <c r="F233" s="1" t="s">
        <v>4296</v>
      </c>
      <c r="G233" s="1" t="s">
        <v>40</v>
      </c>
      <c r="H233" s="1" t="s">
        <v>1123</v>
      </c>
      <c r="I233" s="1" t="s">
        <v>1124</v>
      </c>
      <c r="J233" s="1" t="s">
        <v>1125</v>
      </c>
      <c r="K233" s="1" t="s">
        <v>1126</v>
      </c>
      <c r="L233" s="1" t="s">
        <v>1127</v>
      </c>
      <c r="M233" s="1" t="s">
        <v>1128</v>
      </c>
      <c r="N233" s="1"/>
      <c r="O233" s="1" t="s">
        <v>8</v>
      </c>
      <c r="P233" s="1" t="s">
        <v>1225</v>
      </c>
      <c r="Q233" s="1"/>
      <c r="R233" s="1"/>
      <c r="S233" s="1"/>
      <c r="T233" s="1"/>
      <c r="U233" s="1">
        <v>1</v>
      </c>
      <c r="V233" s="1"/>
      <c r="W233" s="1">
        <v>1</v>
      </c>
      <c r="Y233" t="s">
        <v>8</v>
      </c>
      <c r="Z233" t="s">
        <v>4316</v>
      </c>
      <c r="AA233" t="s">
        <v>4317</v>
      </c>
      <c r="AB233" t="s">
        <v>4694</v>
      </c>
      <c r="AC233" t="s">
        <v>4369</v>
      </c>
      <c r="AD233" s="18">
        <v>46112</v>
      </c>
    </row>
    <row r="234" spans="1:30" ht="120" hidden="1">
      <c r="A234" s="1" t="s">
        <v>965</v>
      </c>
      <c r="B234" s="1">
        <v>1233</v>
      </c>
      <c r="C234" s="1">
        <v>5</v>
      </c>
      <c r="D234" s="1">
        <v>5</v>
      </c>
      <c r="E234" s="1" t="s">
        <v>4292</v>
      </c>
      <c r="F234" s="1" t="s">
        <v>4293</v>
      </c>
      <c r="G234" s="1" t="s">
        <v>20</v>
      </c>
      <c r="H234" s="1" t="s">
        <v>1129</v>
      </c>
      <c r="I234" s="1" t="s">
        <v>1130</v>
      </c>
      <c r="J234" s="1" t="s">
        <v>1131</v>
      </c>
      <c r="K234" s="1" t="s">
        <v>1132</v>
      </c>
      <c r="L234" s="1" t="s">
        <v>1133</v>
      </c>
      <c r="M234" s="1" t="s">
        <v>576</v>
      </c>
      <c r="N234" s="1"/>
      <c r="O234" s="1" t="s">
        <v>7</v>
      </c>
      <c r="P234" s="1" t="s">
        <v>1179</v>
      </c>
      <c r="Q234" s="1"/>
      <c r="R234" s="1"/>
      <c r="S234" s="1"/>
      <c r="T234" s="1"/>
      <c r="U234" s="1">
        <v>1</v>
      </c>
      <c r="V234" s="1"/>
      <c r="W234" s="1">
        <v>1</v>
      </c>
      <c r="Y234" t="s">
        <v>7</v>
      </c>
      <c r="Z234" t="s">
        <v>4316</v>
      </c>
      <c r="AA234" t="s">
        <v>4317</v>
      </c>
      <c r="AB234" t="s">
        <v>4695</v>
      </c>
      <c r="AC234" t="s">
        <v>4366</v>
      </c>
      <c r="AD234" s="18">
        <v>46112</v>
      </c>
    </row>
    <row r="235" spans="1:30" ht="409.5" hidden="1">
      <c r="A235" s="1" t="s">
        <v>965</v>
      </c>
      <c r="B235" s="1">
        <v>1234</v>
      </c>
      <c r="C235" s="1">
        <v>5</v>
      </c>
      <c r="D235" s="1">
        <v>6</v>
      </c>
      <c r="E235" s="1" t="s">
        <v>4305</v>
      </c>
      <c r="F235" s="1" t="s">
        <v>4307</v>
      </c>
      <c r="G235" s="1" t="s">
        <v>40</v>
      </c>
      <c r="H235" s="1" t="s">
        <v>1134</v>
      </c>
      <c r="I235" s="1" t="s">
        <v>1135</v>
      </c>
      <c r="J235" s="1" t="s">
        <v>1136</v>
      </c>
      <c r="K235" s="1" t="s">
        <v>1137</v>
      </c>
      <c r="L235" s="1" t="s">
        <v>1138</v>
      </c>
      <c r="M235" s="1" t="s">
        <v>1139</v>
      </c>
      <c r="N235" s="1"/>
      <c r="O235" s="1" t="s">
        <v>10</v>
      </c>
      <c r="P235" s="1" t="s">
        <v>1180</v>
      </c>
      <c r="Q235" s="1"/>
      <c r="R235" s="1"/>
      <c r="S235" s="1"/>
      <c r="T235" s="1">
        <v>1</v>
      </c>
      <c r="U235" s="1"/>
      <c r="V235" s="1"/>
      <c r="W235" s="1"/>
      <c r="Y235" t="s">
        <v>10</v>
      </c>
      <c r="Z235" t="s">
        <v>4316</v>
      </c>
      <c r="AA235" t="s">
        <v>4317</v>
      </c>
      <c r="AB235" t="s">
        <v>4696</v>
      </c>
      <c r="AC235" t="s">
        <v>4487</v>
      </c>
      <c r="AD235" s="18">
        <v>46112</v>
      </c>
    </row>
    <row r="236" spans="1:30" ht="150" hidden="1">
      <c r="A236" s="1" t="s">
        <v>965</v>
      </c>
      <c r="B236" s="1">
        <v>1235</v>
      </c>
      <c r="C236" s="1">
        <v>5</v>
      </c>
      <c r="D236" s="1">
        <v>7</v>
      </c>
      <c r="E236" s="1" t="s">
        <v>4292</v>
      </c>
      <c r="F236" s="1" t="s">
        <v>4293</v>
      </c>
      <c r="G236" s="1" t="s">
        <v>4294</v>
      </c>
      <c r="H236" s="1" t="s">
        <v>1140</v>
      </c>
      <c r="I236" s="1" t="s">
        <v>1141</v>
      </c>
      <c r="J236" s="1" t="s">
        <v>1142</v>
      </c>
      <c r="K236" s="1" t="s">
        <v>1143</v>
      </c>
      <c r="L236" s="1" t="s">
        <v>1144</v>
      </c>
      <c r="M236" s="1" t="s">
        <v>1145</v>
      </c>
      <c r="N236" s="1"/>
      <c r="O236" s="1" t="s">
        <v>8</v>
      </c>
      <c r="P236" s="1" t="s">
        <v>1181</v>
      </c>
      <c r="Q236" s="1"/>
      <c r="R236" s="1"/>
      <c r="S236" s="1"/>
      <c r="T236" s="1"/>
      <c r="U236" s="1">
        <v>1</v>
      </c>
      <c r="V236" s="1"/>
      <c r="W236" s="1"/>
      <c r="Y236" t="s">
        <v>8</v>
      </c>
      <c r="Z236" t="s">
        <v>4316</v>
      </c>
      <c r="AA236" t="s">
        <v>4317</v>
      </c>
      <c r="AB236" t="s">
        <v>4697</v>
      </c>
      <c r="AC236" t="s">
        <v>4382</v>
      </c>
      <c r="AD236" s="18">
        <v>46112</v>
      </c>
    </row>
    <row r="237" spans="1:30" ht="135" hidden="1">
      <c r="A237" s="1" t="s">
        <v>965</v>
      </c>
      <c r="B237" s="1">
        <v>1236</v>
      </c>
      <c r="C237" s="1">
        <v>5</v>
      </c>
      <c r="D237" s="1">
        <v>8</v>
      </c>
      <c r="E237" s="1" t="s">
        <v>4305</v>
      </c>
      <c r="F237" s="1" t="s">
        <v>4307</v>
      </c>
      <c r="G237" s="1" t="s">
        <v>20</v>
      </c>
      <c r="H237" s="1" t="s">
        <v>1146</v>
      </c>
      <c r="I237" s="1" t="s">
        <v>1147</v>
      </c>
      <c r="J237" s="1" t="s">
        <v>1148</v>
      </c>
      <c r="K237" s="1" t="s">
        <v>1149</v>
      </c>
      <c r="L237" s="1" t="s">
        <v>1150</v>
      </c>
      <c r="M237" s="1" t="s">
        <v>1151</v>
      </c>
      <c r="N237" s="1"/>
      <c r="O237" s="1" t="s">
        <v>11</v>
      </c>
      <c r="P237" s="1" t="s">
        <v>1182</v>
      </c>
      <c r="Q237" s="1"/>
      <c r="R237" s="1"/>
      <c r="S237" s="1"/>
      <c r="T237" s="1"/>
      <c r="U237" s="1">
        <v>1</v>
      </c>
      <c r="V237" s="1"/>
      <c r="W237" s="1">
        <v>1</v>
      </c>
      <c r="Y237" t="s">
        <v>11</v>
      </c>
      <c r="Z237" t="s">
        <v>4316</v>
      </c>
      <c r="AA237" t="s">
        <v>4317</v>
      </c>
      <c r="AB237" t="s">
        <v>4698</v>
      </c>
      <c r="AC237" t="s">
        <v>4478</v>
      </c>
      <c r="AD237" s="18">
        <v>46112</v>
      </c>
    </row>
    <row r="238" spans="1:30" ht="45" hidden="1">
      <c r="A238" s="1" t="s">
        <v>965</v>
      </c>
      <c r="B238" s="1">
        <v>1237</v>
      </c>
      <c r="C238" s="1">
        <v>5</v>
      </c>
      <c r="D238" s="1">
        <v>9</v>
      </c>
      <c r="E238" s="1" t="s">
        <v>4305</v>
      </c>
      <c r="F238" s="1" t="s">
        <v>4307</v>
      </c>
      <c r="G238" s="1" t="s">
        <v>20</v>
      </c>
      <c r="H238" s="1" t="s">
        <v>1152</v>
      </c>
      <c r="I238" s="1" t="s">
        <v>1153</v>
      </c>
      <c r="J238" s="1" t="s">
        <v>363</v>
      </c>
      <c r="K238" s="1" t="s">
        <v>1154</v>
      </c>
      <c r="L238" s="1" t="s">
        <v>1155</v>
      </c>
      <c r="M238" s="1" t="s">
        <v>1156</v>
      </c>
      <c r="N238" s="1"/>
      <c r="O238" s="1" t="s">
        <v>8</v>
      </c>
      <c r="P238" s="1" t="s">
        <v>1183</v>
      </c>
      <c r="Q238" s="1"/>
      <c r="R238" s="1"/>
      <c r="S238" s="1"/>
      <c r="T238" s="1"/>
      <c r="U238" s="1"/>
      <c r="V238" s="1"/>
      <c r="W238" s="1"/>
      <c r="Y238" t="s">
        <v>8</v>
      </c>
      <c r="Z238" t="s">
        <v>4316</v>
      </c>
      <c r="AA238" t="s">
        <v>4317</v>
      </c>
      <c r="AB238" t="s">
        <v>4699</v>
      </c>
      <c r="AC238" t="s">
        <v>4547</v>
      </c>
      <c r="AD238" s="18">
        <v>46112</v>
      </c>
    </row>
    <row r="239" spans="1:30" ht="150" hidden="1">
      <c r="A239" s="1" t="s">
        <v>965</v>
      </c>
      <c r="B239" s="1">
        <v>1238</v>
      </c>
      <c r="C239" s="1">
        <v>5</v>
      </c>
      <c r="D239" s="1">
        <v>10</v>
      </c>
      <c r="E239" s="1" t="s">
        <v>4305</v>
      </c>
      <c r="F239" s="1" t="s">
        <v>4307</v>
      </c>
      <c r="G239" s="1" t="s">
        <v>40</v>
      </c>
      <c r="H239" s="1" t="s">
        <v>1157</v>
      </c>
      <c r="I239" s="1" t="s">
        <v>1158</v>
      </c>
      <c r="J239" s="1" t="s">
        <v>363</v>
      </c>
      <c r="K239" s="1" t="s">
        <v>1155</v>
      </c>
      <c r="L239" s="1" t="s">
        <v>1159</v>
      </c>
      <c r="M239" s="1" t="s">
        <v>1153</v>
      </c>
      <c r="N239" s="1"/>
      <c r="O239" s="1" t="s">
        <v>8</v>
      </c>
      <c r="P239" s="1" t="s">
        <v>1184</v>
      </c>
      <c r="Q239" s="1"/>
      <c r="R239" s="1"/>
      <c r="S239" s="1"/>
      <c r="T239" s="1"/>
      <c r="U239" s="1">
        <v>1</v>
      </c>
      <c r="V239" s="1"/>
      <c r="W239" s="1">
        <v>1</v>
      </c>
      <c r="Y239" t="s">
        <v>8</v>
      </c>
      <c r="Z239" t="s">
        <v>4316</v>
      </c>
      <c r="AA239" t="s">
        <v>4317</v>
      </c>
      <c r="AB239" t="s">
        <v>4700</v>
      </c>
      <c r="AC239" t="s">
        <v>4547</v>
      </c>
      <c r="AD239" s="18">
        <v>46112</v>
      </c>
    </row>
    <row r="240" spans="1:30" ht="300">
      <c r="A240" s="1" t="s">
        <v>965</v>
      </c>
      <c r="B240" s="1">
        <v>1239</v>
      </c>
      <c r="C240" s="1">
        <v>5</v>
      </c>
      <c r="D240" s="1">
        <v>11</v>
      </c>
      <c r="E240" s="1" t="s">
        <v>4292</v>
      </c>
      <c r="F240" s="1" t="s">
        <v>4303</v>
      </c>
      <c r="G240" s="1" t="s">
        <v>20</v>
      </c>
      <c r="H240" s="1" t="s">
        <v>1160</v>
      </c>
      <c r="I240" s="1" t="s">
        <v>1130</v>
      </c>
      <c r="J240" s="1" t="s">
        <v>1131</v>
      </c>
      <c r="K240" s="1" t="s">
        <v>1161</v>
      </c>
      <c r="L240" s="1" t="s">
        <v>1133</v>
      </c>
      <c r="M240" s="1" t="s">
        <v>576</v>
      </c>
      <c r="N240" s="1"/>
      <c r="O240" s="1" t="s">
        <v>10</v>
      </c>
      <c r="P240" s="1" t="s">
        <v>1185</v>
      </c>
      <c r="Q240" s="1"/>
      <c r="R240" s="1"/>
      <c r="S240" s="1"/>
      <c r="T240" s="1">
        <v>1</v>
      </c>
      <c r="U240" s="1">
        <v>1</v>
      </c>
      <c r="V240" s="1"/>
      <c r="W240" s="1">
        <v>1</v>
      </c>
      <c r="Y240" t="s">
        <v>9</v>
      </c>
      <c r="Z240" t="s">
        <v>4331</v>
      </c>
      <c r="AA240" t="s">
        <v>4332</v>
      </c>
      <c r="AB240" t="s">
        <v>4701</v>
      </c>
      <c r="AC240" t="s">
        <v>4366</v>
      </c>
      <c r="AD240" s="18">
        <v>46112</v>
      </c>
    </row>
    <row r="241" spans="1:30" ht="270" hidden="1">
      <c r="A241" s="1" t="s">
        <v>965</v>
      </c>
      <c r="B241" s="1">
        <v>1240</v>
      </c>
      <c r="C241" s="1">
        <v>5</v>
      </c>
      <c r="D241" s="1">
        <v>12</v>
      </c>
      <c r="E241" s="1" t="s">
        <v>4292</v>
      </c>
      <c r="F241" s="1" t="s">
        <v>4303</v>
      </c>
      <c r="G241" s="1" t="s">
        <v>20</v>
      </c>
      <c r="H241" s="1" t="s">
        <v>1162</v>
      </c>
      <c r="I241" s="1" t="s">
        <v>1130</v>
      </c>
      <c r="J241" s="1" t="s">
        <v>1131</v>
      </c>
      <c r="K241" s="1" t="s">
        <v>1132</v>
      </c>
      <c r="L241" s="1" t="s">
        <v>1133</v>
      </c>
      <c r="M241" s="1" t="s">
        <v>576</v>
      </c>
      <c r="N241" s="1"/>
      <c r="O241" s="1" t="s">
        <v>8</v>
      </c>
      <c r="P241" s="1" t="s">
        <v>1186</v>
      </c>
      <c r="Q241" s="1"/>
      <c r="R241" s="1"/>
      <c r="S241" s="1"/>
      <c r="T241" s="1"/>
      <c r="U241" s="1">
        <v>1</v>
      </c>
      <c r="V241" s="1"/>
      <c r="W241" s="1">
        <v>1</v>
      </c>
      <c r="Y241" t="s">
        <v>8</v>
      </c>
      <c r="Z241" t="s">
        <v>4316</v>
      </c>
      <c r="AA241" t="s">
        <v>4317</v>
      </c>
      <c r="AB241" t="s">
        <v>4702</v>
      </c>
      <c r="AC241" t="s">
        <v>4366</v>
      </c>
      <c r="AD241" s="18">
        <v>46112</v>
      </c>
    </row>
    <row r="242" spans="1:30" ht="90" hidden="1">
      <c r="A242" s="1" t="s">
        <v>965</v>
      </c>
      <c r="B242" s="1">
        <v>1241</v>
      </c>
      <c r="C242" s="1">
        <v>5</v>
      </c>
      <c r="D242" s="1">
        <v>13</v>
      </c>
      <c r="E242" s="1" t="s">
        <v>4292</v>
      </c>
      <c r="F242" s="1" t="s">
        <v>4303</v>
      </c>
      <c r="G242" s="1" t="s">
        <v>20</v>
      </c>
      <c r="H242" s="1" t="s">
        <v>1163</v>
      </c>
      <c r="I242" s="1" t="s">
        <v>1164</v>
      </c>
      <c r="J242" s="1" t="s">
        <v>1165</v>
      </c>
      <c r="K242" s="1" t="s">
        <v>1166</v>
      </c>
      <c r="L242" s="1" t="s">
        <v>1167</v>
      </c>
      <c r="M242" s="1" t="s">
        <v>1168</v>
      </c>
      <c r="N242" s="1"/>
      <c r="O242" s="1" t="s">
        <v>11</v>
      </c>
      <c r="P242" s="1" t="s">
        <v>1225</v>
      </c>
      <c r="Q242" s="1"/>
      <c r="R242" s="1"/>
      <c r="S242" s="1"/>
      <c r="T242" s="1"/>
      <c r="U242" s="1">
        <v>1</v>
      </c>
      <c r="V242" s="1"/>
      <c r="W242" s="1">
        <v>1</v>
      </c>
      <c r="Y242" t="s">
        <v>11</v>
      </c>
      <c r="Z242" t="s">
        <v>4316</v>
      </c>
      <c r="AA242" t="s">
        <v>4317</v>
      </c>
      <c r="AB242" t="s">
        <v>4703</v>
      </c>
      <c r="AC242" t="s">
        <v>4338</v>
      </c>
      <c r="AD242" s="18">
        <v>46112</v>
      </c>
    </row>
    <row r="243" spans="1:30" ht="105" hidden="1">
      <c r="A243" s="1" t="s">
        <v>965</v>
      </c>
      <c r="B243" s="1">
        <v>1242</v>
      </c>
      <c r="C243" s="1">
        <v>5</v>
      </c>
      <c r="D243" s="1">
        <v>14</v>
      </c>
      <c r="E243" s="1" t="s">
        <v>4297</v>
      </c>
      <c r="F243" s="1" t="s">
        <v>4298</v>
      </c>
      <c r="G243" s="1" t="s">
        <v>20</v>
      </c>
      <c r="H243" s="1" t="s">
        <v>1169</v>
      </c>
      <c r="I243" s="1" t="s">
        <v>130</v>
      </c>
      <c r="J243" s="1" t="s">
        <v>129</v>
      </c>
      <c r="K243" s="1" t="s">
        <v>1170</v>
      </c>
      <c r="L243" s="1" t="s">
        <v>131</v>
      </c>
      <c r="M243" s="1" t="s">
        <v>133</v>
      </c>
      <c r="N243" s="1"/>
      <c r="O243" s="1" t="s">
        <v>9</v>
      </c>
      <c r="P243" s="1" t="s">
        <v>1187</v>
      </c>
      <c r="Q243" s="1"/>
      <c r="R243" s="1"/>
      <c r="S243" s="1"/>
      <c r="T243" s="1"/>
      <c r="U243" s="1">
        <v>1</v>
      </c>
      <c r="V243" s="1"/>
      <c r="W243" s="1">
        <v>1</v>
      </c>
      <c r="Y243" t="s">
        <v>9</v>
      </c>
      <c r="Z243" t="s">
        <v>4316</v>
      </c>
      <c r="AA243" t="s">
        <v>4317</v>
      </c>
      <c r="AB243" t="s">
        <v>4704</v>
      </c>
      <c r="AC243" t="s">
        <v>4433</v>
      </c>
      <c r="AD243" s="18">
        <v>46112</v>
      </c>
    </row>
    <row r="244" spans="1:30" ht="255" hidden="1">
      <c r="A244" s="1" t="s">
        <v>965</v>
      </c>
      <c r="B244" s="1">
        <v>1243</v>
      </c>
      <c r="C244" s="1">
        <v>5</v>
      </c>
      <c r="D244" s="1">
        <v>15</v>
      </c>
      <c r="E244" s="1" t="s">
        <v>4297</v>
      </c>
      <c r="F244" s="1" t="s">
        <v>4298</v>
      </c>
      <c r="G244" s="1" t="s">
        <v>20</v>
      </c>
      <c r="H244" s="1" t="s">
        <v>1171</v>
      </c>
      <c r="I244" s="1" t="s">
        <v>1172</v>
      </c>
      <c r="J244" s="1" t="s">
        <v>1173</v>
      </c>
      <c r="K244" s="1" t="s">
        <v>1174</v>
      </c>
      <c r="L244" s="1" t="s">
        <v>1175</v>
      </c>
      <c r="M244" s="1"/>
      <c r="N244" s="1"/>
      <c r="O244" s="1" t="s">
        <v>7</v>
      </c>
      <c r="P244" s="1" t="s">
        <v>1188</v>
      </c>
      <c r="Q244" s="1"/>
      <c r="R244" s="1"/>
      <c r="S244" s="1"/>
      <c r="T244" s="1"/>
      <c r="U244" s="1">
        <v>1</v>
      </c>
      <c r="V244" s="1"/>
      <c r="W244" s="1">
        <v>1</v>
      </c>
      <c r="Y244" t="s">
        <v>7</v>
      </c>
      <c r="Z244" t="s">
        <v>4316</v>
      </c>
      <c r="AA244" t="s">
        <v>4317</v>
      </c>
      <c r="AB244" t="s">
        <v>4705</v>
      </c>
      <c r="AC244" t="s">
        <v>4323</v>
      </c>
      <c r="AD244" s="18">
        <v>46112</v>
      </c>
    </row>
    <row r="245" spans="1:30" ht="150" hidden="1">
      <c r="A245" s="1" t="s">
        <v>965</v>
      </c>
      <c r="B245" s="1">
        <v>1244</v>
      </c>
      <c r="C245" s="1">
        <v>5</v>
      </c>
      <c r="D245" s="1">
        <v>16</v>
      </c>
      <c r="E245" s="1" t="s">
        <v>4297</v>
      </c>
      <c r="F245" s="1" t="s">
        <v>4299</v>
      </c>
      <c r="G245" s="1" t="s">
        <v>4294</v>
      </c>
      <c r="H245" s="1" t="s">
        <v>1189</v>
      </c>
      <c r="I245" s="1" t="s">
        <v>1192</v>
      </c>
      <c r="J245" s="1" t="s">
        <v>1193</v>
      </c>
      <c r="K245" s="1" t="s">
        <v>1194</v>
      </c>
      <c r="L245" s="1" t="s">
        <v>1195</v>
      </c>
      <c r="M245" s="1" t="s">
        <v>1196</v>
      </c>
      <c r="N245" s="1"/>
      <c r="O245" s="1" t="s">
        <v>9</v>
      </c>
      <c r="P245" s="1" t="s">
        <v>1472</v>
      </c>
      <c r="Q245" s="1"/>
      <c r="R245" s="1"/>
      <c r="S245" s="1"/>
      <c r="T245" s="1">
        <v>1</v>
      </c>
      <c r="U245" s="1">
        <v>1</v>
      </c>
      <c r="V245" s="1"/>
      <c r="W245" s="1"/>
      <c r="Y245" t="s">
        <v>9</v>
      </c>
      <c r="Z245" t="s">
        <v>4316</v>
      </c>
      <c r="AA245" t="s">
        <v>4317</v>
      </c>
      <c r="AB245" t="s">
        <v>4706</v>
      </c>
      <c r="AC245" t="s">
        <v>4567</v>
      </c>
      <c r="AD245" s="18">
        <v>46112</v>
      </c>
    </row>
    <row r="246" spans="1:30" ht="255" hidden="1">
      <c r="A246" s="1" t="s">
        <v>965</v>
      </c>
      <c r="B246" s="1">
        <v>1245</v>
      </c>
      <c r="C246" s="1">
        <v>5</v>
      </c>
      <c r="D246" s="1">
        <v>17</v>
      </c>
      <c r="E246" s="1" t="s">
        <v>4297</v>
      </c>
      <c r="F246" s="1" t="s">
        <v>4298</v>
      </c>
      <c r="G246" s="1" t="s">
        <v>4294</v>
      </c>
      <c r="H246" s="1" t="s">
        <v>1190</v>
      </c>
      <c r="I246" s="1" t="s">
        <v>1198</v>
      </c>
      <c r="J246" s="1" t="s">
        <v>1199</v>
      </c>
      <c r="K246" s="1" t="s">
        <v>1200</v>
      </c>
      <c r="L246" s="1" t="s">
        <v>1201</v>
      </c>
      <c r="M246" s="1" t="s">
        <v>1202</v>
      </c>
      <c r="N246" s="1" t="s">
        <v>1203</v>
      </c>
      <c r="O246" s="1" t="s">
        <v>8</v>
      </c>
      <c r="P246" s="1" t="s">
        <v>1204</v>
      </c>
      <c r="Q246" s="1"/>
      <c r="R246" s="1"/>
      <c r="S246" s="1"/>
      <c r="T246" s="1"/>
      <c r="U246" s="1"/>
      <c r="V246" s="1"/>
      <c r="W246" s="1"/>
      <c r="Y246" t="s">
        <v>8</v>
      </c>
      <c r="Z246" t="s">
        <v>4316</v>
      </c>
      <c r="AA246" t="s">
        <v>4317</v>
      </c>
      <c r="AB246" t="s">
        <v>4707</v>
      </c>
      <c r="AC246" t="s">
        <v>4364</v>
      </c>
      <c r="AD246" s="18">
        <v>46112</v>
      </c>
    </row>
    <row r="247" spans="1:30" ht="75" hidden="1">
      <c r="A247" s="1" t="s">
        <v>965</v>
      </c>
      <c r="B247" s="1">
        <v>1246</v>
      </c>
      <c r="C247" s="1">
        <v>5</v>
      </c>
      <c r="D247" s="1">
        <v>18</v>
      </c>
      <c r="E247" s="1" t="s">
        <v>4297</v>
      </c>
      <c r="F247" s="1" t="s">
        <v>4300</v>
      </c>
      <c r="G247" s="1" t="s">
        <v>20</v>
      </c>
      <c r="H247" s="1" t="s">
        <v>1191</v>
      </c>
      <c r="I247" s="1" t="s">
        <v>1205</v>
      </c>
      <c r="J247" s="1" t="s">
        <v>1206</v>
      </c>
      <c r="K247" s="1" t="s">
        <v>1207</v>
      </c>
      <c r="L247" s="1" t="s">
        <v>1208</v>
      </c>
      <c r="M247" s="1" t="s">
        <v>1209</v>
      </c>
      <c r="N247" s="1"/>
      <c r="O247" s="1" t="s">
        <v>7</v>
      </c>
      <c r="P247" s="1" t="s">
        <v>1210</v>
      </c>
      <c r="Q247" s="1"/>
      <c r="R247" s="1"/>
      <c r="S247" s="1"/>
      <c r="T247" s="1">
        <v>1</v>
      </c>
      <c r="U247" s="1"/>
      <c r="V247" s="1"/>
      <c r="W247" s="1"/>
      <c r="Y247" t="s">
        <v>7</v>
      </c>
      <c r="Z247" t="s">
        <v>4316</v>
      </c>
      <c r="AA247" t="s">
        <v>4317</v>
      </c>
      <c r="AB247" t="s">
        <v>4708</v>
      </c>
      <c r="AC247" t="s">
        <v>4327</v>
      </c>
      <c r="AD247" s="18">
        <v>46112</v>
      </c>
    </row>
    <row r="248" spans="1:30" ht="150" hidden="1">
      <c r="A248" s="1" t="s">
        <v>965</v>
      </c>
      <c r="B248" s="1">
        <v>1247</v>
      </c>
      <c r="C248" s="1">
        <v>5</v>
      </c>
      <c r="D248" s="1">
        <v>19</v>
      </c>
      <c r="E248" s="1" t="s">
        <v>4297</v>
      </c>
      <c r="F248" s="1" t="s">
        <v>4298</v>
      </c>
      <c r="G248" s="1" t="s">
        <v>20</v>
      </c>
      <c r="H248" s="1" t="s">
        <v>1211</v>
      </c>
      <c r="I248" s="1" t="s">
        <v>1212</v>
      </c>
      <c r="J248" s="1" t="s">
        <v>1213</v>
      </c>
      <c r="K248" s="1" t="s">
        <v>1214</v>
      </c>
      <c r="L248" s="1" t="s">
        <v>1215</v>
      </c>
      <c r="M248" s="1" t="s">
        <v>1216</v>
      </c>
      <c r="N248" s="1"/>
      <c r="O248" s="1" t="s">
        <v>7</v>
      </c>
      <c r="P248" s="1" t="s">
        <v>1217</v>
      </c>
      <c r="Q248" s="1"/>
      <c r="R248" s="1"/>
      <c r="S248" s="1"/>
      <c r="T248" s="1"/>
      <c r="U248" s="1"/>
      <c r="V248" s="1"/>
      <c r="W248" s="1"/>
      <c r="Y248" t="s">
        <v>7</v>
      </c>
      <c r="Z248" t="s">
        <v>4316</v>
      </c>
      <c r="AA248" t="s">
        <v>4317</v>
      </c>
      <c r="AB248" t="s">
        <v>4709</v>
      </c>
      <c r="AC248" t="s">
        <v>4325</v>
      </c>
      <c r="AD248" s="18">
        <v>46112</v>
      </c>
    </row>
    <row r="249" spans="1:30" ht="150" hidden="1">
      <c r="A249" s="1" t="s">
        <v>965</v>
      </c>
      <c r="B249" s="1">
        <v>1248</v>
      </c>
      <c r="C249" s="1">
        <v>5</v>
      </c>
      <c r="D249" s="1">
        <v>20</v>
      </c>
      <c r="E249" s="1" t="s">
        <v>4297</v>
      </c>
      <c r="F249" s="1" t="s">
        <v>4298</v>
      </c>
      <c r="G249" s="1" t="s">
        <v>20</v>
      </c>
      <c r="H249" s="1" t="s">
        <v>1218</v>
      </c>
      <c r="I249" s="1" t="s">
        <v>1219</v>
      </c>
      <c r="J249" s="1" t="s">
        <v>1220</v>
      </c>
      <c r="K249" s="1" t="s">
        <v>1221</v>
      </c>
      <c r="L249" s="1" t="s">
        <v>1222</v>
      </c>
      <c r="M249" s="1" t="s">
        <v>1223</v>
      </c>
      <c r="N249" s="1"/>
      <c r="O249" s="1" t="s">
        <v>9</v>
      </c>
      <c r="P249" s="1" t="s">
        <v>1224</v>
      </c>
      <c r="Q249" s="1"/>
      <c r="R249" s="1"/>
      <c r="S249" s="1"/>
      <c r="T249" s="1"/>
      <c r="U249" s="1">
        <v>1</v>
      </c>
      <c r="V249" s="1"/>
      <c r="W249" s="1"/>
      <c r="Y249" t="s">
        <v>9</v>
      </c>
      <c r="Z249" t="s">
        <v>4316</v>
      </c>
      <c r="AA249" t="s">
        <v>4317</v>
      </c>
      <c r="AB249" t="s">
        <v>4710</v>
      </c>
      <c r="AC249" t="s">
        <v>4325</v>
      </c>
      <c r="AD249" s="18">
        <v>46112</v>
      </c>
    </row>
    <row r="250" spans="1:30" ht="409.5" hidden="1">
      <c r="A250" s="1" t="s">
        <v>965</v>
      </c>
      <c r="B250" s="1">
        <v>1249</v>
      </c>
      <c r="C250" s="1">
        <v>5</v>
      </c>
      <c r="D250" s="1">
        <v>21</v>
      </c>
      <c r="E250" s="1" t="s">
        <v>4297</v>
      </c>
      <c r="F250" s="1" t="s">
        <v>4298</v>
      </c>
      <c r="G250" s="1" t="s">
        <v>40</v>
      </c>
      <c r="H250" s="1" t="s">
        <v>3677</v>
      </c>
      <c r="I250" s="1" t="s">
        <v>1226</v>
      </c>
      <c r="J250" s="1" t="s">
        <v>1227</v>
      </c>
      <c r="K250" s="1" t="s">
        <v>1228</v>
      </c>
      <c r="L250" s="1" t="s">
        <v>1230</v>
      </c>
      <c r="M250" s="1" t="s">
        <v>1229</v>
      </c>
      <c r="N250" s="1"/>
      <c r="O250" s="1" t="s">
        <v>10</v>
      </c>
      <c r="P250" s="1" t="s">
        <v>3678</v>
      </c>
      <c r="Q250" s="1"/>
      <c r="R250" s="1"/>
      <c r="S250" s="1"/>
      <c r="T250" s="1">
        <v>1</v>
      </c>
      <c r="U250" s="1">
        <v>1</v>
      </c>
      <c r="V250" s="1"/>
      <c r="W250" s="1"/>
      <c r="Y250" t="s">
        <v>10</v>
      </c>
      <c r="Z250" t="s">
        <v>4316</v>
      </c>
      <c r="AA250" t="s">
        <v>4317</v>
      </c>
      <c r="AB250" t="s">
        <v>4711</v>
      </c>
      <c r="AD250" s="18">
        <v>46112</v>
      </c>
    </row>
    <row r="251" spans="1:30" ht="90" hidden="1">
      <c r="A251" s="1" t="s">
        <v>965</v>
      </c>
      <c r="B251" s="1">
        <v>1250</v>
      </c>
      <c r="C251" s="1">
        <v>5</v>
      </c>
      <c r="D251" s="1">
        <v>22</v>
      </c>
      <c r="E251" s="1" t="s">
        <v>4297</v>
      </c>
      <c r="F251" s="1" t="s">
        <v>4298</v>
      </c>
      <c r="G251" s="1" t="s">
        <v>40</v>
      </c>
      <c r="H251" s="1" t="s">
        <v>1231</v>
      </c>
      <c r="I251" s="1" t="s">
        <v>1232</v>
      </c>
      <c r="J251" s="1" t="s">
        <v>1233</v>
      </c>
      <c r="K251" s="1" t="s">
        <v>1234</v>
      </c>
      <c r="L251" s="1" t="s">
        <v>1235</v>
      </c>
      <c r="M251" s="1" t="s">
        <v>152</v>
      </c>
      <c r="N251" s="1"/>
      <c r="O251" s="1" t="s">
        <v>11</v>
      </c>
      <c r="P251" s="1" t="s">
        <v>1236</v>
      </c>
      <c r="Q251" s="1"/>
      <c r="R251" s="1"/>
      <c r="S251" s="1"/>
      <c r="T251" s="1"/>
      <c r="U251" s="1"/>
      <c r="V251" s="1"/>
      <c r="W251" s="1"/>
      <c r="Y251" t="s">
        <v>11</v>
      </c>
      <c r="Z251" t="s">
        <v>4316</v>
      </c>
      <c r="AA251" t="s">
        <v>4317</v>
      </c>
      <c r="AB251" t="s">
        <v>4712</v>
      </c>
      <c r="AC251" t="s">
        <v>4325</v>
      </c>
      <c r="AD251" s="18">
        <v>46112</v>
      </c>
    </row>
    <row r="252" spans="1:30" ht="75" hidden="1">
      <c r="A252" s="1" t="s">
        <v>965</v>
      </c>
      <c r="B252" s="1">
        <v>1251</v>
      </c>
      <c r="C252" s="1">
        <v>5</v>
      </c>
      <c r="D252" s="1">
        <v>23</v>
      </c>
      <c r="E252" s="1" t="s">
        <v>4297</v>
      </c>
      <c r="F252" s="1" t="s">
        <v>4298</v>
      </c>
      <c r="G252" s="1" t="s">
        <v>20</v>
      </c>
      <c r="H252" s="1" t="s">
        <v>1237</v>
      </c>
      <c r="I252" s="1" t="s">
        <v>1238</v>
      </c>
      <c r="J252" s="1" t="s">
        <v>1239</v>
      </c>
      <c r="K252" s="1" t="s">
        <v>1240</v>
      </c>
      <c r="L252" s="1" t="s">
        <v>1241</v>
      </c>
      <c r="M252" s="1" t="s">
        <v>1242</v>
      </c>
      <c r="N252" s="1"/>
      <c r="O252" s="1" t="s">
        <v>7</v>
      </c>
      <c r="P252" s="1" t="s">
        <v>1243</v>
      </c>
      <c r="Q252" s="1"/>
      <c r="R252" s="1"/>
      <c r="S252" s="1"/>
      <c r="T252" s="1"/>
      <c r="U252" s="1">
        <v>1</v>
      </c>
      <c r="V252" s="1"/>
      <c r="W252" s="1">
        <v>1</v>
      </c>
      <c r="Y252" t="s">
        <v>7</v>
      </c>
      <c r="Z252" t="s">
        <v>4316</v>
      </c>
      <c r="AA252" t="s">
        <v>4317</v>
      </c>
      <c r="AB252" t="s">
        <v>4713</v>
      </c>
      <c r="AC252" t="s">
        <v>4512</v>
      </c>
      <c r="AD252" s="18">
        <v>46112</v>
      </c>
    </row>
    <row r="253" spans="1:30" ht="60" hidden="1">
      <c r="A253" s="1" t="s">
        <v>965</v>
      </c>
      <c r="B253" s="1">
        <v>1252</v>
      </c>
      <c r="C253" s="1">
        <v>5</v>
      </c>
      <c r="D253" s="1">
        <v>24</v>
      </c>
      <c r="E253" s="1" t="s">
        <v>4297</v>
      </c>
      <c r="F253" s="1" t="s">
        <v>4298</v>
      </c>
      <c r="G253" s="1" t="s">
        <v>20</v>
      </c>
      <c r="H253" s="1" t="s">
        <v>1244</v>
      </c>
      <c r="I253" s="1" t="s">
        <v>1245</v>
      </c>
      <c r="J253" s="1" t="s">
        <v>1246</v>
      </c>
      <c r="K253" s="1" t="s">
        <v>1247</v>
      </c>
      <c r="L253" s="1" t="s">
        <v>1248</v>
      </c>
      <c r="M253" s="1"/>
      <c r="N253" s="1"/>
      <c r="O253" s="1" t="s">
        <v>9</v>
      </c>
      <c r="P253" s="1" t="s">
        <v>1249</v>
      </c>
      <c r="Q253" s="1"/>
      <c r="R253" s="1"/>
      <c r="S253" s="1"/>
      <c r="T253" s="1"/>
      <c r="U253" s="1"/>
      <c r="V253" s="1"/>
      <c r="W253" s="1"/>
      <c r="Y253" t="s">
        <v>9</v>
      </c>
      <c r="Z253" t="s">
        <v>4316</v>
      </c>
      <c r="AA253" t="s">
        <v>4317</v>
      </c>
      <c r="AB253" t="s">
        <v>4714</v>
      </c>
      <c r="AC253" t="s">
        <v>4327</v>
      </c>
      <c r="AD253" s="18">
        <v>46112</v>
      </c>
    </row>
    <row r="254" spans="1:30" ht="409.5" hidden="1">
      <c r="A254" s="1" t="s">
        <v>965</v>
      </c>
      <c r="B254" s="1">
        <v>1253</v>
      </c>
      <c r="C254" s="1">
        <v>5</v>
      </c>
      <c r="D254" s="1">
        <v>25</v>
      </c>
      <c r="E254" s="1" t="s">
        <v>4297</v>
      </c>
      <c r="F254" s="1" t="s">
        <v>4298</v>
      </c>
      <c r="G254" s="1" t="s">
        <v>40</v>
      </c>
      <c r="H254" s="1" t="s">
        <v>3677</v>
      </c>
      <c r="I254" s="1" t="s">
        <v>1250</v>
      </c>
      <c r="J254" s="1" t="s">
        <v>1251</v>
      </c>
      <c r="K254" s="1" t="s">
        <v>1252</v>
      </c>
      <c r="L254" s="1" t="s">
        <v>1253</v>
      </c>
      <c r="M254" s="1" t="s">
        <v>1254</v>
      </c>
      <c r="N254" s="1"/>
      <c r="O254" s="1" t="s">
        <v>10</v>
      </c>
      <c r="P254" s="1" t="s">
        <v>3678</v>
      </c>
      <c r="Q254" s="1"/>
      <c r="R254" s="1"/>
      <c r="S254" s="1"/>
      <c r="T254" s="1"/>
      <c r="U254" s="1">
        <v>1</v>
      </c>
      <c r="V254" s="1"/>
      <c r="W254" s="1">
        <v>1</v>
      </c>
      <c r="Y254" t="s">
        <v>10</v>
      </c>
      <c r="Z254" t="s">
        <v>4316</v>
      </c>
      <c r="AA254" t="s">
        <v>4317</v>
      </c>
      <c r="AB254" t="s">
        <v>4715</v>
      </c>
      <c r="AD254" s="18">
        <v>46112</v>
      </c>
    </row>
    <row r="255" spans="1:30" ht="225">
      <c r="A255" s="1" t="s">
        <v>965</v>
      </c>
      <c r="B255" s="1">
        <v>1254</v>
      </c>
      <c r="C255" s="1">
        <v>5</v>
      </c>
      <c r="D255" s="1">
        <v>26</v>
      </c>
      <c r="E255" s="1" t="s">
        <v>4297</v>
      </c>
      <c r="F255" s="1" t="s">
        <v>4298</v>
      </c>
      <c r="G255" s="1" t="s">
        <v>4294</v>
      </c>
      <c r="H255" s="1" t="s">
        <v>1255</v>
      </c>
      <c r="I255" s="1" t="s">
        <v>1256</v>
      </c>
      <c r="J255" s="1" t="s">
        <v>1257</v>
      </c>
      <c r="K255" s="1" t="s">
        <v>1258</v>
      </c>
      <c r="L255" s="1" t="s">
        <v>1259</v>
      </c>
      <c r="M255" s="1" t="s">
        <v>1260</v>
      </c>
      <c r="N255" s="1"/>
      <c r="O255" s="1" t="s">
        <v>11</v>
      </c>
      <c r="P255" s="1" t="s">
        <v>1261</v>
      </c>
      <c r="Q255" s="1"/>
      <c r="R255" s="1"/>
      <c r="S255" s="1"/>
      <c r="T255" s="1"/>
      <c r="U255" s="1">
        <v>1</v>
      </c>
      <c r="V255" s="1"/>
      <c r="W255" s="1"/>
      <c r="Y255" t="s">
        <v>8</v>
      </c>
      <c r="Z255" t="s">
        <v>4331</v>
      </c>
      <c r="AA255" t="s">
        <v>4332</v>
      </c>
      <c r="AB255" t="s">
        <v>4716</v>
      </c>
      <c r="AC255" t="s">
        <v>4327</v>
      </c>
      <c r="AD255" s="18">
        <v>46112</v>
      </c>
    </row>
    <row r="256" spans="1:30" ht="165">
      <c r="A256" s="1" t="s">
        <v>965</v>
      </c>
      <c r="B256" s="1">
        <v>1255</v>
      </c>
      <c r="C256" s="1">
        <v>5</v>
      </c>
      <c r="D256" s="1">
        <v>27</v>
      </c>
      <c r="E256" s="1" t="s">
        <v>4297</v>
      </c>
      <c r="F256" s="1" t="s">
        <v>4298</v>
      </c>
      <c r="G256" s="1" t="s">
        <v>4294</v>
      </c>
      <c r="H256" s="1" t="s">
        <v>1262</v>
      </c>
      <c r="I256" s="1" t="s">
        <v>1263</v>
      </c>
      <c r="J256" s="1" t="s">
        <v>1264</v>
      </c>
      <c r="K256" s="1" t="s">
        <v>1265</v>
      </c>
      <c r="L256" s="1" t="s">
        <v>1266</v>
      </c>
      <c r="M256" s="1"/>
      <c r="N256" s="1"/>
      <c r="O256" s="1" t="s">
        <v>8</v>
      </c>
      <c r="P256" s="1" t="s">
        <v>1267</v>
      </c>
      <c r="Q256" s="1"/>
      <c r="R256" s="1"/>
      <c r="S256" s="1"/>
      <c r="T256" s="1"/>
      <c r="U256" s="1"/>
      <c r="V256" s="1"/>
      <c r="W256" s="1"/>
      <c r="Y256" t="s">
        <v>7</v>
      </c>
      <c r="Z256" t="s">
        <v>4331</v>
      </c>
      <c r="AA256" t="s">
        <v>4332</v>
      </c>
      <c r="AB256" t="s">
        <v>4717</v>
      </c>
      <c r="AC256" t="s">
        <v>4327</v>
      </c>
      <c r="AD256" s="18">
        <v>46112</v>
      </c>
    </row>
    <row r="257" spans="1:30" ht="150" hidden="1">
      <c r="A257" s="1" t="s">
        <v>965</v>
      </c>
      <c r="B257" s="1">
        <v>1256</v>
      </c>
      <c r="C257" s="1">
        <v>5</v>
      </c>
      <c r="D257" s="1">
        <v>28</v>
      </c>
      <c r="E257" s="1" t="s">
        <v>4297</v>
      </c>
      <c r="F257" s="1" t="s">
        <v>4298</v>
      </c>
      <c r="G257" s="1" t="s">
        <v>4294</v>
      </c>
      <c r="H257" s="1" t="s">
        <v>1268</v>
      </c>
      <c r="I257" s="1" t="s">
        <v>1269</v>
      </c>
      <c r="J257" s="1" t="s">
        <v>1270</v>
      </c>
      <c r="K257" s="1" t="s">
        <v>1271</v>
      </c>
      <c r="L257" s="1" t="s">
        <v>1272</v>
      </c>
      <c r="M257" s="1" t="s">
        <v>1273</v>
      </c>
      <c r="N257" s="1"/>
      <c r="O257" s="1" t="s">
        <v>7</v>
      </c>
      <c r="P257" s="1" t="s">
        <v>1274</v>
      </c>
      <c r="Q257" s="1"/>
      <c r="R257" s="1"/>
      <c r="S257" s="1"/>
      <c r="T257" s="1">
        <v>1</v>
      </c>
      <c r="U257" s="1"/>
      <c r="V257" s="1"/>
      <c r="W257" s="1"/>
      <c r="Y257" t="s">
        <v>7</v>
      </c>
      <c r="Z257" t="s">
        <v>4316</v>
      </c>
      <c r="AA257" t="s">
        <v>4317</v>
      </c>
      <c r="AB257" t="s">
        <v>4718</v>
      </c>
      <c r="AC257" t="s">
        <v>4327</v>
      </c>
      <c r="AD257" s="18">
        <v>46112</v>
      </c>
    </row>
    <row r="258" spans="1:30" ht="165" hidden="1">
      <c r="A258" s="1" t="s">
        <v>965</v>
      </c>
      <c r="B258" s="1">
        <v>1257</v>
      </c>
      <c r="C258" s="1">
        <v>5</v>
      </c>
      <c r="D258" s="1">
        <v>29</v>
      </c>
      <c r="E258" s="1" t="s">
        <v>4290</v>
      </c>
      <c r="F258" s="1" t="s">
        <v>4291</v>
      </c>
      <c r="G258" s="1" t="s">
        <v>4294</v>
      </c>
      <c r="H258" s="1" t="s">
        <v>1275</v>
      </c>
      <c r="I258" s="1" t="s">
        <v>1276</v>
      </c>
      <c r="J258" s="1" t="s">
        <v>1277</v>
      </c>
      <c r="K258" s="1" t="s">
        <v>1278</v>
      </c>
      <c r="L258" s="1" t="s">
        <v>1279</v>
      </c>
      <c r="M258" s="1" t="s">
        <v>1280</v>
      </c>
      <c r="N258" s="1"/>
      <c r="O258" s="1" t="s">
        <v>9</v>
      </c>
      <c r="P258" s="1" t="s">
        <v>1281</v>
      </c>
      <c r="Q258" s="1"/>
      <c r="R258" s="1"/>
      <c r="S258" s="1"/>
      <c r="T258" s="1"/>
      <c r="U258" s="1"/>
      <c r="V258" s="1"/>
      <c r="W258" s="1"/>
      <c r="Y258" t="s">
        <v>9</v>
      </c>
      <c r="Z258" t="s">
        <v>4316</v>
      </c>
      <c r="AA258" t="s">
        <v>4317</v>
      </c>
      <c r="AB258" t="s">
        <v>4719</v>
      </c>
      <c r="AC258" t="s">
        <v>4453</v>
      </c>
      <c r="AD258" s="18">
        <v>46112</v>
      </c>
    </row>
    <row r="259" spans="1:30" ht="165" hidden="1">
      <c r="A259" s="1" t="s">
        <v>965</v>
      </c>
      <c r="B259" s="1">
        <v>1258</v>
      </c>
      <c r="C259" s="1">
        <v>5</v>
      </c>
      <c r="D259" s="1">
        <v>30</v>
      </c>
      <c r="E259" s="1" t="s">
        <v>4297</v>
      </c>
      <c r="F259" s="1" t="s">
        <v>4298</v>
      </c>
      <c r="G259" s="1" t="s">
        <v>20</v>
      </c>
      <c r="H259" s="1" t="s">
        <v>1282</v>
      </c>
      <c r="I259" s="1" t="s">
        <v>1284</v>
      </c>
      <c r="J259" s="1" t="s">
        <v>1285</v>
      </c>
      <c r="K259" s="1" t="s">
        <v>1285</v>
      </c>
      <c r="L259" s="1" t="s">
        <v>1286</v>
      </c>
      <c r="M259" s="1" t="s">
        <v>1287</v>
      </c>
      <c r="O259" s="1" t="s">
        <v>7</v>
      </c>
      <c r="P259" s="1" t="s">
        <v>1283</v>
      </c>
      <c r="Q259" s="1"/>
      <c r="R259" s="1"/>
      <c r="S259" s="1"/>
      <c r="T259" s="1">
        <v>1</v>
      </c>
      <c r="U259" s="1"/>
      <c r="V259" s="1"/>
      <c r="W259" s="1"/>
      <c r="Y259" t="s">
        <v>7</v>
      </c>
      <c r="Z259" t="s">
        <v>4316</v>
      </c>
      <c r="AA259" t="s">
        <v>4317</v>
      </c>
      <c r="AB259" t="s">
        <v>4720</v>
      </c>
      <c r="AC259" t="s">
        <v>4327</v>
      </c>
      <c r="AD259" s="18">
        <v>46112</v>
      </c>
    </row>
    <row r="260" spans="1:30" ht="360" hidden="1">
      <c r="A260" s="1" t="s">
        <v>965</v>
      </c>
      <c r="B260" s="1">
        <v>1259</v>
      </c>
      <c r="C260" s="1">
        <v>5</v>
      </c>
      <c r="D260" s="1">
        <v>31</v>
      </c>
      <c r="E260" s="1" t="s">
        <v>4297</v>
      </c>
      <c r="F260" s="1" t="s">
        <v>4298</v>
      </c>
      <c r="G260" s="1" t="s">
        <v>40</v>
      </c>
      <c r="H260" s="1" t="s">
        <v>3679</v>
      </c>
      <c r="I260" s="1" t="s">
        <v>1296</v>
      </c>
      <c r="J260" s="1" t="s">
        <v>1297</v>
      </c>
      <c r="K260" s="1" t="s">
        <v>1298</v>
      </c>
      <c r="L260" s="1" t="s">
        <v>493</v>
      </c>
      <c r="M260" s="1" t="s">
        <v>1299</v>
      </c>
      <c r="N260" s="1"/>
      <c r="O260" s="1" t="s">
        <v>10</v>
      </c>
      <c r="P260" s="1" t="s">
        <v>1295</v>
      </c>
      <c r="Q260" s="1"/>
      <c r="R260" s="1"/>
      <c r="S260" s="1"/>
      <c r="T260" s="1"/>
      <c r="U260" s="1">
        <v>1</v>
      </c>
      <c r="V260" s="1"/>
      <c r="W260" s="1">
        <v>1</v>
      </c>
      <c r="Y260" t="s">
        <v>10</v>
      </c>
      <c r="Z260" t="s">
        <v>4316</v>
      </c>
      <c r="AA260" t="s">
        <v>4317</v>
      </c>
      <c r="AB260" t="s">
        <v>4721</v>
      </c>
      <c r="AC260" t="s">
        <v>4327</v>
      </c>
      <c r="AD260" s="18">
        <v>46112</v>
      </c>
    </row>
    <row r="261" spans="1:30" ht="315" hidden="1">
      <c r="A261" s="1" t="s">
        <v>965</v>
      </c>
      <c r="B261" s="1">
        <v>1260</v>
      </c>
      <c r="C261" s="1">
        <v>5</v>
      </c>
      <c r="D261" s="1">
        <v>32</v>
      </c>
      <c r="E261" s="1" t="s">
        <v>4297</v>
      </c>
      <c r="F261" s="1" t="s">
        <v>4298</v>
      </c>
      <c r="G261" s="1" t="s">
        <v>20</v>
      </c>
      <c r="H261" s="1" t="s">
        <v>1288</v>
      </c>
      <c r="I261" s="1" t="s">
        <v>1289</v>
      </c>
      <c r="J261" s="1" t="s">
        <v>1290</v>
      </c>
      <c r="K261" s="1" t="s">
        <v>1291</v>
      </c>
      <c r="L261" s="1" t="s">
        <v>1292</v>
      </c>
      <c r="M261" s="1" t="s">
        <v>1293</v>
      </c>
      <c r="N261" s="1"/>
      <c r="O261" s="1" t="s">
        <v>8</v>
      </c>
      <c r="P261" s="1" t="s">
        <v>1294</v>
      </c>
      <c r="Q261" s="1"/>
      <c r="R261" s="1"/>
      <c r="S261" s="1"/>
      <c r="T261" s="1">
        <v>1</v>
      </c>
      <c r="U261" s="1">
        <v>1</v>
      </c>
      <c r="V261" s="1"/>
      <c r="W261" s="1"/>
      <c r="Y261" t="s">
        <v>8</v>
      </c>
      <c r="Z261" t="s">
        <v>4316</v>
      </c>
      <c r="AA261" t="s">
        <v>4317</v>
      </c>
      <c r="AB261" t="s">
        <v>4722</v>
      </c>
      <c r="AC261" t="s">
        <v>4327</v>
      </c>
      <c r="AD261" s="18">
        <v>46112</v>
      </c>
    </row>
    <row r="262" spans="1:30" ht="180">
      <c r="A262" s="1" t="s">
        <v>965</v>
      </c>
      <c r="B262" s="1">
        <v>1261</v>
      </c>
      <c r="C262" s="1">
        <v>5</v>
      </c>
      <c r="D262" s="1">
        <v>33</v>
      </c>
      <c r="E262" s="1" t="s">
        <v>4292</v>
      </c>
      <c r="F262" s="1" t="s">
        <v>4303</v>
      </c>
      <c r="G262" s="1" t="s">
        <v>20</v>
      </c>
      <c r="H262" s="1" t="s">
        <v>1300</v>
      </c>
      <c r="I262" s="1" t="s">
        <v>1301</v>
      </c>
      <c r="J262" s="1" t="s">
        <v>1302</v>
      </c>
      <c r="K262" s="1" t="s">
        <v>1303</v>
      </c>
      <c r="L262" s="1" t="s">
        <v>1304</v>
      </c>
      <c r="M262" s="1" t="s">
        <v>1305</v>
      </c>
      <c r="N262" s="1"/>
      <c r="O262" s="1" t="s">
        <v>10</v>
      </c>
      <c r="P262" s="1" t="s">
        <v>1306</v>
      </c>
      <c r="Q262" s="1"/>
      <c r="R262" s="1"/>
      <c r="S262" s="1"/>
      <c r="T262" s="1">
        <v>1</v>
      </c>
      <c r="U262" s="1"/>
      <c r="V262" s="1"/>
      <c r="W262" s="1">
        <v>1</v>
      </c>
      <c r="Y262" t="s">
        <v>8</v>
      </c>
      <c r="Z262" t="s">
        <v>4331</v>
      </c>
      <c r="AA262" t="s">
        <v>4332</v>
      </c>
      <c r="AB262" t="s">
        <v>4723</v>
      </c>
      <c r="AC262" t="s">
        <v>4338</v>
      </c>
      <c r="AD262" s="18">
        <v>46112</v>
      </c>
    </row>
    <row r="263" spans="1:30" ht="195" hidden="1">
      <c r="A263" s="1" t="s">
        <v>965</v>
      </c>
      <c r="B263" s="1">
        <v>1262</v>
      </c>
      <c r="C263" s="1">
        <v>5</v>
      </c>
      <c r="D263" s="1">
        <v>34</v>
      </c>
      <c r="E263" s="1" t="s">
        <v>4292</v>
      </c>
      <c r="F263" s="1" t="s">
        <v>4303</v>
      </c>
      <c r="G263" s="1" t="s">
        <v>20</v>
      </c>
      <c r="H263" s="1" t="s">
        <v>1307</v>
      </c>
      <c r="I263" s="1" t="s">
        <v>1164</v>
      </c>
      <c r="J263" s="1" t="s">
        <v>1165</v>
      </c>
      <c r="K263" s="1" t="s">
        <v>1166</v>
      </c>
      <c r="L263" s="1" t="s">
        <v>1308</v>
      </c>
      <c r="M263" s="1" t="s">
        <v>1309</v>
      </c>
      <c r="N263" s="1"/>
      <c r="O263" s="1" t="s">
        <v>11</v>
      </c>
      <c r="P263" s="1" t="s">
        <v>1310</v>
      </c>
      <c r="Q263" s="1"/>
      <c r="R263" s="1"/>
      <c r="S263" s="1"/>
      <c r="T263" s="1"/>
      <c r="U263" s="1">
        <v>1</v>
      </c>
      <c r="V263" s="1"/>
      <c r="W263" s="1">
        <v>1</v>
      </c>
      <c r="Y263" t="s">
        <v>11</v>
      </c>
      <c r="Z263" t="s">
        <v>4316</v>
      </c>
      <c r="AA263" t="s">
        <v>4317</v>
      </c>
      <c r="AB263" t="s">
        <v>4724</v>
      </c>
      <c r="AC263" t="s">
        <v>4338</v>
      </c>
      <c r="AD263" s="18">
        <v>46112</v>
      </c>
    </row>
    <row r="264" spans="1:30" ht="90" hidden="1">
      <c r="A264" s="1" t="s">
        <v>965</v>
      </c>
      <c r="B264" s="1">
        <v>1263</v>
      </c>
      <c r="C264" s="1">
        <v>5</v>
      </c>
      <c r="D264" s="1">
        <v>35</v>
      </c>
      <c r="E264" s="1" t="s">
        <v>4292</v>
      </c>
      <c r="F264" s="1" t="s">
        <v>4293</v>
      </c>
      <c r="G264" s="1" t="s">
        <v>20</v>
      </c>
      <c r="H264" s="1" t="s">
        <v>1311</v>
      </c>
      <c r="I264" s="1" t="s">
        <v>1312</v>
      </c>
      <c r="J264" s="1" t="s">
        <v>1313</v>
      </c>
      <c r="K264" s="1" t="s">
        <v>1132</v>
      </c>
      <c r="L264" s="1" t="s">
        <v>1314</v>
      </c>
      <c r="M264" s="1" t="s">
        <v>1315</v>
      </c>
      <c r="N264" s="1"/>
      <c r="O264" s="1" t="s">
        <v>10</v>
      </c>
      <c r="P264" s="1" t="s">
        <v>1316</v>
      </c>
      <c r="Q264" s="1"/>
      <c r="R264" s="1"/>
      <c r="S264" s="1"/>
      <c r="T264" s="1">
        <v>1</v>
      </c>
      <c r="U264" s="1"/>
      <c r="V264" s="1"/>
      <c r="W264" s="1"/>
      <c r="Y264" t="s">
        <v>10</v>
      </c>
      <c r="Z264" t="s">
        <v>4316</v>
      </c>
      <c r="AA264" t="s">
        <v>4317</v>
      </c>
      <c r="AB264" t="s">
        <v>4725</v>
      </c>
      <c r="AC264" t="s">
        <v>4366</v>
      </c>
      <c r="AD264" s="18">
        <v>46112</v>
      </c>
    </row>
    <row r="265" spans="1:30" ht="195" hidden="1">
      <c r="A265" s="1" t="s">
        <v>965</v>
      </c>
      <c r="B265" s="1">
        <v>1264</v>
      </c>
      <c r="C265" s="1">
        <v>5</v>
      </c>
      <c r="D265" s="1">
        <v>36</v>
      </c>
      <c r="E265" s="1" t="s">
        <v>4292</v>
      </c>
      <c r="F265" s="1" t="s">
        <v>4293</v>
      </c>
      <c r="G265" s="1" t="s">
        <v>4294</v>
      </c>
      <c r="H265" s="1" t="s">
        <v>1317</v>
      </c>
      <c r="I265" s="1" t="s">
        <v>1141</v>
      </c>
      <c r="J265" s="1" t="s">
        <v>1142</v>
      </c>
      <c r="K265" s="1" t="s">
        <v>1143</v>
      </c>
      <c r="L265" s="1" t="s">
        <v>1144</v>
      </c>
      <c r="M265" s="1" t="s">
        <v>1145</v>
      </c>
      <c r="N265" s="1"/>
      <c r="O265" s="1" t="s">
        <v>8</v>
      </c>
      <c r="P265" s="1" t="s">
        <v>1318</v>
      </c>
      <c r="Q265" s="1"/>
      <c r="R265" s="1"/>
      <c r="S265" s="1"/>
      <c r="T265" s="1"/>
      <c r="U265" s="1"/>
      <c r="V265" s="1"/>
      <c r="W265" s="1"/>
      <c r="Y265" t="s">
        <v>8</v>
      </c>
      <c r="Z265" t="s">
        <v>4316</v>
      </c>
      <c r="AA265" t="s">
        <v>4317</v>
      </c>
      <c r="AB265" t="s">
        <v>4726</v>
      </c>
      <c r="AC265" t="s">
        <v>4382</v>
      </c>
      <c r="AD265" s="18">
        <v>46112</v>
      </c>
    </row>
    <row r="266" spans="1:30" ht="409.5" hidden="1">
      <c r="A266" s="1" t="s">
        <v>965</v>
      </c>
      <c r="B266" s="1">
        <v>1265</v>
      </c>
      <c r="C266" s="1">
        <v>5</v>
      </c>
      <c r="D266" s="1">
        <v>37</v>
      </c>
      <c r="E266" s="1" t="s">
        <v>4290</v>
      </c>
      <c r="F266" s="1" t="s">
        <v>4291</v>
      </c>
      <c r="G266" s="1" t="s">
        <v>20</v>
      </c>
      <c r="H266" s="1" t="s">
        <v>1319</v>
      </c>
      <c r="I266" s="1" t="s">
        <v>1320</v>
      </c>
      <c r="J266" s="1" t="s">
        <v>1321</v>
      </c>
      <c r="K266" s="1" t="s">
        <v>1322</v>
      </c>
      <c r="L266" s="1" t="s">
        <v>1323</v>
      </c>
      <c r="M266" s="1" t="s">
        <v>1324</v>
      </c>
      <c r="N266" s="1" t="s">
        <v>1325</v>
      </c>
      <c r="O266" s="1" t="s">
        <v>7</v>
      </c>
      <c r="P266" s="1" t="s">
        <v>1326</v>
      </c>
      <c r="Q266" s="1"/>
      <c r="R266" s="1"/>
      <c r="S266" s="1"/>
      <c r="T266" s="1"/>
      <c r="U266" s="1">
        <v>1</v>
      </c>
      <c r="V266" s="1"/>
      <c r="W266" s="1">
        <v>1</v>
      </c>
      <c r="Y266" t="s">
        <v>7</v>
      </c>
      <c r="Z266" t="s">
        <v>4316</v>
      </c>
      <c r="AA266" t="s">
        <v>4317</v>
      </c>
      <c r="AB266" t="s">
        <v>4727</v>
      </c>
      <c r="AC266" t="s">
        <v>4502</v>
      </c>
      <c r="AD266" s="18">
        <v>46112</v>
      </c>
    </row>
    <row r="267" spans="1:30" ht="195" hidden="1">
      <c r="A267" s="1" t="s">
        <v>965</v>
      </c>
      <c r="B267" s="1">
        <v>1266</v>
      </c>
      <c r="C267" s="1">
        <v>5</v>
      </c>
      <c r="D267" s="1">
        <v>38</v>
      </c>
      <c r="E267" s="1" t="s">
        <v>4290</v>
      </c>
      <c r="F267" s="1" t="s">
        <v>4291</v>
      </c>
      <c r="G267" s="1" t="s">
        <v>4294</v>
      </c>
      <c r="H267" s="1" t="s">
        <v>1327</v>
      </c>
      <c r="I267" s="1" t="s">
        <v>1328</v>
      </c>
      <c r="J267" s="1" t="s">
        <v>1329</v>
      </c>
      <c r="K267" s="1" t="s">
        <v>1330</v>
      </c>
      <c r="L267" s="1" t="s">
        <v>1331</v>
      </c>
      <c r="M267" s="1" t="s">
        <v>1332</v>
      </c>
      <c r="N267" s="1"/>
      <c r="O267" s="1" t="s">
        <v>11</v>
      </c>
      <c r="P267" s="1" t="s">
        <v>1333</v>
      </c>
      <c r="Q267" s="1"/>
      <c r="R267" s="1"/>
      <c r="S267" s="1"/>
      <c r="T267" s="1"/>
      <c r="U267" s="1"/>
      <c r="V267" s="1"/>
      <c r="W267" s="1"/>
      <c r="Y267" t="s">
        <v>11</v>
      </c>
      <c r="Z267" t="s">
        <v>4316</v>
      </c>
      <c r="AA267" t="s">
        <v>4317</v>
      </c>
      <c r="AB267" t="s">
        <v>4728</v>
      </c>
      <c r="AC267" t="s">
        <v>4661</v>
      </c>
      <c r="AD267" s="18">
        <v>46112</v>
      </c>
    </row>
    <row r="268" spans="1:30" ht="90" hidden="1">
      <c r="A268" s="1" t="s">
        <v>965</v>
      </c>
      <c r="B268" s="1">
        <v>1267</v>
      </c>
      <c r="C268" s="1">
        <v>5</v>
      </c>
      <c r="D268" s="1">
        <v>39</v>
      </c>
      <c r="E268" s="1" t="s">
        <v>4297</v>
      </c>
      <c r="F268" s="1" t="s">
        <v>4300</v>
      </c>
      <c r="G268" s="1" t="s">
        <v>20</v>
      </c>
      <c r="H268" s="1" t="s">
        <v>1334</v>
      </c>
      <c r="I268" s="1" t="s">
        <v>1335</v>
      </c>
      <c r="J268" s="1" t="s">
        <v>1336</v>
      </c>
      <c r="K268" s="1" t="s">
        <v>1337</v>
      </c>
      <c r="L268" s="1" t="s">
        <v>1338</v>
      </c>
      <c r="M268" s="1"/>
      <c r="N268" s="1"/>
      <c r="O268" s="1" t="s">
        <v>9</v>
      </c>
      <c r="P268" s="1" t="s">
        <v>1339</v>
      </c>
      <c r="Q268" s="1"/>
      <c r="R268" s="1"/>
      <c r="S268" s="1"/>
      <c r="T268" s="1"/>
      <c r="U268" s="1">
        <v>1</v>
      </c>
      <c r="V268" s="1"/>
      <c r="W268" s="1">
        <v>1</v>
      </c>
      <c r="Y268" t="s">
        <v>9</v>
      </c>
      <c r="Z268" t="s">
        <v>4316</v>
      </c>
      <c r="AA268" t="s">
        <v>4317</v>
      </c>
      <c r="AB268" t="s">
        <v>4729</v>
      </c>
      <c r="AC268" t="s">
        <v>4338</v>
      </c>
      <c r="AD268" s="18">
        <v>46112</v>
      </c>
    </row>
    <row r="269" spans="1:30" ht="165" hidden="1">
      <c r="A269" s="1" t="s">
        <v>965</v>
      </c>
      <c r="B269" s="1">
        <v>1268</v>
      </c>
      <c r="C269" s="1">
        <v>5</v>
      </c>
      <c r="D269" s="1">
        <v>40</v>
      </c>
      <c r="E269" s="1" t="s">
        <v>4297</v>
      </c>
      <c r="F269" s="1" t="s">
        <v>4300</v>
      </c>
      <c r="G269" s="1" t="s">
        <v>20</v>
      </c>
      <c r="H269" s="1" t="s">
        <v>1340</v>
      </c>
      <c r="I269" s="1" t="s">
        <v>1341</v>
      </c>
      <c r="J269" s="1" t="s">
        <v>1342</v>
      </c>
      <c r="K269" s="1" t="s">
        <v>1343</v>
      </c>
      <c r="L269" s="1" t="s">
        <v>1344</v>
      </c>
      <c r="M269" s="1" t="s">
        <v>1345</v>
      </c>
      <c r="N269" s="1"/>
      <c r="O269" s="1" t="s">
        <v>7</v>
      </c>
      <c r="P269" s="1" t="s">
        <v>1346</v>
      </c>
      <c r="Q269" s="1"/>
      <c r="R269" s="1"/>
      <c r="S269" s="1"/>
      <c r="T269" s="1"/>
      <c r="U269" s="1">
        <v>1</v>
      </c>
      <c r="V269" s="1"/>
      <c r="W269" s="1">
        <v>1</v>
      </c>
      <c r="Y269" t="s">
        <v>7</v>
      </c>
      <c r="Z269" t="s">
        <v>4316</v>
      </c>
      <c r="AA269" t="s">
        <v>4317</v>
      </c>
      <c r="AB269" t="s">
        <v>4730</v>
      </c>
      <c r="AC269" t="s">
        <v>4338</v>
      </c>
      <c r="AD269" s="18">
        <v>46112</v>
      </c>
    </row>
    <row r="270" spans="1:30" ht="45" hidden="1">
      <c r="A270" s="1" t="s">
        <v>965</v>
      </c>
      <c r="B270" s="1">
        <v>1269</v>
      </c>
      <c r="C270" s="1">
        <v>5</v>
      </c>
      <c r="D270" s="1">
        <v>41</v>
      </c>
      <c r="E270" s="1" t="s">
        <v>4297</v>
      </c>
      <c r="F270" s="1" t="s">
        <v>4298</v>
      </c>
      <c r="G270" s="1" t="s">
        <v>20</v>
      </c>
      <c r="H270" s="1" t="s">
        <v>1347</v>
      </c>
      <c r="I270" s="1" t="s">
        <v>1351</v>
      </c>
      <c r="J270" s="1" t="s">
        <v>1352</v>
      </c>
      <c r="K270" s="1" t="s">
        <v>1350</v>
      </c>
      <c r="L270" s="1" t="s">
        <v>1348</v>
      </c>
      <c r="M270" s="1" t="s">
        <v>1173</v>
      </c>
      <c r="N270" s="1"/>
      <c r="O270" s="1" t="s">
        <v>10</v>
      </c>
      <c r="P270" s="1" t="s">
        <v>1349</v>
      </c>
      <c r="Q270" s="1"/>
      <c r="R270" s="1"/>
      <c r="S270" s="1"/>
      <c r="T270" s="1"/>
      <c r="U270" s="1"/>
      <c r="V270" s="1"/>
      <c r="W270" s="1"/>
      <c r="Y270" t="s">
        <v>10</v>
      </c>
      <c r="Z270" t="s">
        <v>4316</v>
      </c>
      <c r="AA270" t="s">
        <v>4317</v>
      </c>
      <c r="AB270" t="s">
        <v>4731</v>
      </c>
      <c r="AC270" t="s">
        <v>4327</v>
      </c>
      <c r="AD270" s="18">
        <v>46112</v>
      </c>
    </row>
    <row r="271" spans="1:30" ht="120" hidden="1">
      <c r="A271" s="1" t="s">
        <v>965</v>
      </c>
      <c r="B271" s="1">
        <v>1270</v>
      </c>
      <c r="C271" s="1">
        <v>5</v>
      </c>
      <c r="D271" s="1">
        <v>42</v>
      </c>
      <c r="E271" s="1" t="s">
        <v>4292</v>
      </c>
      <c r="F271" s="1" t="s">
        <v>4303</v>
      </c>
      <c r="G271" s="1" t="s">
        <v>20</v>
      </c>
      <c r="H271" s="1" t="s">
        <v>1358</v>
      </c>
      <c r="I271" s="1" t="s">
        <v>1353</v>
      </c>
      <c r="J271" s="1" t="s">
        <v>1354</v>
      </c>
      <c r="K271" s="1" t="s">
        <v>1355</v>
      </c>
      <c r="L271" s="1" t="s">
        <v>1356</v>
      </c>
      <c r="M271" s="1" t="s">
        <v>1357</v>
      </c>
      <c r="N271" s="1"/>
      <c r="O271" s="1" t="s">
        <v>7</v>
      </c>
      <c r="P271" s="1" t="s">
        <v>1359</v>
      </c>
      <c r="Q271" s="1"/>
      <c r="R271" s="1"/>
      <c r="S271" s="1"/>
      <c r="T271" s="1">
        <v>1</v>
      </c>
      <c r="U271" s="1">
        <v>1</v>
      </c>
      <c r="V271" s="1"/>
      <c r="W271" s="1">
        <v>1</v>
      </c>
      <c r="Y271" t="s">
        <v>7</v>
      </c>
      <c r="Z271" t="s">
        <v>4316</v>
      </c>
      <c r="AA271" t="s">
        <v>4317</v>
      </c>
      <c r="AB271" t="s">
        <v>4732</v>
      </c>
      <c r="AC271" t="s">
        <v>4567</v>
      </c>
      <c r="AD271" s="18">
        <v>46112</v>
      </c>
    </row>
    <row r="272" spans="1:30" ht="105" hidden="1">
      <c r="A272" s="1" t="s">
        <v>965</v>
      </c>
      <c r="B272" s="1">
        <v>1271</v>
      </c>
      <c r="C272" s="1">
        <v>5</v>
      </c>
      <c r="D272" s="1">
        <v>43</v>
      </c>
      <c r="E272" s="1" t="s">
        <v>4297</v>
      </c>
      <c r="F272" s="1" t="s">
        <v>4298</v>
      </c>
      <c r="G272" s="1" t="s">
        <v>20</v>
      </c>
      <c r="H272" s="1" t="s">
        <v>1360</v>
      </c>
      <c r="I272" s="1" t="s">
        <v>130</v>
      </c>
      <c r="J272" s="1" t="s">
        <v>129</v>
      </c>
      <c r="K272" s="1" t="s">
        <v>132</v>
      </c>
      <c r="L272" s="1" t="s">
        <v>131</v>
      </c>
      <c r="M272" s="1" t="s">
        <v>133</v>
      </c>
      <c r="N272" s="1"/>
      <c r="O272" s="1" t="s">
        <v>7</v>
      </c>
      <c r="P272" s="1" t="s">
        <v>1361</v>
      </c>
      <c r="Q272" s="1"/>
      <c r="R272" s="1"/>
      <c r="S272" s="1"/>
      <c r="T272" s="1">
        <v>1</v>
      </c>
      <c r="U272" s="1">
        <v>1</v>
      </c>
      <c r="V272" s="1"/>
      <c r="W272" s="1">
        <v>1</v>
      </c>
      <c r="Y272" t="s">
        <v>7</v>
      </c>
      <c r="Z272" t="s">
        <v>4316</v>
      </c>
      <c r="AA272" t="s">
        <v>4317</v>
      </c>
      <c r="AB272" t="s">
        <v>4733</v>
      </c>
      <c r="AC272" t="s">
        <v>4433</v>
      </c>
      <c r="AD272" s="18">
        <v>46112</v>
      </c>
    </row>
    <row r="273" spans="1:30" ht="105" hidden="1">
      <c r="A273" s="1" t="s">
        <v>965</v>
      </c>
      <c r="B273" s="1">
        <v>1272</v>
      </c>
      <c r="C273" s="1">
        <v>5</v>
      </c>
      <c r="D273" s="1">
        <v>44</v>
      </c>
      <c r="E273" s="1" t="s">
        <v>4297</v>
      </c>
      <c r="F273" s="1" t="s">
        <v>4298</v>
      </c>
      <c r="G273" s="1" t="s">
        <v>20</v>
      </c>
      <c r="H273" s="1" t="s">
        <v>1362</v>
      </c>
      <c r="I273" s="1" t="s">
        <v>130</v>
      </c>
      <c r="J273" s="1" t="s">
        <v>129</v>
      </c>
      <c r="K273" s="1" t="s">
        <v>132</v>
      </c>
      <c r="L273" s="1" t="s">
        <v>131</v>
      </c>
      <c r="M273" s="1" t="s">
        <v>133</v>
      </c>
      <c r="N273" s="1"/>
      <c r="O273" s="1" t="s">
        <v>8</v>
      </c>
      <c r="P273" s="1" t="s">
        <v>1363</v>
      </c>
      <c r="Q273" s="1"/>
      <c r="R273" s="1"/>
      <c r="S273" s="1"/>
      <c r="T273" s="1">
        <v>1</v>
      </c>
      <c r="U273" s="1">
        <v>1</v>
      </c>
      <c r="V273" s="1"/>
      <c r="W273" s="1">
        <v>1</v>
      </c>
      <c r="Y273" t="s">
        <v>8</v>
      </c>
      <c r="Z273" t="s">
        <v>4316</v>
      </c>
      <c r="AA273" t="s">
        <v>4317</v>
      </c>
      <c r="AB273" t="s">
        <v>4734</v>
      </c>
      <c r="AC273" t="s">
        <v>4433</v>
      </c>
      <c r="AD273" s="18">
        <v>46112</v>
      </c>
    </row>
    <row r="274" spans="1:30" ht="90" hidden="1">
      <c r="A274" s="1" t="s">
        <v>965</v>
      </c>
      <c r="B274" s="1">
        <v>1273</v>
      </c>
      <c r="C274" s="1">
        <v>5</v>
      </c>
      <c r="D274" s="1">
        <v>45</v>
      </c>
      <c r="E274" s="1" t="s">
        <v>4295</v>
      </c>
      <c r="F274" s="1" t="s">
        <v>4296</v>
      </c>
      <c r="G274" s="1" t="s">
        <v>4294</v>
      </c>
      <c r="H274" s="1" t="s">
        <v>1364</v>
      </c>
      <c r="I274" s="1" t="s">
        <v>1365</v>
      </c>
      <c r="J274" s="1" t="s">
        <v>1366</v>
      </c>
      <c r="K274" s="1" t="s">
        <v>1367</v>
      </c>
      <c r="L274" s="1" t="s">
        <v>1368</v>
      </c>
      <c r="M274" s="1" t="s">
        <v>1369</v>
      </c>
      <c r="N274" s="1"/>
      <c r="O274" s="1" t="s">
        <v>8</v>
      </c>
      <c r="P274" s="1" t="s">
        <v>1370</v>
      </c>
      <c r="Q274" s="1"/>
      <c r="R274" s="1"/>
      <c r="S274" s="1"/>
      <c r="T274" s="1"/>
      <c r="U274" s="1"/>
      <c r="V274" s="1"/>
      <c r="W274" s="1"/>
      <c r="Y274" t="s">
        <v>8</v>
      </c>
      <c r="Z274" t="s">
        <v>4316</v>
      </c>
      <c r="AA274" t="s">
        <v>4317</v>
      </c>
      <c r="AB274" t="s">
        <v>4735</v>
      </c>
      <c r="AC274" t="s">
        <v>4441</v>
      </c>
      <c r="AD274" s="18">
        <v>46112</v>
      </c>
    </row>
    <row r="275" spans="1:30" ht="105" hidden="1">
      <c r="A275" s="1" t="s">
        <v>965</v>
      </c>
      <c r="B275" s="1">
        <v>1274</v>
      </c>
      <c r="C275" s="1">
        <v>5</v>
      </c>
      <c r="D275" s="1">
        <v>46</v>
      </c>
      <c r="E275" s="1" t="s">
        <v>4292</v>
      </c>
      <c r="F275" s="1" t="s">
        <v>4293</v>
      </c>
      <c r="G275" s="1" t="s">
        <v>40</v>
      </c>
      <c r="H275" s="1" t="s">
        <v>1371</v>
      </c>
      <c r="I275" s="1" t="s">
        <v>1372</v>
      </c>
      <c r="J275" s="1" t="s">
        <v>1373</v>
      </c>
      <c r="K275" s="1" t="s">
        <v>1374</v>
      </c>
      <c r="L275" s="1" t="s">
        <v>1375</v>
      </c>
      <c r="M275" s="1" t="s">
        <v>1376</v>
      </c>
      <c r="N275" s="1"/>
      <c r="O275" s="1" t="s">
        <v>10</v>
      </c>
      <c r="P275" s="1" t="s">
        <v>1377</v>
      </c>
      <c r="Q275" s="1"/>
      <c r="R275" s="1"/>
      <c r="S275" s="1"/>
      <c r="T275" s="1"/>
      <c r="U275" s="1"/>
      <c r="V275" s="1"/>
      <c r="W275" s="1"/>
      <c r="Y275" t="s">
        <v>10</v>
      </c>
      <c r="Z275" t="s">
        <v>4316</v>
      </c>
      <c r="AA275" t="s">
        <v>4317</v>
      </c>
      <c r="AB275" t="s">
        <v>4736</v>
      </c>
      <c r="AC275" t="s">
        <v>4382</v>
      </c>
      <c r="AD275" s="18">
        <v>46112</v>
      </c>
    </row>
    <row r="276" spans="1:30" ht="120" hidden="1">
      <c r="A276" s="1" t="s">
        <v>965</v>
      </c>
      <c r="B276" s="1">
        <v>1275</v>
      </c>
      <c r="C276" s="1">
        <v>5</v>
      </c>
      <c r="D276" s="1">
        <v>47</v>
      </c>
      <c r="E276" s="1" t="s">
        <v>4295</v>
      </c>
      <c r="F276" s="1" t="s">
        <v>4296</v>
      </c>
      <c r="G276" s="1" t="s">
        <v>4294</v>
      </c>
      <c r="H276" s="1" t="s">
        <v>1378</v>
      </c>
      <c r="I276" s="1" t="s">
        <v>1379</v>
      </c>
      <c r="J276" s="1" t="s">
        <v>1380</v>
      </c>
      <c r="K276" s="1" t="s">
        <v>1381</v>
      </c>
      <c r="L276" s="1" t="s">
        <v>1382</v>
      </c>
      <c r="M276" s="1" t="s">
        <v>1383</v>
      </c>
      <c r="N276" s="1"/>
      <c r="O276" s="1" t="s">
        <v>8</v>
      </c>
      <c r="P276" s="1" t="s">
        <v>1384</v>
      </c>
      <c r="Q276" s="1"/>
      <c r="R276" s="1"/>
      <c r="S276" s="1"/>
      <c r="T276" s="1"/>
      <c r="U276" s="1">
        <v>1</v>
      </c>
      <c r="V276" s="1"/>
      <c r="W276" s="1">
        <v>1</v>
      </c>
      <c r="Y276" t="s">
        <v>8</v>
      </c>
      <c r="Z276" t="s">
        <v>4316</v>
      </c>
      <c r="AA276" t="s">
        <v>4317</v>
      </c>
      <c r="AB276" t="s">
        <v>4737</v>
      </c>
      <c r="AC276" t="s">
        <v>4444</v>
      </c>
      <c r="AD276" s="18">
        <v>46112</v>
      </c>
    </row>
    <row r="277" spans="1:30" ht="120" hidden="1">
      <c r="A277" s="1" t="s">
        <v>965</v>
      </c>
      <c r="B277" s="1">
        <v>1276</v>
      </c>
      <c r="C277" s="1">
        <v>5</v>
      </c>
      <c r="D277" s="1">
        <v>48</v>
      </c>
      <c r="E277" s="1" t="s">
        <v>4295</v>
      </c>
      <c r="F277" s="1" t="s">
        <v>4296</v>
      </c>
      <c r="G277" s="1" t="s">
        <v>4294</v>
      </c>
      <c r="H277" s="1" t="s">
        <v>1385</v>
      </c>
      <c r="I277" s="1" t="s">
        <v>1386</v>
      </c>
      <c r="J277" s="1" t="s">
        <v>1387</v>
      </c>
      <c r="K277" s="1" t="s">
        <v>1388</v>
      </c>
      <c r="L277" s="1" t="s">
        <v>1389</v>
      </c>
      <c r="M277" s="1" t="s">
        <v>1390</v>
      </c>
      <c r="N277" s="1"/>
      <c r="O277" s="1" t="s">
        <v>10</v>
      </c>
      <c r="P277" s="1" t="s">
        <v>1391</v>
      </c>
      <c r="Q277" s="1"/>
      <c r="R277" s="1"/>
      <c r="S277" s="1"/>
      <c r="T277" s="1"/>
      <c r="U277" s="1">
        <v>1</v>
      </c>
      <c r="V277" s="1"/>
      <c r="W277" s="1">
        <v>1</v>
      </c>
      <c r="Y277" t="s">
        <v>10</v>
      </c>
      <c r="Z277" t="s">
        <v>4316</v>
      </c>
      <c r="AA277" t="s">
        <v>4317</v>
      </c>
      <c r="AB277" t="s">
        <v>4738</v>
      </c>
      <c r="AC277" t="s">
        <v>4444</v>
      </c>
      <c r="AD277" s="18">
        <v>46112</v>
      </c>
    </row>
    <row r="278" spans="1:30" ht="255" hidden="1">
      <c r="A278" s="1" t="s">
        <v>965</v>
      </c>
      <c r="B278" s="1">
        <v>1277</v>
      </c>
      <c r="C278" s="1">
        <v>5</v>
      </c>
      <c r="D278" s="1">
        <v>49</v>
      </c>
      <c r="E278" s="1" t="s">
        <v>4292</v>
      </c>
      <c r="F278" s="1" t="s">
        <v>4303</v>
      </c>
      <c r="G278" s="1" t="s">
        <v>4294</v>
      </c>
      <c r="H278" s="1" t="s">
        <v>1392</v>
      </c>
      <c r="I278" s="1" t="s">
        <v>1393</v>
      </c>
      <c r="J278" s="1" t="s">
        <v>1394</v>
      </c>
      <c r="K278" s="1" t="s">
        <v>1395</v>
      </c>
      <c r="L278" s="1" t="s">
        <v>1396</v>
      </c>
      <c r="M278" s="1" t="s">
        <v>1397</v>
      </c>
      <c r="N278" s="1"/>
      <c r="O278" s="1" t="s">
        <v>9</v>
      </c>
      <c r="P278" s="1" t="s">
        <v>1398</v>
      </c>
      <c r="Q278" s="1"/>
      <c r="R278" s="1"/>
      <c r="S278" s="1"/>
      <c r="T278" s="1">
        <v>1</v>
      </c>
      <c r="U278" s="1">
        <v>1</v>
      </c>
      <c r="V278" s="1"/>
      <c r="W278" s="1">
        <v>1</v>
      </c>
      <c r="Y278" t="s">
        <v>9</v>
      </c>
      <c r="Z278" t="s">
        <v>4316</v>
      </c>
      <c r="AA278" t="s">
        <v>4317</v>
      </c>
      <c r="AB278" t="s">
        <v>4739</v>
      </c>
      <c r="AC278" t="s">
        <v>4369</v>
      </c>
      <c r="AD278" s="18">
        <v>46112</v>
      </c>
    </row>
    <row r="279" spans="1:30" ht="120" hidden="1">
      <c r="A279" s="1" t="s">
        <v>965</v>
      </c>
      <c r="B279" s="1">
        <v>1278</v>
      </c>
      <c r="C279" s="1">
        <v>5</v>
      </c>
      <c r="D279" s="1">
        <v>50</v>
      </c>
      <c r="E279" s="1" t="s">
        <v>4295</v>
      </c>
      <c r="F279" s="1" t="s">
        <v>4296</v>
      </c>
      <c r="G279" s="1" t="s">
        <v>40</v>
      </c>
      <c r="H279" s="1" t="s">
        <v>1399</v>
      </c>
      <c r="I279" s="1" t="s">
        <v>1400</v>
      </c>
      <c r="J279" s="1" t="s">
        <v>1401</v>
      </c>
      <c r="K279" s="1" t="s">
        <v>1402</v>
      </c>
      <c r="L279" s="1" t="s">
        <v>1403</v>
      </c>
      <c r="M279" s="1" t="s">
        <v>1404</v>
      </c>
      <c r="N279" s="1"/>
      <c r="O279" s="1" t="s">
        <v>10</v>
      </c>
      <c r="P279" s="1" t="s">
        <v>1405</v>
      </c>
      <c r="Q279" s="1"/>
      <c r="R279" s="1"/>
      <c r="S279" s="1"/>
      <c r="T279" s="1"/>
      <c r="U279" s="1">
        <v>1</v>
      </c>
      <c r="V279" s="1"/>
      <c r="W279" s="1">
        <v>1</v>
      </c>
      <c r="Y279" t="s">
        <v>10</v>
      </c>
      <c r="Z279" t="s">
        <v>4316</v>
      </c>
      <c r="AA279" t="s">
        <v>4317</v>
      </c>
      <c r="AB279" t="s">
        <v>4740</v>
      </c>
      <c r="AC279" t="s">
        <v>4377</v>
      </c>
      <c r="AD279" s="18">
        <v>46112</v>
      </c>
    </row>
    <row r="280" spans="1:30" ht="165" hidden="1">
      <c r="A280" s="1" t="s">
        <v>965</v>
      </c>
      <c r="B280" s="1">
        <v>1279</v>
      </c>
      <c r="C280" s="1">
        <v>5</v>
      </c>
      <c r="D280" s="1">
        <v>51</v>
      </c>
      <c r="E280" s="1" t="s">
        <v>4295</v>
      </c>
      <c r="F280" s="1" t="s">
        <v>4309</v>
      </c>
      <c r="G280" s="1" t="s">
        <v>20</v>
      </c>
      <c r="H280" s="1" t="s">
        <v>1406</v>
      </c>
      <c r="I280" s="1" t="s">
        <v>1407</v>
      </c>
      <c r="J280" s="1" t="s">
        <v>1408</v>
      </c>
      <c r="K280" s="1" t="s">
        <v>1409</v>
      </c>
      <c r="L280" s="1" t="s">
        <v>1410</v>
      </c>
      <c r="M280" s="1" t="s">
        <v>1411</v>
      </c>
      <c r="N280" s="1"/>
      <c r="O280" s="1" t="s">
        <v>11</v>
      </c>
      <c r="P280" s="1" t="s">
        <v>1412</v>
      </c>
      <c r="Q280" s="1"/>
      <c r="R280" s="1"/>
      <c r="S280" s="1"/>
      <c r="T280" s="1"/>
      <c r="U280" s="1">
        <v>1</v>
      </c>
      <c r="V280" s="1"/>
      <c r="W280" s="1">
        <v>1</v>
      </c>
      <c r="Y280" t="s">
        <v>11</v>
      </c>
      <c r="Z280" t="s">
        <v>4316</v>
      </c>
      <c r="AA280" t="s">
        <v>4317</v>
      </c>
      <c r="AB280" t="s">
        <v>4741</v>
      </c>
      <c r="AC280" t="s">
        <v>4369</v>
      </c>
      <c r="AD280" s="18">
        <v>46112</v>
      </c>
    </row>
    <row r="281" spans="1:30" ht="255" hidden="1">
      <c r="A281" s="1" t="s">
        <v>965</v>
      </c>
      <c r="B281" s="1">
        <v>1280</v>
      </c>
      <c r="C281" s="1">
        <v>5</v>
      </c>
      <c r="D281" s="1">
        <v>52</v>
      </c>
      <c r="E281" s="1" t="s">
        <v>4290</v>
      </c>
      <c r="F281" s="1" t="s">
        <v>4302</v>
      </c>
      <c r="G281" s="1" t="s">
        <v>4294</v>
      </c>
      <c r="H281" s="1" t="s">
        <v>1413</v>
      </c>
      <c r="I281" s="1" t="s">
        <v>1414</v>
      </c>
      <c r="J281" s="1" t="s">
        <v>1415</v>
      </c>
      <c r="K281" s="1" t="s">
        <v>1416</v>
      </c>
      <c r="L281" s="1" t="s">
        <v>1417</v>
      </c>
      <c r="M281" s="1" t="s">
        <v>1418</v>
      </c>
      <c r="N281" s="1"/>
      <c r="O281" s="1" t="s">
        <v>10</v>
      </c>
      <c r="P281" s="1" t="s">
        <v>1419</v>
      </c>
      <c r="Q281" s="1"/>
      <c r="R281" s="1"/>
      <c r="S281" s="1"/>
      <c r="T281" s="1">
        <v>1</v>
      </c>
      <c r="U281" s="1">
        <v>1</v>
      </c>
      <c r="V281" s="1"/>
      <c r="W281" s="1">
        <v>1</v>
      </c>
      <c r="Y281" t="s">
        <v>10</v>
      </c>
      <c r="Z281" t="s">
        <v>4316</v>
      </c>
      <c r="AA281" t="s">
        <v>4317</v>
      </c>
      <c r="AB281" t="s">
        <v>4742</v>
      </c>
      <c r="AC281" t="s">
        <v>4369</v>
      </c>
      <c r="AD281" s="18">
        <v>46112</v>
      </c>
    </row>
    <row r="282" spans="1:30" ht="409.5" hidden="1">
      <c r="A282" s="1" t="s">
        <v>965</v>
      </c>
      <c r="B282" s="1">
        <v>1281</v>
      </c>
      <c r="C282" s="1">
        <v>5</v>
      </c>
      <c r="D282" s="1">
        <v>53</v>
      </c>
      <c r="E282" s="1" t="s">
        <v>4292</v>
      </c>
      <c r="F282" s="1" t="s">
        <v>4293</v>
      </c>
      <c r="G282" s="1" t="s">
        <v>40</v>
      </c>
      <c r="H282" s="1" t="s">
        <v>1420</v>
      </c>
      <c r="I282" s="1" t="s">
        <v>1421</v>
      </c>
      <c r="J282" s="1" t="s">
        <v>1422</v>
      </c>
      <c r="K282" s="1" t="s">
        <v>1423</v>
      </c>
      <c r="L282" s="1" t="s">
        <v>708</v>
      </c>
      <c r="M282" s="1" t="s">
        <v>1424</v>
      </c>
      <c r="N282" s="1"/>
      <c r="O282" s="1" t="s">
        <v>8</v>
      </c>
      <c r="P282" s="1" t="s">
        <v>1425</v>
      </c>
      <c r="Q282" s="1"/>
      <c r="R282" s="1"/>
      <c r="S282" s="1"/>
      <c r="T282" s="1"/>
      <c r="U282" s="1">
        <v>1</v>
      </c>
      <c r="V282" s="1"/>
      <c r="W282" s="1">
        <v>1</v>
      </c>
      <c r="Y282" t="s">
        <v>8</v>
      </c>
      <c r="Z282" t="s">
        <v>4316</v>
      </c>
      <c r="AA282" t="s">
        <v>4317</v>
      </c>
      <c r="AB282" t="s">
        <v>4743</v>
      </c>
      <c r="AC282" t="s">
        <v>4350</v>
      </c>
      <c r="AD282" s="18">
        <v>46112</v>
      </c>
    </row>
    <row r="283" spans="1:30" ht="90" hidden="1">
      <c r="A283" s="1" t="s">
        <v>965</v>
      </c>
      <c r="B283" s="1">
        <v>1282</v>
      </c>
      <c r="C283" s="1">
        <v>5</v>
      </c>
      <c r="D283" s="1">
        <v>54</v>
      </c>
      <c r="E283" s="1" t="s">
        <v>4295</v>
      </c>
      <c r="F283" s="1" t="s">
        <v>4296</v>
      </c>
      <c r="G283" s="1" t="s">
        <v>4294</v>
      </c>
      <c r="H283" s="1" t="s">
        <v>1426</v>
      </c>
      <c r="I283" s="1" t="s">
        <v>1427</v>
      </c>
      <c r="J283" s="1" t="s">
        <v>1428</v>
      </c>
      <c r="K283" s="1" t="s">
        <v>1084</v>
      </c>
      <c r="L283" s="1" t="s">
        <v>1429</v>
      </c>
      <c r="M283" s="1" t="s">
        <v>1430</v>
      </c>
      <c r="N283" s="1"/>
      <c r="O283" s="1" t="s">
        <v>8</v>
      </c>
      <c r="P283" s="1" t="s">
        <v>1431</v>
      </c>
      <c r="Q283" s="1"/>
      <c r="R283" s="1"/>
      <c r="S283" s="1"/>
      <c r="T283" s="1">
        <v>1</v>
      </c>
      <c r="U283" s="1">
        <v>1</v>
      </c>
      <c r="V283" s="1"/>
      <c r="W283" s="1">
        <v>1</v>
      </c>
      <c r="Y283" t="s">
        <v>8</v>
      </c>
      <c r="Z283" t="s">
        <v>4316</v>
      </c>
      <c r="AA283" t="s">
        <v>4317</v>
      </c>
      <c r="AB283" t="s">
        <v>4744</v>
      </c>
      <c r="AC283" t="s">
        <v>4369</v>
      </c>
      <c r="AD283" s="18">
        <v>46112</v>
      </c>
    </row>
    <row r="284" spans="1:30" ht="60" hidden="1">
      <c r="A284" s="1" t="s">
        <v>965</v>
      </c>
      <c r="B284" s="1">
        <v>1283</v>
      </c>
      <c r="C284" s="1">
        <v>5</v>
      </c>
      <c r="D284" s="1">
        <v>55</v>
      </c>
      <c r="E284" s="1" t="s">
        <v>4305</v>
      </c>
      <c r="F284" s="1" t="s">
        <v>4307</v>
      </c>
      <c r="G284" s="1" t="s">
        <v>20</v>
      </c>
      <c r="H284" s="1" t="s">
        <v>1432</v>
      </c>
      <c r="I284" s="1" t="s">
        <v>1433</v>
      </c>
      <c r="J284" s="1" t="s">
        <v>1434</v>
      </c>
      <c r="K284" s="1" t="s">
        <v>1435</v>
      </c>
      <c r="L284" s="1" t="s">
        <v>1436</v>
      </c>
      <c r="M284" s="1" t="s">
        <v>1437</v>
      </c>
      <c r="N284" s="1"/>
      <c r="O284" s="1" t="s">
        <v>11</v>
      </c>
      <c r="P284" s="1" t="s">
        <v>1438</v>
      </c>
      <c r="Q284" s="1"/>
      <c r="R284" s="1"/>
      <c r="S284" s="1"/>
      <c r="T284" s="1"/>
      <c r="U284" s="1"/>
      <c r="V284" s="1"/>
      <c r="W284" s="1"/>
      <c r="Y284" t="s">
        <v>11</v>
      </c>
      <c r="Z284" t="s">
        <v>4316</v>
      </c>
      <c r="AA284" t="s">
        <v>4317</v>
      </c>
      <c r="AB284" t="s">
        <v>4745</v>
      </c>
      <c r="AC284" t="s">
        <v>4547</v>
      </c>
      <c r="AD284" s="18">
        <v>46112</v>
      </c>
    </row>
    <row r="285" spans="1:30" ht="30">
      <c r="A285" s="1" t="s">
        <v>965</v>
      </c>
      <c r="B285" s="1">
        <v>1284</v>
      </c>
      <c r="C285" s="1">
        <v>5</v>
      </c>
      <c r="D285" s="1">
        <v>56</v>
      </c>
      <c r="E285" s="1" t="s">
        <v>4305</v>
      </c>
      <c r="F285" s="1" t="s">
        <v>4307</v>
      </c>
      <c r="G285" s="1" t="s">
        <v>20</v>
      </c>
      <c r="H285" s="1" t="s">
        <v>1439</v>
      </c>
      <c r="I285" s="1" t="s">
        <v>1440</v>
      </c>
      <c r="J285" s="1" t="s">
        <v>1441</v>
      </c>
      <c r="K285" s="1" t="s">
        <v>1442</v>
      </c>
      <c r="L285" s="1" t="s">
        <v>489</v>
      </c>
      <c r="M285" s="1" t="s">
        <v>1443</v>
      </c>
      <c r="N285" s="1"/>
      <c r="O285" s="1" t="s">
        <v>9</v>
      </c>
      <c r="P285" s="1" t="s">
        <v>1444</v>
      </c>
      <c r="Q285" s="1"/>
      <c r="R285" s="1"/>
      <c r="S285" s="1"/>
      <c r="T285" s="1">
        <v>1</v>
      </c>
      <c r="U285" s="1">
        <v>1</v>
      </c>
      <c r="V285" s="1"/>
      <c r="W285" s="1">
        <v>1</v>
      </c>
      <c r="Y285" t="s">
        <v>11</v>
      </c>
      <c r="Z285" t="s">
        <v>4331</v>
      </c>
      <c r="AA285" t="s">
        <v>4332</v>
      </c>
      <c r="AB285" t="s">
        <v>4746</v>
      </c>
      <c r="AC285" t="s">
        <v>4547</v>
      </c>
      <c r="AD285" s="18">
        <v>46112</v>
      </c>
    </row>
    <row r="286" spans="1:30" ht="195" hidden="1">
      <c r="A286" s="1" t="s">
        <v>965</v>
      </c>
      <c r="B286" s="1">
        <v>1285</v>
      </c>
      <c r="C286" s="1">
        <v>5</v>
      </c>
      <c r="D286" s="1">
        <v>57</v>
      </c>
      <c r="E286" s="1" t="s">
        <v>4305</v>
      </c>
      <c r="F286" s="1" t="s">
        <v>4307</v>
      </c>
      <c r="G286" s="1" t="s">
        <v>4294</v>
      </c>
      <c r="H286" s="1" t="s">
        <v>1445</v>
      </c>
      <c r="I286" s="1" t="s">
        <v>1446</v>
      </c>
      <c r="J286" s="1" t="s">
        <v>1447</v>
      </c>
      <c r="K286" s="1" t="s">
        <v>1448</v>
      </c>
      <c r="L286" s="1" t="s">
        <v>1449</v>
      </c>
      <c r="M286" s="1" t="s">
        <v>1450</v>
      </c>
      <c r="N286" s="1"/>
      <c r="O286" s="1" t="s">
        <v>8</v>
      </c>
      <c r="P286" s="1" t="s">
        <v>1451</v>
      </c>
      <c r="Q286" s="1"/>
      <c r="R286" s="1"/>
      <c r="S286" s="1"/>
      <c r="T286" s="1"/>
      <c r="U286" s="1"/>
      <c r="V286" s="1"/>
      <c r="W286" s="1"/>
      <c r="Y286" t="s">
        <v>8</v>
      </c>
      <c r="Z286" t="s">
        <v>4316</v>
      </c>
      <c r="AA286" t="s">
        <v>4317</v>
      </c>
      <c r="AB286" t="s">
        <v>4747</v>
      </c>
      <c r="AC286" t="s">
        <v>4478</v>
      </c>
      <c r="AD286" s="18">
        <v>46112</v>
      </c>
    </row>
    <row r="287" spans="1:30" ht="150" hidden="1">
      <c r="A287" s="1" t="s">
        <v>965</v>
      </c>
      <c r="B287" s="1">
        <v>1286</v>
      </c>
      <c r="C287" s="1">
        <v>5</v>
      </c>
      <c r="D287" s="1">
        <v>58</v>
      </c>
      <c r="E287" s="1" t="s">
        <v>4292</v>
      </c>
      <c r="F287" s="1" t="s">
        <v>4293</v>
      </c>
      <c r="G287" s="1" t="s">
        <v>4294</v>
      </c>
      <c r="H287" s="1" t="s">
        <v>1452</v>
      </c>
      <c r="I287" s="1" t="s">
        <v>1453</v>
      </c>
      <c r="J287" s="1" t="s">
        <v>1454</v>
      </c>
      <c r="K287" s="1" t="s">
        <v>1455</v>
      </c>
      <c r="L287" s="1" t="s">
        <v>1456</v>
      </c>
      <c r="M287" s="1" t="s">
        <v>1130</v>
      </c>
      <c r="N287" s="1"/>
      <c r="O287" s="1" t="s">
        <v>8</v>
      </c>
      <c r="P287" s="1" t="s">
        <v>1457</v>
      </c>
      <c r="Q287" s="1"/>
      <c r="R287" s="1"/>
      <c r="S287" s="1"/>
      <c r="T287" s="1"/>
      <c r="U287" s="1"/>
      <c r="V287" s="1"/>
      <c r="W287" s="1">
        <v>1</v>
      </c>
      <c r="Y287" t="s">
        <v>8</v>
      </c>
      <c r="Z287" t="s">
        <v>4316</v>
      </c>
      <c r="AA287" t="s">
        <v>4317</v>
      </c>
      <c r="AB287" t="s">
        <v>4748</v>
      </c>
      <c r="AC287" t="s">
        <v>4441</v>
      </c>
      <c r="AD287" s="18">
        <v>46112</v>
      </c>
    </row>
    <row r="288" spans="1:30" ht="240" hidden="1">
      <c r="A288" s="1" t="s">
        <v>965</v>
      </c>
      <c r="B288" s="1">
        <v>1287</v>
      </c>
      <c r="C288" s="1">
        <v>5</v>
      </c>
      <c r="D288" s="1">
        <v>59</v>
      </c>
      <c r="E288" s="1" t="s">
        <v>4292</v>
      </c>
      <c r="F288" s="1" t="s">
        <v>4293</v>
      </c>
      <c r="G288" s="1" t="s">
        <v>40</v>
      </c>
      <c r="H288" s="1" t="s">
        <v>1458</v>
      </c>
      <c r="I288" s="1" t="s">
        <v>1459</v>
      </c>
      <c r="J288" s="1" t="s">
        <v>1460</v>
      </c>
      <c r="K288" s="1" t="s">
        <v>1461</v>
      </c>
      <c r="L288" s="1" t="s">
        <v>1462</v>
      </c>
      <c r="M288" s="1" t="s">
        <v>1463</v>
      </c>
      <c r="N288" s="1"/>
      <c r="O288" s="1" t="s">
        <v>10</v>
      </c>
      <c r="P288" s="1" t="s">
        <v>1464</v>
      </c>
      <c r="Q288" s="1"/>
      <c r="R288" s="1"/>
      <c r="S288" s="1"/>
      <c r="T288" s="1"/>
      <c r="U288" s="1">
        <v>1</v>
      </c>
      <c r="V288" s="1"/>
      <c r="W288" s="1">
        <v>1</v>
      </c>
      <c r="Y288" t="s">
        <v>10</v>
      </c>
      <c r="Z288" t="s">
        <v>4316</v>
      </c>
      <c r="AA288" t="s">
        <v>4317</v>
      </c>
      <c r="AB288" t="s">
        <v>4749</v>
      </c>
      <c r="AC288" t="s">
        <v>4382</v>
      </c>
      <c r="AD288" s="18">
        <v>46112</v>
      </c>
    </row>
    <row r="289" spans="1:30" ht="90" hidden="1">
      <c r="A289" s="1" t="s">
        <v>965</v>
      </c>
      <c r="B289" s="1">
        <v>1288</v>
      </c>
      <c r="C289" s="1">
        <v>5</v>
      </c>
      <c r="D289" s="1">
        <v>60</v>
      </c>
      <c r="E289" s="1" t="s">
        <v>4290</v>
      </c>
      <c r="F289" s="1" t="s">
        <v>4302</v>
      </c>
      <c r="G289" s="1" t="s">
        <v>20</v>
      </c>
      <c r="H289" s="1" t="s">
        <v>1465</v>
      </c>
      <c r="I289" s="1" t="s">
        <v>1466</v>
      </c>
      <c r="J289" s="1" t="s">
        <v>1467</v>
      </c>
      <c r="K289" s="1" t="s">
        <v>1468</v>
      </c>
      <c r="L289" s="1" t="s">
        <v>1469</v>
      </c>
      <c r="M289" s="1" t="s">
        <v>1470</v>
      </c>
      <c r="N289" s="1"/>
      <c r="O289" s="1" t="s">
        <v>9</v>
      </c>
      <c r="P289" s="1" t="s">
        <v>1471</v>
      </c>
      <c r="Q289" s="1"/>
      <c r="R289" s="1"/>
      <c r="S289" s="1"/>
      <c r="T289" s="1"/>
      <c r="U289" s="1"/>
      <c r="V289" s="1"/>
      <c r="W289" s="1"/>
      <c r="Y289" t="s">
        <v>9</v>
      </c>
      <c r="Z289" t="s">
        <v>4316</v>
      </c>
      <c r="AA289" t="s">
        <v>4317</v>
      </c>
      <c r="AB289" t="s">
        <v>4750</v>
      </c>
      <c r="AC289" t="s">
        <v>4583</v>
      </c>
      <c r="AD289" s="18">
        <v>46112</v>
      </c>
    </row>
    <row r="290" spans="1:30" ht="330" hidden="1">
      <c r="A290" s="1" t="s">
        <v>965</v>
      </c>
      <c r="B290" s="1">
        <v>1289</v>
      </c>
      <c r="C290" s="1">
        <v>6</v>
      </c>
      <c r="D290" s="1">
        <v>1</v>
      </c>
      <c r="E290" s="1" t="s">
        <v>4297</v>
      </c>
      <c r="F290" s="1" t="s">
        <v>4298</v>
      </c>
      <c r="G290" s="1" t="s">
        <v>40</v>
      </c>
      <c r="H290" s="10" t="s">
        <v>3681</v>
      </c>
      <c r="I290" s="1" t="s">
        <v>3683</v>
      </c>
      <c r="J290" s="1" t="s">
        <v>3684</v>
      </c>
      <c r="K290" s="1" t="s">
        <v>3685</v>
      </c>
      <c r="L290" s="1" t="s">
        <v>3686</v>
      </c>
      <c r="M290" s="1" t="s">
        <v>3682</v>
      </c>
      <c r="N290" s="1"/>
      <c r="O290" s="7" t="s">
        <v>8</v>
      </c>
      <c r="P290" s="1" t="s">
        <v>3680</v>
      </c>
      <c r="Q290" s="1"/>
      <c r="R290" s="1"/>
      <c r="S290" s="1"/>
      <c r="T290" s="1"/>
      <c r="U290" s="1"/>
      <c r="V290" s="1"/>
      <c r="W290" s="1"/>
      <c r="Y290" t="s">
        <v>8</v>
      </c>
      <c r="Z290" t="s">
        <v>4316</v>
      </c>
      <c r="AA290" t="s">
        <v>4317</v>
      </c>
      <c r="AB290" t="s">
        <v>4751</v>
      </c>
      <c r="AC290" t="s">
        <v>4330</v>
      </c>
      <c r="AD290" s="18">
        <v>46112</v>
      </c>
    </row>
    <row r="291" spans="1:30" ht="75" hidden="1">
      <c r="A291" s="1" t="s">
        <v>965</v>
      </c>
      <c r="B291" s="1">
        <v>1290</v>
      </c>
      <c r="C291" s="1">
        <v>6</v>
      </c>
      <c r="D291" s="1">
        <v>2</v>
      </c>
      <c r="E291" s="1" t="s">
        <v>4295</v>
      </c>
      <c r="F291" s="1" t="s">
        <v>4296</v>
      </c>
      <c r="G291" s="1" t="s">
        <v>4294</v>
      </c>
      <c r="H291" s="1" t="s">
        <v>1483</v>
      </c>
      <c r="I291" s="1" t="s">
        <v>1484</v>
      </c>
      <c r="J291" s="1" t="s">
        <v>1485</v>
      </c>
      <c r="K291" s="1" t="s">
        <v>1486</v>
      </c>
      <c r="L291" s="1" t="s">
        <v>1487</v>
      </c>
      <c r="M291" s="1" t="s">
        <v>1488</v>
      </c>
      <c r="N291" s="1"/>
      <c r="O291" s="1" t="s">
        <v>11</v>
      </c>
      <c r="P291" s="1" t="s">
        <v>1489</v>
      </c>
      <c r="Q291" s="1"/>
      <c r="R291" s="1"/>
      <c r="S291" s="1"/>
      <c r="T291" s="1"/>
      <c r="U291" s="1">
        <v>1</v>
      </c>
      <c r="V291" s="1"/>
      <c r="W291" s="1">
        <v>1</v>
      </c>
      <c r="Y291" t="s">
        <v>11</v>
      </c>
      <c r="Z291" t="s">
        <v>4316</v>
      </c>
      <c r="AA291" t="s">
        <v>4317</v>
      </c>
      <c r="AB291" t="s">
        <v>4752</v>
      </c>
      <c r="AC291" t="s">
        <v>4444</v>
      </c>
      <c r="AD291" s="18">
        <v>46112</v>
      </c>
    </row>
    <row r="292" spans="1:30" ht="180" hidden="1">
      <c r="A292" s="1" t="s">
        <v>965</v>
      </c>
      <c r="B292" s="1">
        <v>1291</v>
      </c>
      <c r="C292" s="1">
        <v>6</v>
      </c>
      <c r="D292" s="1">
        <v>3</v>
      </c>
      <c r="E292" s="1" t="s">
        <v>4290</v>
      </c>
      <c r="F292" s="1" t="s">
        <v>4291</v>
      </c>
      <c r="G292" s="1" t="s">
        <v>20</v>
      </c>
      <c r="H292" s="1" t="s">
        <v>1490</v>
      </c>
      <c r="I292" s="1" t="s">
        <v>1491</v>
      </c>
      <c r="J292" s="1" t="s">
        <v>1492</v>
      </c>
      <c r="K292" s="1" t="s">
        <v>1493</v>
      </c>
      <c r="L292" s="1" t="s">
        <v>1494</v>
      </c>
      <c r="M292" s="1" t="s">
        <v>1495</v>
      </c>
      <c r="N292" s="1"/>
      <c r="O292" s="1" t="s">
        <v>10</v>
      </c>
      <c r="P292" s="1" t="s">
        <v>1496</v>
      </c>
      <c r="Q292" s="1"/>
      <c r="R292" s="1"/>
      <c r="S292" s="1"/>
      <c r="T292" s="1"/>
      <c r="U292" s="1">
        <v>1</v>
      </c>
      <c r="V292" s="1"/>
      <c r="W292" s="1"/>
      <c r="Y292" t="s">
        <v>10</v>
      </c>
      <c r="Z292" t="s">
        <v>4316</v>
      </c>
      <c r="AA292" t="s">
        <v>4317</v>
      </c>
      <c r="AB292" t="s">
        <v>4753</v>
      </c>
      <c r="AC292" t="s">
        <v>4359</v>
      </c>
      <c r="AD292" s="18">
        <v>46112</v>
      </c>
    </row>
    <row r="293" spans="1:30" ht="75" hidden="1">
      <c r="A293" s="1" t="s">
        <v>965</v>
      </c>
      <c r="B293" s="1">
        <v>1292</v>
      </c>
      <c r="C293" s="1">
        <v>6</v>
      </c>
      <c r="D293" s="1">
        <v>4</v>
      </c>
      <c r="E293" s="1" t="s">
        <v>4292</v>
      </c>
      <c r="F293" s="1" t="s">
        <v>4293</v>
      </c>
      <c r="G293" s="1" t="s">
        <v>20</v>
      </c>
      <c r="H293" s="1" t="s">
        <v>1497</v>
      </c>
      <c r="I293" s="1" t="s">
        <v>1498</v>
      </c>
      <c r="J293" s="1" t="s">
        <v>1499</v>
      </c>
      <c r="K293" s="1" t="s">
        <v>1500</v>
      </c>
      <c r="L293" s="1" t="s">
        <v>1501</v>
      </c>
      <c r="M293" s="1" t="s">
        <v>1502</v>
      </c>
      <c r="N293" s="1"/>
      <c r="O293" s="1" t="s">
        <v>11</v>
      </c>
      <c r="P293" s="1" t="s">
        <v>1503</v>
      </c>
      <c r="Q293" s="1"/>
      <c r="R293" s="1"/>
      <c r="S293" s="1"/>
      <c r="T293" s="1"/>
      <c r="U293" s="1">
        <v>1</v>
      </c>
      <c r="V293" s="1"/>
      <c r="W293" s="1">
        <v>1</v>
      </c>
      <c r="Y293" t="s">
        <v>11</v>
      </c>
      <c r="Z293" t="s">
        <v>4316</v>
      </c>
      <c r="AA293" t="s">
        <v>4317</v>
      </c>
      <c r="AB293" t="s">
        <v>4754</v>
      </c>
      <c r="AC293" t="s">
        <v>4338</v>
      </c>
      <c r="AD293" s="18">
        <v>46112</v>
      </c>
    </row>
    <row r="294" spans="1:30" ht="270" hidden="1">
      <c r="A294" s="1" t="s">
        <v>965</v>
      </c>
      <c r="B294" s="1">
        <v>1293</v>
      </c>
      <c r="C294" s="1">
        <v>6</v>
      </c>
      <c r="D294" s="1">
        <v>5</v>
      </c>
      <c r="E294" s="1" t="s">
        <v>4292</v>
      </c>
      <c r="F294" s="1" t="s">
        <v>4303</v>
      </c>
      <c r="G294" s="1" t="s">
        <v>20</v>
      </c>
      <c r="H294" s="1" t="s">
        <v>1504</v>
      </c>
      <c r="I294" s="1" t="s">
        <v>1130</v>
      </c>
      <c r="J294" s="1" t="s">
        <v>1131</v>
      </c>
      <c r="K294" s="1" t="s">
        <v>1132</v>
      </c>
      <c r="L294" s="1" t="s">
        <v>1133</v>
      </c>
      <c r="M294" s="1" t="s">
        <v>576</v>
      </c>
      <c r="N294" s="1"/>
      <c r="O294" s="1" t="s">
        <v>8</v>
      </c>
      <c r="P294" s="1" t="s">
        <v>1505</v>
      </c>
      <c r="Q294" s="1"/>
      <c r="R294" s="1"/>
      <c r="S294" s="1"/>
      <c r="T294" s="1"/>
      <c r="U294" s="1">
        <v>1</v>
      </c>
      <c r="V294" s="1"/>
      <c r="W294" s="1">
        <v>1</v>
      </c>
      <c r="Y294" t="s">
        <v>8</v>
      </c>
      <c r="Z294" t="s">
        <v>4316</v>
      </c>
      <c r="AA294" t="s">
        <v>4317</v>
      </c>
      <c r="AB294" t="s">
        <v>4755</v>
      </c>
      <c r="AC294" t="s">
        <v>4366</v>
      </c>
      <c r="AD294" s="18">
        <v>46112</v>
      </c>
    </row>
    <row r="295" spans="1:30" ht="150" hidden="1">
      <c r="A295" s="1" t="s">
        <v>965</v>
      </c>
      <c r="B295" s="1">
        <v>1294</v>
      </c>
      <c r="C295" s="1">
        <v>6</v>
      </c>
      <c r="D295" s="1">
        <v>6</v>
      </c>
      <c r="E295" s="1" t="s">
        <v>4295</v>
      </c>
      <c r="F295" s="1" t="s">
        <v>4296</v>
      </c>
      <c r="G295" s="1" t="s">
        <v>4294</v>
      </c>
      <c r="H295" s="1" t="s">
        <v>1506</v>
      </c>
      <c r="I295" s="1" t="s">
        <v>1507</v>
      </c>
      <c r="J295" s="1" t="s">
        <v>1508</v>
      </c>
      <c r="K295" s="1" t="s">
        <v>1509</v>
      </c>
      <c r="L295" s="1" t="s">
        <v>1510</v>
      </c>
      <c r="M295" s="1"/>
      <c r="N295" s="1"/>
      <c r="O295" s="1" t="s">
        <v>8</v>
      </c>
      <c r="P295" s="1" t="s">
        <v>1511</v>
      </c>
      <c r="Q295" s="1"/>
      <c r="R295" s="1"/>
      <c r="S295" s="1"/>
      <c r="T295" s="1"/>
      <c r="U295" s="1"/>
      <c r="V295" s="1"/>
      <c r="W295" s="1"/>
      <c r="Y295" t="s">
        <v>8</v>
      </c>
      <c r="Z295" t="s">
        <v>4316</v>
      </c>
      <c r="AA295" t="s">
        <v>4317</v>
      </c>
      <c r="AB295" t="s">
        <v>4756</v>
      </c>
      <c r="AC295" t="s">
        <v>4382</v>
      </c>
      <c r="AD295" s="18">
        <v>46112</v>
      </c>
    </row>
    <row r="296" spans="1:30" ht="90" hidden="1">
      <c r="A296" s="1" t="s">
        <v>965</v>
      </c>
      <c r="B296" s="1">
        <v>1295</v>
      </c>
      <c r="C296" s="1">
        <v>6</v>
      </c>
      <c r="D296" s="1">
        <v>7</v>
      </c>
      <c r="E296" s="1" t="s">
        <v>4290</v>
      </c>
      <c r="F296" s="1" t="s">
        <v>4302</v>
      </c>
      <c r="G296" s="1" t="s">
        <v>20</v>
      </c>
      <c r="H296" s="1" t="s">
        <v>1512</v>
      </c>
      <c r="I296" s="1" t="s">
        <v>1513</v>
      </c>
      <c r="J296" s="1" t="s">
        <v>1514</v>
      </c>
      <c r="K296" s="1" t="s">
        <v>1515</v>
      </c>
      <c r="L296" s="1" t="s">
        <v>1516</v>
      </c>
      <c r="M296" s="1"/>
      <c r="N296" s="1"/>
      <c r="O296" s="1" t="s">
        <v>8</v>
      </c>
      <c r="P296" s="1" t="s">
        <v>1517</v>
      </c>
      <c r="Q296" s="1"/>
      <c r="R296" s="1"/>
      <c r="S296" s="1"/>
      <c r="T296" s="1"/>
      <c r="U296" s="1"/>
      <c r="V296" s="1"/>
      <c r="W296" s="1"/>
      <c r="Y296" t="s">
        <v>8</v>
      </c>
      <c r="Z296" t="s">
        <v>4316</v>
      </c>
      <c r="AA296" t="s">
        <v>4317</v>
      </c>
      <c r="AB296" t="s">
        <v>4757</v>
      </c>
      <c r="AC296" t="s">
        <v>4366</v>
      </c>
      <c r="AD296" s="18">
        <v>46112</v>
      </c>
    </row>
    <row r="297" spans="1:30" ht="300" hidden="1">
      <c r="A297" s="1" t="s">
        <v>965</v>
      </c>
      <c r="B297" s="1">
        <v>1296</v>
      </c>
      <c r="C297" s="1">
        <v>6</v>
      </c>
      <c r="D297" s="1">
        <v>8</v>
      </c>
      <c r="E297" s="1" t="s">
        <v>4292</v>
      </c>
      <c r="F297" s="1" t="s">
        <v>4303</v>
      </c>
      <c r="G297" s="1" t="s">
        <v>20</v>
      </c>
      <c r="H297" s="1" t="s">
        <v>1518</v>
      </c>
      <c r="I297" s="1" t="s">
        <v>1519</v>
      </c>
      <c r="J297" s="1" t="s">
        <v>1520</v>
      </c>
      <c r="K297" s="1" t="s">
        <v>1521</v>
      </c>
      <c r="L297" s="1" t="s">
        <v>1522</v>
      </c>
      <c r="M297" s="1" t="s">
        <v>1523</v>
      </c>
      <c r="N297" s="1"/>
      <c r="O297" s="1" t="s">
        <v>10</v>
      </c>
      <c r="P297" s="1" t="s">
        <v>1524</v>
      </c>
      <c r="Q297" s="1"/>
      <c r="R297" s="1"/>
      <c r="S297" s="1"/>
      <c r="T297" s="1"/>
      <c r="U297" s="1"/>
      <c r="V297" s="1"/>
      <c r="W297" s="1"/>
      <c r="Y297" t="s">
        <v>10</v>
      </c>
      <c r="Z297" t="s">
        <v>4316</v>
      </c>
      <c r="AA297" t="s">
        <v>4317</v>
      </c>
      <c r="AB297" t="s">
        <v>4758</v>
      </c>
      <c r="AC297" t="s">
        <v>4759</v>
      </c>
      <c r="AD297" s="18">
        <v>46112</v>
      </c>
    </row>
    <row r="298" spans="1:30" ht="210" hidden="1">
      <c r="A298" s="1" t="s">
        <v>965</v>
      </c>
      <c r="B298" s="1">
        <v>1297</v>
      </c>
      <c r="C298" s="1">
        <v>6</v>
      </c>
      <c r="D298" s="1">
        <v>9</v>
      </c>
      <c r="E298" s="1" t="s">
        <v>4297</v>
      </c>
      <c r="F298" s="1" t="s">
        <v>4298</v>
      </c>
      <c r="G298" s="1" t="s">
        <v>4294</v>
      </c>
      <c r="H298" s="1" t="s">
        <v>1529</v>
      </c>
      <c r="I298" s="1" t="s">
        <v>1525</v>
      </c>
      <c r="J298" s="1" t="s">
        <v>1526</v>
      </c>
      <c r="K298" s="1" t="s">
        <v>1527</v>
      </c>
      <c r="L298" s="1" t="s">
        <v>1528</v>
      </c>
      <c r="M298" s="1"/>
      <c r="N298" s="1"/>
      <c r="O298" s="1" t="s">
        <v>10</v>
      </c>
      <c r="P298" s="1" t="s">
        <v>1530</v>
      </c>
      <c r="Q298" s="1"/>
      <c r="R298" s="1"/>
      <c r="S298" s="1"/>
      <c r="T298" s="1">
        <v>1</v>
      </c>
      <c r="U298" s="1">
        <v>1</v>
      </c>
      <c r="V298" s="1"/>
      <c r="W298" s="1">
        <v>1</v>
      </c>
      <c r="Y298" t="s">
        <v>10</v>
      </c>
      <c r="Z298" t="s">
        <v>4316</v>
      </c>
      <c r="AA298" t="s">
        <v>4317</v>
      </c>
      <c r="AB298" t="s">
        <v>4760</v>
      </c>
      <c r="AC298" t="s">
        <v>4327</v>
      </c>
      <c r="AD298" s="18">
        <v>46112</v>
      </c>
    </row>
    <row r="299" spans="1:30" ht="165" hidden="1">
      <c r="A299" s="1" t="s">
        <v>965</v>
      </c>
      <c r="B299" s="1">
        <v>1298</v>
      </c>
      <c r="C299" s="1">
        <v>6</v>
      </c>
      <c r="D299" s="1">
        <v>10</v>
      </c>
      <c r="E299" s="1" t="s">
        <v>4297</v>
      </c>
      <c r="F299" s="1" t="s">
        <v>4298</v>
      </c>
      <c r="G299" s="1" t="s">
        <v>40</v>
      </c>
      <c r="H299" s="1" t="s">
        <v>1531</v>
      </c>
      <c r="I299" s="1" t="s">
        <v>1532</v>
      </c>
      <c r="J299" s="1" t="s">
        <v>1533</v>
      </c>
      <c r="K299" s="1" t="s">
        <v>1534</v>
      </c>
      <c r="L299" s="1" t="s">
        <v>1535</v>
      </c>
      <c r="M299" s="1" t="s">
        <v>1536</v>
      </c>
      <c r="N299" s="1"/>
      <c r="O299" s="1" t="s">
        <v>7</v>
      </c>
      <c r="P299" s="1" t="s">
        <v>1537</v>
      </c>
      <c r="Q299" s="1"/>
      <c r="R299" s="1"/>
      <c r="S299" s="1"/>
      <c r="T299" s="1"/>
      <c r="U299" s="1">
        <v>1</v>
      </c>
      <c r="V299" s="1"/>
      <c r="W299" s="1">
        <v>1</v>
      </c>
      <c r="Y299" t="s">
        <v>7</v>
      </c>
      <c r="Z299" t="s">
        <v>4316</v>
      </c>
      <c r="AA299" t="s">
        <v>4317</v>
      </c>
      <c r="AB299" t="s">
        <v>4761</v>
      </c>
      <c r="AC299" t="s">
        <v>4567</v>
      </c>
      <c r="AD299" s="18">
        <v>46112</v>
      </c>
    </row>
    <row r="300" spans="1:30" ht="135">
      <c r="A300" s="1" t="s">
        <v>965</v>
      </c>
      <c r="B300" s="1">
        <v>1299</v>
      </c>
      <c r="C300" s="1">
        <v>6</v>
      </c>
      <c r="D300" s="1">
        <v>11</v>
      </c>
      <c r="E300" s="1" t="s">
        <v>4297</v>
      </c>
      <c r="F300" s="1" t="s">
        <v>4298</v>
      </c>
      <c r="G300" s="1" t="s">
        <v>20</v>
      </c>
      <c r="H300" s="1" t="s">
        <v>1538</v>
      </c>
      <c r="I300" s="1" t="s">
        <v>1539</v>
      </c>
      <c r="J300" s="1" t="s">
        <v>1540</v>
      </c>
      <c r="K300" s="1" t="s">
        <v>1541</v>
      </c>
      <c r="L300" s="1" t="s">
        <v>1542</v>
      </c>
      <c r="M300" s="1" t="s">
        <v>1543</v>
      </c>
      <c r="N300" s="1"/>
      <c r="O300" s="1" t="s">
        <v>7</v>
      </c>
      <c r="P300" s="1" t="s">
        <v>1544</v>
      </c>
      <c r="Q300" s="1"/>
      <c r="R300" s="1"/>
      <c r="S300" s="1"/>
      <c r="T300" s="1">
        <v>1</v>
      </c>
      <c r="U300" s="1">
        <v>1</v>
      </c>
      <c r="V300" s="1"/>
      <c r="W300" s="1">
        <v>1</v>
      </c>
      <c r="Y300" t="s">
        <v>8</v>
      </c>
      <c r="Z300" t="s">
        <v>4331</v>
      </c>
      <c r="AA300" t="s">
        <v>4332</v>
      </c>
      <c r="AB300" t="s">
        <v>4762</v>
      </c>
      <c r="AC300" t="s">
        <v>4763</v>
      </c>
      <c r="AD300" s="18">
        <v>46112</v>
      </c>
    </row>
    <row r="301" spans="1:30" ht="165" hidden="1">
      <c r="A301" s="1" t="s">
        <v>965</v>
      </c>
      <c r="B301" s="1">
        <v>1300</v>
      </c>
      <c r="C301" s="1">
        <v>6</v>
      </c>
      <c r="D301" s="1">
        <v>12</v>
      </c>
      <c r="E301" s="1" t="s">
        <v>4297</v>
      </c>
      <c r="F301" s="1" t="s">
        <v>4298</v>
      </c>
      <c r="G301" s="1" t="s">
        <v>4294</v>
      </c>
      <c r="H301" s="1" t="s">
        <v>1545</v>
      </c>
      <c r="I301" s="11" t="s">
        <v>3687</v>
      </c>
      <c r="J301" s="1" t="s">
        <v>3692</v>
      </c>
      <c r="K301" s="1" t="s">
        <v>3693</v>
      </c>
      <c r="L301" s="1" t="s">
        <v>3694</v>
      </c>
      <c r="M301" s="1" t="s">
        <v>3695</v>
      </c>
      <c r="N301" s="1"/>
      <c r="O301" s="1" t="s">
        <v>7</v>
      </c>
      <c r="P301" s="1" t="s">
        <v>1546</v>
      </c>
      <c r="Q301" s="1"/>
      <c r="R301" s="1"/>
      <c r="S301" s="1"/>
      <c r="T301" s="1"/>
      <c r="U301" s="1"/>
      <c r="V301" s="1"/>
      <c r="W301" s="1"/>
      <c r="Y301" t="s">
        <v>7</v>
      </c>
      <c r="Z301" t="s">
        <v>4316</v>
      </c>
      <c r="AA301" t="s">
        <v>4317</v>
      </c>
      <c r="AB301" t="s">
        <v>4764</v>
      </c>
      <c r="AC301" t="s">
        <v>4325</v>
      </c>
      <c r="AD301" s="18">
        <v>46112</v>
      </c>
    </row>
    <row r="302" spans="1:30" ht="195" hidden="1">
      <c r="A302" s="1" t="s">
        <v>965</v>
      </c>
      <c r="B302" s="1">
        <v>1301</v>
      </c>
      <c r="C302" s="1">
        <v>6</v>
      </c>
      <c r="D302" s="1">
        <v>13</v>
      </c>
      <c r="E302" s="1" t="s">
        <v>4297</v>
      </c>
      <c r="F302" s="1" t="s">
        <v>4298</v>
      </c>
      <c r="G302" s="1" t="s">
        <v>40</v>
      </c>
      <c r="H302" s="1" t="s">
        <v>1547</v>
      </c>
      <c r="I302" s="8" t="s">
        <v>3688</v>
      </c>
      <c r="J302" s="1" t="s">
        <v>1548</v>
      </c>
      <c r="K302" s="1" t="s">
        <v>1549</v>
      </c>
      <c r="L302" s="1" t="s">
        <v>1550</v>
      </c>
      <c r="M302" s="1" t="s">
        <v>1551</v>
      </c>
      <c r="N302" s="1"/>
      <c r="O302" s="1" t="s">
        <v>8</v>
      </c>
      <c r="P302" s="1" t="s">
        <v>1552</v>
      </c>
      <c r="Q302" s="1"/>
      <c r="R302" s="1"/>
      <c r="S302" s="1"/>
      <c r="T302" s="1"/>
      <c r="U302" s="1"/>
      <c r="V302" s="1"/>
      <c r="W302" s="1"/>
      <c r="Y302" t="s">
        <v>8</v>
      </c>
      <c r="Z302" t="s">
        <v>4316</v>
      </c>
      <c r="AA302" t="s">
        <v>4317</v>
      </c>
      <c r="AB302" t="s">
        <v>4765</v>
      </c>
      <c r="AC302" t="s">
        <v>4484</v>
      </c>
      <c r="AD302" s="18">
        <v>46112</v>
      </c>
    </row>
    <row r="303" spans="1:30" ht="85.5" hidden="1">
      <c r="A303" s="1" t="s">
        <v>965</v>
      </c>
      <c r="B303" s="1">
        <v>1302</v>
      </c>
      <c r="C303" s="1">
        <v>6</v>
      </c>
      <c r="D303" s="1">
        <v>14</v>
      </c>
      <c r="E303" s="1" t="s">
        <v>4297</v>
      </c>
      <c r="F303" s="1" t="s">
        <v>4299</v>
      </c>
      <c r="G303" s="1" t="s">
        <v>20</v>
      </c>
      <c r="H303" s="1" t="s">
        <v>1553</v>
      </c>
      <c r="I303" s="8" t="s">
        <v>3689</v>
      </c>
      <c r="J303" s="1" t="s">
        <v>1554</v>
      </c>
      <c r="K303" s="1" t="s">
        <v>1555</v>
      </c>
      <c r="L303" s="1" t="s">
        <v>1556</v>
      </c>
      <c r="M303" s="1" t="s">
        <v>1557</v>
      </c>
      <c r="N303" s="1"/>
      <c r="O303" s="1" t="s">
        <v>7</v>
      </c>
      <c r="P303" s="1" t="s">
        <v>1558</v>
      </c>
      <c r="Q303" s="1"/>
      <c r="R303" s="1"/>
      <c r="S303" s="1"/>
      <c r="T303" s="1"/>
      <c r="U303" s="1"/>
      <c r="V303" s="1"/>
      <c r="W303" s="1"/>
      <c r="Z303" t="s">
        <v>4386</v>
      </c>
      <c r="AB303" t="s">
        <v>4766</v>
      </c>
      <c r="AD303" s="18">
        <v>46112</v>
      </c>
    </row>
    <row r="304" spans="1:30" ht="150" hidden="1">
      <c r="A304" s="1" t="s">
        <v>965</v>
      </c>
      <c r="B304" s="1">
        <v>1303</v>
      </c>
      <c r="C304" s="1">
        <v>6</v>
      </c>
      <c r="D304" s="1">
        <v>15</v>
      </c>
      <c r="E304" s="1" t="s">
        <v>4297</v>
      </c>
      <c r="F304" s="1" t="s">
        <v>4298</v>
      </c>
      <c r="G304" s="1" t="s">
        <v>4294</v>
      </c>
      <c r="H304" s="1" t="s">
        <v>1559</v>
      </c>
      <c r="I304" s="8" t="s">
        <v>3690</v>
      </c>
      <c r="J304" s="1" t="s">
        <v>1560</v>
      </c>
      <c r="K304" s="1" t="s">
        <v>1561</v>
      </c>
      <c r="L304" s="1" t="s">
        <v>1562</v>
      </c>
      <c r="M304" s="1" t="s">
        <v>1563</v>
      </c>
      <c r="N304" s="1"/>
      <c r="O304" s="1" t="s">
        <v>10</v>
      </c>
      <c r="P304" s="1" t="s">
        <v>1564</v>
      </c>
      <c r="Q304" s="1"/>
      <c r="R304" s="1"/>
      <c r="S304" s="1"/>
      <c r="T304" s="1"/>
      <c r="U304" s="1"/>
      <c r="V304" s="1"/>
      <c r="W304" s="1"/>
      <c r="Z304" t="s">
        <v>4386</v>
      </c>
      <c r="AB304" t="s">
        <v>4767</v>
      </c>
      <c r="AC304" t="s">
        <v>4338</v>
      </c>
      <c r="AD304" s="18">
        <v>46112</v>
      </c>
    </row>
    <row r="305" spans="1:30" ht="409.5" hidden="1">
      <c r="A305" s="1" t="s">
        <v>965</v>
      </c>
      <c r="B305" s="1">
        <v>1304</v>
      </c>
      <c r="C305" s="1">
        <v>6</v>
      </c>
      <c r="D305" s="1">
        <v>16</v>
      </c>
      <c r="E305" s="1" t="s">
        <v>4297</v>
      </c>
      <c r="F305" s="1" t="s">
        <v>4298</v>
      </c>
      <c r="G305" s="1" t="s">
        <v>40</v>
      </c>
      <c r="H305" s="1" t="s">
        <v>1565</v>
      </c>
      <c r="I305" s="1" t="s">
        <v>3691</v>
      </c>
      <c r="J305" s="1" t="s">
        <v>1566</v>
      </c>
      <c r="K305" s="1" t="s">
        <v>1567</v>
      </c>
      <c r="L305" s="1" t="s">
        <v>1568</v>
      </c>
      <c r="M305" s="1"/>
      <c r="N305" s="1"/>
      <c r="O305" s="1" t="s">
        <v>9</v>
      </c>
      <c r="P305" s="1" t="s">
        <v>1569</v>
      </c>
      <c r="Q305" s="1"/>
      <c r="R305" s="1"/>
      <c r="S305" s="1"/>
      <c r="T305" s="1">
        <v>1</v>
      </c>
      <c r="U305" s="1">
        <v>1</v>
      </c>
      <c r="V305" s="1"/>
      <c r="W305" s="1">
        <v>1</v>
      </c>
      <c r="Y305" t="s">
        <v>9</v>
      </c>
      <c r="Z305" t="s">
        <v>4316</v>
      </c>
      <c r="AA305" t="s">
        <v>4332</v>
      </c>
      <c r="AB305" t="s">
        <v>4768</v>
      </c>
      <c r="AD305" s="18">
        <v>46112</v>
      </c>
    </row>
    <row r="306" spans="1:30" ht="90" hidden="1">
      <c r="A306" s="1" t="s">
        <v>965</v>
      </c>
      <c r="B306" s="1">
        <v>1305</v>
      </c>
      <c r="C306" s="1">
        <v>6</v>
      </c>
      <c r="D306" s="1">
        <v>17</v>
      </c>
      <c r="E306" s="1" t="s">
        <v>4297</v>
      </c>
      <c r="F306" s="1" t="s">
        <v>4299</v>
      </c>
      <c r="G306" s="1" t="s">
        <v>4294</v>
      </c>
      <c r="H306" s="1" t="s">
        <v>1570</v>
      </c>
      <c r="I306" s="1" t="s">
        <v>1571</v>
      </c>
      <c r="J306" s="1" t="s">
        <v>1572</v>
      </c>
      <c r="K306" s="1" t="s">
        <v>1573</v>
      </c>
      <c r="L306" s="1" t="s">
        <v>1574</v>
      </c>
      <c r="M306" s="1" t="s">
        <v>1575</v>
      </c>
      <c r="N306" s="1"/>
      <c r="O306" s="1" t="s">
        <v>9</v>
      </c>
      <c r="P306" s="1" t="s">
        <v>1576</v>
      </c>
      <c r="Q306" s="1"/>
      <c r="R306" s="1"/>
      <c r="S306" s="1"/>
      <c r="T306" s="1">
        <v>1</v>
      </c>
      <c r="U306" s="1">
        <v>1</v>
      </c>
      <c r="V306" s="1"/>
      <c r="W306" s="1"/>
      <c r="Y306" t="s">
        <v>9</v>
      </c>
      <c r="Z306" t="s">
        <v>4316</v>
      </c>
      <c r="AA306" t="s">
        <v>4317</v>
      </c>
      <c r="AB306" t="s">
        <v>4769</v>
      </c>
      <c r="AD306" s="18">
        <v>46112</v>
      </c>
    </row>
    <row r="307" spans="1:30" ht="90" hidden="1">
      <c r="A307" s="1" t="s">
        <v>965</v>
      </c>
      <c r="B307" s="1">
        <v>1306</v>
      </c>
      <c r="C307" s="1">
        <v>6</v>
      </c>
      <c r="D307" s="1">
        <v>18</v>
      </c>
      <c r="E307" s="1" t="s">
        <v>4297</v>
      </c>
      <c r="F307" s="1" t="s">
        <v>4299</v>
      </c>
      <c r="G307" s="1" t="s">
        <v>4294</v>
      </c>
      <c r="H307" s="1" t="s">
        <v>1577</v>
      </c>
      <c r="I307" s="1" t="s">
        <v>1578</v>
      </c>
      <c r="J307" s="1" t="s">
        <v>1579</v>
      </c>
      <c r="K307" s="1" t="s">
        <v>1580</v>
      </c>
      <c r="L307" s="1" t="s">
        <v>1581</v>
      </c>
      <c r="M307" s="1" t="s">
        <v>1582</v>
      </c>
      <c r="N307" s="1"/>
      <c r="O307" s="1" t="s">
        <v>9</v>
      </c>
      <c r="P307" s="1" t="s">
        <v>1583</v>
      </c>
      <c r="Q307" s="1"/>
      <c r="R307" s="1"/>
      <c r="S307" s="1"/>
      <c r="T307" s="1">
        <v>1</v>
      </c>
      <c r="U307" s="1"/>
      <c r="V307" s="1"/>
      <c r="W307" s="1"/>
      <c r="Y307" t="s">
        <v>9</v>
      </c>
      <c r="Z307" t="s">
        <v>4316</v>
      </c>
      <c r="AA307" t="s">
        <v>4317</v>
      </c>
      <c r="AB307" t="s">
        <v>4770</v>
      </c>
      <c r="AD307" s="18">
        <v>46112</v>
      </c>
    </row>
    <row r="308" spans="1:30" ht="240" hidden="1">
      <c r="A308" s="1" t="s">
        <v>965</v>
      </c>
      <c r="B308" s="1">
        <v>1307</v>
      </c>
      <c r="C308" s="1">
        <v>6</v>
      </c>
      <c r="D308" s="1">
        <v>19</v>
      </c>
      <c r="E308" s="1" t="s">
        <v>4295</v>
      </c>
      <c r="F308" s="1" t="s">
        <v>4296</v>
      </c>
      <c r="G308" s="1" t="s">
        <v>20</v>
      </c>
      <c r="H308" s="1" t="s">
        <v>1584</v>
      </c>
      <c r="I308" s="1" t="s">
        <v>1585</v>
      </c>
      <c r="J308" s="1" t="s">
        <v>1586</v>
      </c>
      <c r="K308" s="1" t="s">
        <v>1587</v>
      </c>
      <c r="L308" s="1" t="s">
        <v>1588</v>
      </c>
      <c r="M308" s="1" t="s">
        <v>1589</v>
      </c>
      <c r="N308" s="1" t="s">
        <v>1590</v>
      </c>
      <c r="O308" s="1" t="s">
        <v>8</v>
      </c>
      <c r="P308" s="1" t="s">
        <v>1591</v>
      </c>
      <c r="Q308" s="1"/>
      <c r="R308" s="1"/>
      <c r="S308" s="1"/>
      <c r="T308" s="1">
        <v>1</v>
      </c>
      <c r="U308" s="1">
        <v>1</v>
      </c>
      <c r="V308" s="1"/>
      <c r="W308" s="1"/>
      <c r="Y308" t="s">
        <v>8</v>
      </c>
      <c r="Z308" t="s">
        <v>4316</v>
      </c>
      <c r="AA308" t="s">
        <v>4317</v>
      </c>
      <c r="AB308" t="s">
        <v>4771</v>
      </c>
      <c r="AC308" t="s">
        <v>4430</v>
      </c>
      <c r="AD308" s="18">
        <v>46112</v>
      </c>
    </row>
    <row r="309" spans="1:30" ht="150" hidden="1">
      <c r="A309" s="1" t="s">
        <v>965</v>
      </c>
      <c r="B309" s="1">
        <v>1308</v>
      </c>
      <c r="C309" s="1">
        <v>6</v>
      </c>
      <c r="D309" s="1">
        <v>20</v>
      </c>
      <c r="E309" s="1" t="s">
        <v>4295</v>
      </c>
      <c r="F309" s="1" t="s">
        <v>4296</v>
      </c>
      <c r="G309" s="1" t="s">
        <v>20</v>
      </c>
      <c r="H309" s="1" t="s">
        <v>109</v>
      </c>
      <c r="I309" s="1" t="s">
        <v>110</v>
      </c>
      <c r="J309" s="1" t="s">
        <v>111</v>
      </c>
      <c r="K309" s="1" t="s">
        <v>114</v>
      </c>
      <c r="L309" s="1" t="s">
        <v>112</v>
      </c>
      <c r="M309" s="1" t="s">
        <v>113</v>
      </c>
      <c r="N309" s="1"/>
      <c r="O309" s="1" t="s">
        <v>9</v>
      </c>
      <c r="P309" s="1" t="s">
        <v>1592</v>
      </c>
      <c r="Q309" s="1"/>
      <c r="R309" s="1"/>
      <c r="S309" s="1"/>
      <c r="T309" s="1"/>
      <c r="U309" s="1"/>
      <c r="V309" s="1"/>
      <c r="W309" s="1">
        <v>1</v>
      </c>
      <c r="Y309" t="s">
        <v>9</v>
      </c>
      <c r="Z309" t="s">
        <v>4316</v>
      </c>
      <c r="AA309" t="s">
        <v>4317</v>
      </c>
      <c r="AB309" t="s">
        <v>4772</v>
      </c>
      <c r="AC309" t="s">
        <v>4344</v>
      </c>
      <c r="AD309" s="18">
        <v>46112</v>
      </c>
    </row>
    <row r="310" spans="1:30" ht="135" hidden="1">
      <c r="A310" s="1" t="s">
        <v>965</v>
      </c>
      <c r="B310" s="1">
        <v>1309</v>
      </c>
      <c r="C310" s="1">
        <v>6</v>
      </c>
      <c r="D310" s="1">
        <v>21</v>
      </c>
      <c r="E310" s="1" t="s">
        <v>4295</v>
      </c>
      <c r="F310" s="1" t="s">
        <v>4296</v>
      </c>
      <c r="G310" s="1" t="s">
        <v>20</v>
      </c>
      <c r="H310" s="1" t="s">
        <v>1593</v>
      </c>
      <c r="I310" s="1" t="s">
        <v>113</v>
      </c>
      <c r="J310" s="1" t="s">
        <v>1594</v>
      </c>
      <c r="K310" s="1" t="s">
        <v>114</v>
      </c>
      <c r="L310" s="1" t="s">
        <v>110</v>
      </c>
      <c r="M310" s="1" t="s">
        <v>697</v>
      </c>
      <c r="N310" s="1"/>
      <c r="O310" s="1" t="s">
        <v>8</v>
      </c>
      <c r="P310" s="1" t="s">
        <v>1595</v>
      </c>
      <c r="Q310" s="1"/>
      <c r="R310" s="1"/>
      <c r="S310" s="1"/>
      <c r="T310" s="1"/>
      <c r="U310" s="1"/>
      <c r="V310" s="1"/>
      <c r="W310" s="1"/>
      <c r="Y310" t="s">
        <v>8</v>
      </c>
      <c r="Z310" t="s">
        <v>4316</v>
      </c>
      <c r="AA310" t="s">
        <v>4317</v>
      </c>
      <c r="AB310" t="s">
        <v>4773</v>
      </c>
      <c r="AC310" t="s">
        <v>4344</v>
      </c>
      <c r="AD310" s="18">
        <v>46112</v>
      </c>
    </row>
    <row r="311" spans="1:30" ht="165" hidden="1">
      <c r="A311" s="1" t="s">
        <v>965</v>
      </c>
      <c r="B311" s="1">
        <v>1310</v>
      </c>
      <c r="C311" s="1">
        <v>6</v>
      </c>
      <c r="D311" s="1">
        <v>22</v>
      </c>
      <c r="E311" s="1" t="s">
        <v>4297</v>
      </c>
      <c r="F311" s="1" t="s">
        <v>4301</v>
      </c>
      <c r="G311" s="1" t="s">
        <v>40</v>
      </c>
      <c r="H311" s="1" t="s">
        <v>1596</v>
      </c>
      <c r="I311" s="1" t="s">
        <v>1597</v>
      </c>
      <c r="J311" s="1" t="s">
        <v>1598</v>
      </c>
      <c r="K311" s="1" t="s">
        <v>1599</v>
      </c>
      <c r="L311" s="1" t="s">
        <v>1600</v>
      </c>
      <c r="M311" s="1" t="s">
        <v>1601</v>
      </c>
      <c r="N311" s="1"/>
      <c r="O311" s="1" t="s">
        <v>8</v>
      </c>
      <c r="P311" s="1" t="s">
        <v>1602</v>
      </c>
      <c r="Q311" s="1"/>
      <c r="R311" s="1"/>
      <c r="S311" s="1"/>
      <c r="T311" s="1">
        <v>1</v>
      </c>
      <c r="U311" s="1"/>
      <c r="V311" s="1"/>
      <c r="W311" s="1"/>
      <c r="Y311" t="s">
        <v>8</v>
      </c>
      <c r="Z311" t="s">
        <v>4316</v>
      </c>
      <c r="AA311" t="s">
        <v>4317</v>
      </c>
      <c r="AB311" t="s">
        <v>4774</v>
      </c>
      <c r="AC311" t="s">
        <v>4775</v>
      </c>
      <c r="AD311" s="18">
        <v>46112</v>
      </c>
    </row>
    <row r="312" spans="1:30" ht="300" hidden="1">
      <c r="A312" s="1" t="s">
        <v>965</v>
      </c>
      <c r="B312" s="1">
        <v>1311</v>
      </c>
      <c r="C312" s="1">
        <v>6</v>
      </c>
      <c r="D312" s="1">
        <v>23</v>
      </c>
      <c r="E312" s="1" t="s">
        <v>4305</v>
      </c>
      <c r="F312" s="1" t="s">
        <v>4306</v>
      </c>
      <c r="G312" s="1" t="s">
        <v>20</v>
      </c>
      <c r="H312" s="1" t="s">
        <v>1603</v>
      </c>
      <c r="I312" s="1" t="s">
        <v>1604</v>
      </c>
      <c r="J312" s="1" t="s">
        <v>1605</v>
      </c>
      <c r="K312" s="1" t="s">
        <v>1606</v>
      </c>
      <c r="L312" s="1" t="s">
        <v>1607</v>
      </c>
      <c r="M312" s="1" t="s">
        <v>1608</v>
      </c>
      <c r="N312" s="1"/>
      <c r="O312" s="1" t="s">
        <v>10</v>
      </c>
      <c r="P312" s="1" t="s">
        <v>1609</v>
      </c>
      <c r="Q312" s="1"/>
      <c r="R312" s="1"/>
      <c r="S312" s="1"/>
      <c r="T312" s="1">
        <v>1</v>
      </c>
      <c r="U312" s="1"/>
      <c r="V312" s="1"/>
      <c r="W312" s="1"/>
      <c r="Y312" t="s">
        <v>10</v>
      </c>
      <c r="Z312" t="s">
        <v>4316</v>
      </c>
      <c r="AA312" t="s">
        <v>4317</v>
      </c>
      <c r="AB312" t="s">
        <v>4776</v>
      </c>
      <c r="AC312" t="s">
        <v>4484</v>
      </c>
      <c r="AD312" s="18">
        <v>46112</v>
      </c>
    </row>
    <row r="313" spans="1:30" ht="210">
      <c r="A313" s="1" t="s">
        <v>965</v>
      </c>
      <c r="B313" s="1">
        <v>1312</v>
      </c>
      <c r="C313" s="1">
        <v>6</v>
      </c>
      <c r="D313" s="1">
        <v>24</v>
      </c>
      <c r="E313" s="1" t="s">
        <v>4292</v>
      </c>
      <c r="F313" s="1" t="s">
        <v>4304</v>
      </c>
      <c r="G313" s="1" t="s">
        <v>4294</v>
      </c>
      <c r="H313" s="1" t="s">
        <v>1610</v>
      </c>
      <c r="I313" s="1" t="s">
        <v>1612</v>
      </c>
      <c r="J313" s="1" t="s">
        <v>1613</v>
      </c>
      <c r="K313" s="1" t="s">
        <v>1614</v>
      </c>
      <c r="L313" s="1" t="s">
        <v>1615</v>
      </c>
      <c r="M313" s="1"/>
      <c r="N313" s="1"/>
      <c r="O313" s="1" t="s">
        <v>11</v>
      </c>
      <c r="P313" s="1" t="s">
        <v>1611</v>
      </c>
      <c r="Q313" s="1"/>
      <c r="R313" s="1"/>
      <c r="S313" s="1"/>
      <c r="T313" s="1">
        <v>1</v>
      </c>
      <c r="U313" s="1">
        <v>1</v>
      </c>
      <c r="V313" s="1"/>
      <c r="W313" s="1">
        <v>1</v>
      </c>
      <c r="Y313" t="s">
        <v>10</v>
      </c>
      <c r="Z313" t="s">
        <v>4331</v>
      </c>
      <c r="AA313" t="s">
        <v>4332</v>
      </c>
      <c r="AB313" t="s">
        <v>4777</v>
      </c>
      <c r="AC313" t="s">
        <v>4778</v>
      </c>
      <c r="AD313" s="18">
        <v>46112</v>
      </c>
    </row>
    <row r="314" spans="1:30" ht="390" hidden="1">
      <c r="A314" s="1" t="s">
        <v>965</v>
      </c>
      <c r="B314" s="1">
        <v>1313</v>
      </c>
      <c r="C314" s="1">
        <v>6</v>
      </c>
      <c r="D314" s="1">
        <v>25</v>
      </c>
      <c r="E314" s="1" t="s">
        <v>4297</v>
      </c>
      <c r="F314" s="1" t="s">
        <v>4301</v>
      </c>
      <c r="G314" s="1" t="s">
        <v>4294</v>
      </c>
      <c r="H314" s="1" t="s">
        <v>1616</v>
      </c>
      <c r="I314" s="1" t="s">
        <v>1617</v>
      </c>
      <c r="J314" s="1" t="s">
        <v>1618</v>
      </c>
      <c r="K314" s="1" t="s">
        <v>1619</v>
      </c>
      <c r="L314" s="1" t="s">
        <v>1620</v>
      </c>
      <c r="M314" s="1" t="s">
        <v>1621</v>
      </c>
      <c r="N314" s="1" t="s">
        <v>1622</v>
      </c>
      <c r="O314" s="1" t="s">
        <v>9</v>
      </c>
      <c r="P314" s="1" t="s">
        <v>1623</v>
      </c>
      <c r="Q314" s="1"/>
      <c r="R314" s="1"/>
      <c r="S314" s="1"/>
      <c r="T314" s="1"/>
      <c r="U314" s="1"/>
      <c r="V314" s="1"/>
      <c r="W314" s="1"/>
      <c r="Z314" t="s">
        <v>4386</v>
      </c>
      <c r="AB314" t="s">
        <v>4779</v>
      </c>
      <c r="AC314" t="s">
        <v>4502</v>
      </c>
      <c r="AD314" s="18">
        <v>46112</v>
      </c>
    </row>
    <row r="315" spans="1:30" ht="120" hidden="1">
      <c r="A315" s="1" t="s">
        <v>965</v>
      </c>
      <c r="B315" s="1">
        <v>1314</v>
      </c>
      <c r="C315" s="1">
        <v>6</v>
      </c>
      <c r="D315" s="1">
        <v>26</v>
      </c>
      <c r="E315" s="1" t="s">
        <v>4295</v>
      </c>
      <c r="F315" s="1" t="s">
        <v>4296</v>
      </c>
      <c r="G315" s="1" t="s">
        <v>4294</v>
      </c>
      <c r="H315" s="1" t="s">
        <v>1624</v>
      </c>
      <c r="I315" s="1" t="s">
        <v>1625</v>
      </c>
      <c r="J315" s="1" t="s">
        <v>1626</v>
      </c>
      <c r="K315" s="1" t="s">
        <v>1627</v>
      </c>
      <c r="L315" s="1" t="s">
        <v>1628</v>
      </c>
      <c r="M315" s="1" t="s">
        <v>1629</v>
      </c>
      <c r="N315" s="1" t="s">
        <v>7</v>
      </c>
      <c r="O315" s="1" t="s">
        <v>7</v>
      </c>
      <c r="P315" s="1" t="s">
        <v>3870</v>
      </c>
      <c r="Q315" s="1"/>
      <c r="R315" s="1"/>
      <c r="S315" s="1"/>
      <c r="T315" s="1"/>
      <c r="U315" s="1"/>
      <c r="V315" s="1"/>
      <c r="W315" s="1">
        <v>1</v>
      </c>
      <c r="Y315" t="s">
        <v>7</v>
      </c>
      <c r="Z315" t="s">
        <v>4316</v>
      </c>
      <c r="AA315" t="s">
        <v>4317</v>
      </c>
      <c r="AB315" t="s">
        <v>4780</v>
      </c>
      <c r="AC315" t="s">
        <v>4354</v>
      </c>
      <c r="AD315" s="18">
        <v>46112</v>
      </c>
    </row>
    <row r="316" spans="1:30" ht="105" hidden="1">
      <c r="A316" s="1" t="s">
        <v>965</v>
      </c>
      <c r="B316" s="1">
        <v>1315</v>
      </c>
      <c r="C316" s="1">
        <v>6</v>
      </c>
      <c r="D316" s="1">
        <v>27</v>
      </c>
      <c r="E316" s="1" t="s">
        <v>4297</v>
      </c>
      <c r="F316" s="1" t="s">
        <v>4298</v>
      </c>
      <c r="G316" s="1" t="s">
        <v>20</v>
      </c>
      <c r="H316" s="1" t="s">
        <v>1630</v>
      </c>
      <c r="I316" s="1" t="s">
        <v>1631</v>
      </c>
      <c r="J316" s="1" t="s">
        <v>1632</v>
      </c>
      <c r="K316" s="1" t="s">
        <v>1633</v>
      </c>
      <c r="L316" s="1" t="s">
        <v>1634</v>
      </c>
      <c r="M316" s="1" t="s">
        <v>1635</v>
      </c>
      <c r="N316" s="1"/>
      <c r="O316" s="1" t="s">
        <v>9</v>
      </c>
      <c r="P316" s="1" t="s">
        <v>3871</v>
      </c>
      <c r="Q316" s="1"/>
      <c r="R316" s="1"/>
      <c r="S316" s="1"/>
      <c r="T316" s="1"/>
      <c r="U316" s="1"/>
      <c r="V316" s="1"/>
      <c r="W316" s="1"/>
      <c r="Y316" t="s">
        <v>9</v>
      </c>
      <c r="Z316" t="s">
        <v>4316</v>
      </c>
      <c r="AA316" t="s">
        <v>4317</v>
      </c>
      <c r="AB316" t="s">
        <v>4781</v>
      </c>
      <c r="AC316" t="s">
        <v>4330</v>
      </c>
      <c r="AD316" s="18">
        <v>46112</v>
      </c>
    </row>
    <row r="317" spans="1:30" ht="409.5" hidden="1">
      <c r="A317" s="1" t="s">
        <v>965</v>
      </c>
      <c r="B317" s="1">
        <v>1316</v>
      </c>
      <c r="C317" s="1">
        <v>6</v>
      </c>
      <c r="D317" s="1">
        <v>28</v>
      </c>
      <c r="E317" s="1" t="s">
        <v>4292</v>
      </c>
      <c r="F317" s="1" t="s">
        <v>4293</v>
      </c>
      <c r="G317" s="1" t="s">
        <v>40</v>
      </c>
      <c r="H317" s="1" t="s">
        <v>1636</v>
      </c>
      <c r="I317" s="1" t="s">
        <v>1637</v>
      </c>
      <c r="J317" s="1" t="s">
        <v>1638</v>
      </c>
      <c r="K317" s="1" t="s">
        <v>1639</v>
      </c>
      <c r="L317" s="1" t="s">
        <v>1640</v>
      </c>
      <c r="M317" s="1" t="s">
        <v>1641</v>
      </c>
      <c r="N317" s="1"/>
      <c r="O317" s="1" t="s">
        <v>8</v>
      </c>
      <c r="P317" s="1" t="s">
        <v>3872</v>
      </c>
      <c r="Q317" s="1"/>
      <c r="R317" s="1"/>
      <c r="S317" s="1"/>
      <c r="T317" s="1"/>
      <c r="U317" s="1"/>
      <c r="V317" s="1"/>
      <c r="W317" s="1">
        <v>1</v>
      </c>
      <c r="Y317" t="s">
        <v>8</v>
      </c>
      <c r="Z317" t="s">
        <v>4316</v>
      </c>
      <c r="AA317" t="s">
        <v>4317</v>
      </c>
      <c r="AB317" t="s">
        <v>4782</v>
      </c>
      <c r="AC317" t="s">
        <v>4444</v>
      </c>
      <c r="AD317" s="18">
        <v>46112</v>
      </c>
    </row>
    <row r="318" spans="1:30" ht="90" hidden="1">
      <c r="A318" s="1" t="s">
        <v>965</v>
      </c>
      <c r="B318" s="1">
        <v>1317</v>
      </c>
      <c r="C318" s="1">
        <v>6</v>
      </c>
      <c r="D318" s="1">
        <v>29</v>
      </c>
      <c r="E318" s="1" t="s">
        <v>4297</v>
      </c>
      <c r="F318" s="1" t="s">
        <v>4298</v>
      </c>
      <c r="G318" s="1" t="s">
        <v>20</v>
      </c>
      <c r="H318" s="1" t="s">
        <v>1642</v>
      </c>
      <c r="I318" s="1" t="s">
        <v>1644</v>
      </c>
      <c r="J318" s="1" t="s">
        <v>1645</v>
      </c>
      <c r="K318" s="1" t="s">
        <v>1646</v>
      </c>
      <c r="L318" s="1" t="s">
        <v>1647</v>
      </c>
      <c r="M318" s="1" t="s">
        <v>1648</v>
      </c>
      <c r="N318" s="1"/>
      <c r="O318" s="1" t="s">
        <v>7</v>
      </c>
      <c r="P318" s="1" t="s">
        <v>3873</v>
      </c>
      <c r="Q318" s="1"/>
      <c r="R318" s="1"/>
      <c r="S318" s="1"/>
      <c r="T318" s="1"/>
      <c r="U318" s="1"/>
      <c r="V318" s="1"/>
      <c r="W318" s="1"/>
      <c r="Y318" t="s">
        <v>7</v>
      </c>
      <c r="Z318" t="s">
        <v>4316</v>
      </c>
      <c r="AA318" t="s">
        <v>4317</v>
      </c>
      <c r="AB318" t="s">
        <v>4783</v>
      </c>
      <c r="AC318" t="s">
        <v>4327</v>
      </c>
      <c r="AD318" s="18">
        <v>46112</v>
      </c>
    </row>
    <row r="319" spans="1:30" ht="165" hidden="1">
      <c r="A319" s="1" t="s">
        <v>965</v>
      </c>
      <c r="B319" s="1">
        <v>1318</v>
      </c>
      <c r="C319" s="1">
        <v>6</v>
      </c>
      <c r="D319" s="1">
        <v>30</v>
      </c>
      <c r="E319" s="1" t="s">
        <v>4292</v>
      </c>
      <c r="F319" s="1" t="s">
        <v>4293</v>
      </c>
      <c r="G319" s="1" t="s">
        <v>40</v>
      </c>
      <c r="H319" s="1" t="s">
        <v>1649</v>
      </c>
      <c r="I319" s="1" t="s">
        <v>1650</v>
      </c>
      <c r="J319" s="1" t="s">
        <v>1651</v>
      </c>
      <c r="K319" s="1" t="s">
        <v>1652</v>
      </c>
      <c r="L319" s="1" t="s">
        <v>1653</v>
      </c>
      <c r="M319" s="1" t="s">
        <v>1654</v>
      </c>
      <c r="N319" s="1"/>
      <c r="O319" s="1" t="s">
        <v>10</v>
      </c>
      <c r="P319" s="1" t="s">
        <v>3874</v>
      </c>
      <c r="Q319" s="1"/>
      <c r="R319" s="1"/>
      <c r="S319" s="1"/>
      <c r="T319" s="1"/>
      <c r="U319" s="1">
        <v>1</v>
      </c>
      <c r="V319" s="1"/>
      <c r="W319" s="1"/>
      <c r="Y319" t="s">
        <v>10</v>
      </c>
      <c r="Z319" t="s">
        <v>4316</v>
      </c>
      <c r="AA319" t="s">
        <v>4317</v>
      </c>
      <c r="AB319" t="s">
        <v>4784</v>
      </c>
      <c r="AC319" t="s">
        <v>4444</v>
      </c>
      <c r="AD319" s="18">
        <v>46112</v>
      </c>
    </row>
    <row r="320" spans="1:30" ht="90" hidden="1">
      <c r="A320" s="1" t="s">
        <v>965</v>
      </c>
      <c r="B320" s="1">
        <v>1319</v>
      </c>
      <c r="C320" s="1">
        <v>6</v>
      </c>
      <c r="D320" s="1">
        <v>31</v>
      </c>
      <c r="E320" s="1" t="s">
        <v>4297</v>
      </c>
      <c r="F320" s="1" t="s">
        <v>4298</v>
      </c>
      <c r="G320" s="1" t="s">
        <v>20</v>
      </c>
      <c r="H320" s="1" t="s">
        <v>1655</v>
      </c>
      <c r="I320" s="1" t="s">
        <v>1656</v>
      </c>
      <c r="J320" s="1" t="s">
        <v>1657</v>
      </c>
      <c r="K320" s="1" t="s">
        <v>1658</v>
      </c>
      <c r="L320" s="1" t="s">
        <v>1659</v>
      </c>
      <c r="M320" s="1"/>
      <c r="N320" s="1"/>
      <c r="O320" s="1" t="s">
        <v>8</v>
      </c>
      <c r="P320" s="1" t="s">
        <v>3875</v>
      </c>
      <c r="Q320" s="1"/>
      <c r="R320" s="1"/>
      <c r="S320" s="1"/>
      <c r="T320" s="1"/>
      <c r="U320" s="1"/>
      <c r="V320" s="1"/>
      <c r="W320" s="1"/>
      <c r="Y320" t="s">
        <v>8</v>
      </c>
      <c r="Z320" t="s">
        <v>4316</v>
      </c>
      <c r="AA320" t="s">
        <v>4317</v>
      </c>
      <c r="AB320" t="s">
        <v>4785</v>
      </c>
      <c r="AD320" s="18">
        <v>46112</v>
      </c>
    </row>
    <row r="321" spans="1:30" ht="409.5" hidden="1">
      <c r="A321" s="1" t="s">
        <v>965</v>
      </c>
      <c r="B321" s="1">
        <v>1320</v>
      </c>
      <c r="C321" s="1">
        <v>6</v>
      </c>
      <c r="D321" s="1">
        <v>32</v>
      </c>
      <c r="E321" s="1" t="s">
        <v>4292</v>
      </c>
      <c r="F321" s="1" t="s">
        <v>4293</v>
      </c>
      <c r="G321" s="1" t="s">
        <v>40</v>
      </c>
      <c r="H321" s="1" t="s">
        <v>1660</v>
      </c>
      <c r="I321" s="1" t="s">
        <v>1637</v>
      </c>
      <c r="J321" s="1" t="s">
        <v>1661</v>
      </c>
      <c r="K321" s="1" t="s">
        <v>1662</v>
      </c>
      <c r="L321" s="1" t="s">
        <v>1663</v>
      </c>
      <c r="M321" s="1" t="s">
        <v>1664</v>
      </c>
      <c r="N321" s="1"/>
      <c r="O321" s="1" t="s">
        <v>8</v>
      </c>
      <c r="P321" s="1" t="s">
        <v>3877</v>
      </c>
      <c r="Q321" s="1"/>
      <c r="R321" s="1"/>
      <c r="S321" s="1"/>
      <c r="T321" s="1"/>
      <c r="U321" s="1"/>
      <c r="V321" s="1"/>
      <c r="W321" s="1">
        <v>1</v>
      </c>
      <c r="Y321" t="s">
        <v>8</v>
      </c>
      <c r="Z321" t="s">
        <v>4316</v>
      </c>
      <c r="AA321" t="s">
        <v>4317</v>
      </c>
      <c r="AB321" t="s">
        <v>4786</v>
      </c>
      <c r="AC321" t="s">
        <v>4444</v>
      </c>
      <c r="AD321" s="18">
        <v>46112</v>
      </c>
    </row>
    <row r="322" spans="1:30" ht="315" hidden="1">
      <c r="A322" s="1" t="s">
        <v>965</v>
      </c>
      <c r="B322" s="1">
        <v>1321</v>
      </c>
      <c r="C322" s="1">
        <v>6</v>
      </c>
      <c r="D322" s="1">
        <v>33</v>
      </c>
      <c r="E322" s="1" t="s">
        <v>4297</v>
      </c>
      <c r="F322" s="1" t="s">
        <v>4298</v>
      </c>
      <c r="G322" s="1" t="s">
        <v>20</v>
      </c>
      <c r="H322" s="1" t="s">
        <v>1665</v>
      </c>
      <c r="I322" s="1" t="s">
        <v>1666</v>
      </c>
      <c r="J322" s="1" t="s">
        <v>1667</v>
      </c>
      <c r="K322" s="1" t="s">
        <v>1668</v>
      </c>
      <c r="L322" s="1" t="s">
        <v>1669</v>
      </c>
      <c r="M322" s="1" t="s">
        <v>1670</v>
      </c>
      <c r="N322" s="1"/>
      <c r="O322" s="1" t="s">
        <v>11</v>
      </c>
      <c r="P322" s="1" t="s">
        <v>3878</v>
      </c>
      <c r="Q322" s="1"/>
      <c r="R322" s="1"/>
      <c r="S322" s="1"/>
      <c r="T322" s="1">
        <v>1</v>
      </c>
      <c r="U322" s="1"/>
      <c r="V322" s="1"/>
      <c r="W322" s="1"/>
      <c r="Y322" t="s">
        <v>11</v>
      </c>
      <c r="Z322" t="s">
        <v>4316</v>
      </c>
      <c r="AA322" t="s">
        <v>4317</v>
      </c>
      <c r="AB322" t="s">
        <v>4787</v>
      </c>
      <c r="AC322" t="s">
        <v>4330</v>
      </c>
      <c r="AD322" s="18">
        <v>46112</v>
      </c>
    </row>
    <row r="323" spans="1:30" ht="409.5" hidden="1">
      <c r="A323" s="1" t="s">
        <v>965</v>
      </c>
      <c r="B323" s="1">
        <v>1322</v>
      </c>
      <c r="C323" s="1">
        <v>6</v>
      </c>
      <c r="D323" s="1">
        <v>34</v>
      </c>
      <c r="E323" s="1" t="s">
        <v>4292</v>
      </c>
      <c r="F323" s="1" t="s">
        <v>4293</v>
      </c>
      <c r="G323" s="1" t="s">
        <v>4294</v>
      </c>
      <c r="H323" s="1" t="s">
        <v>1671</v>
      </c>
      <c r="I323" s="1" t="s">
        <v>1421</v>
      </c>
      <c r="J323" s="1" t="s">
        <v>1672</v>
      </c>
      <c r="K323" s="1" t="s">
        <v>1673</v>
      </c>
      <c r="L323" s="1" t="s">
        <v>1674</v>
      </c>
      <c r="M323" s="1" t="s">
        <v>1424</v>
      </c>
      <c r="N323" s="1"/>
      <c r="O323" s="1" t="s">
        <v>9</v>
      </c>
      <c r="P323" s="1" t="s">
        <v>3879</v>
      </c>
      <c r="Q323" s="1"/>
      <c r="R323" s="1"/>
      <c r="S323" s="1"/>
      <c r="T323" s="1">
        <v>1</v>
      </c>
      <c r="U323" s="1"/>
      <c r="V323" s="1"/>
      <c r="W323" s="1"/>
      <c r="Y323" t="s">
        <v>9</v>
      </c>
      <c r="Z323" t="s">
        <v>4316</v>
      </c>
      <c r="AA323" t="s">
        <v>4317</v>
      </c>
      <c r="AB323" t="s">
        <v>4788</v>
      </c>
      <c r="AC323" t="s">
        <v>4444</v>
      </c>
      <c r="AD323" s="18">
        <v>46112</v>
      </c>
    </row>
    <row r="324" spans="1:30" ht="165" hidden="1">
      <c r="A324" s="1" t="s">
        <v>965</v>
      </c>
      <c r="B324" s="1">
        <v>1323</v>
      </c>
      <c r="C324" s="1">
        <v>6</v>
      </c>
      <c r="D324" s="1">
        <v>35</v>
      </c>
      <c r="E324" s="1" t="s">
        <v>4297</v>
      </c>
      <c r="F324" s="1" t="s">
        <v>4298</v>
      </c>
      <c r="G324" s="1" t="s">
        <v>4294</v>
      </c>
      <c r="H324" s="1" t="s">
        <v>1675</v>
      </c>
      <c r="I324" s="1" t="s">
        <v>1676</v>
      </c>
      <c r="J324" s="1" t="s">
        <v>1677</v>
      </c>
      <c r="K324" s="1" t="s">
        <v>1678</v>
      </c>
      <c r="L324" s="1" t="s">
        <v>1679</v>
      </c>
      <c r="M324" s="1" t="s">
        <v>1680</v>
      </c>
      <c r="N324" s="1"/>
      <c r="O324" s="1" t="s">
        <v>9</v>
      </c>
      <c r="P324" s="1" t="s">
        <v>3880</v>
      </c>
      <c r="Q324" s="1"/>
      <c r="R324" s="1"/>
      <c r="S324" s="1"/>
      <c r="T324" s="1"/>
      <c r="U324" s="1">
        <v>1</v>
      </c>
      <c r="V324" s="1"/>
      <c r="W324" s="1"/>
      <c r="Y324" t="s">
        <v>9</v>
      </c>
      <c r="Z324" t="s">
        <v>4316</v>
      </c>
      <c r="AA324" t="s">
        <v>4317</v>
      </c>
      <c r="AB324" t="s">
        <v>4789</v>
      </c>
      <c r="AC324" t="s">
        <v>4790</v>
      </c>
      <c r="AD324" s="18">
        <v>46112</v>
      </c>
    </row>
    <row r="325" spans="1:30" ht="75" hidden="1">
      <c r="A325" s="1" t="s">
        <v>965</v>
      </c>
      <c r="B325" s="1">
        <v>1324</v>
      </c>
      <c r="C325" s="1">
        <v>6</v>
      </c>
      <c r="D325" s="1">
        <v>36</v>
      </c>
      <c r="E325" s="1" t="s">
        <v>4305</v>
      </c>
      <c r="F325" s="1" t="s">
        <v>4307</v>
      </c>
      <c r="G325" s="1" t="s">
        <v>20</v>
      </c>
      <c r="H325" s="1" t="s">
        <v>1681</v>
      </c>
      <c r="I325" s="1" t="s">
        <v>1442</v>
      </c>
      <c r="J325" s="1" t="s">
        <v>1682</v>
      </c>
      <c r="K325" s="1" t="s">
        <v>1473</v>
      </c>
      <c r="L325" s="1" t="s">
        <v>1683</v>
      </c>
      <c r="M325" s="1" t="s">
        <v>1684</v>
      </c>
      <c r="N325" s="1"/>
      <c r="O325" s="1" t="s">
        <v>8</v>
      </c>
      <c r="P325" s="1" t="s">
        <v>3881</v>
      </c>
      <c r="Q325" s="1"/>
      <c r="R325" s="1"/>
      <c r="S325" s="1"/>
      <c r="T325" s="1">
        <v>1</v>
      </c>
      <c r="U325" s="1">
        <v>1</v>
      </c>
      <c r="V325" s="1"/>
      <c r="W325" s="1"/>
      <c r="X325" t="s">
        <v>3882</v>
      </c>
      <c r="Y325" t="s">
        <v>8</v>
      </c>
      <c r="Z325" t="s">
        <v>4316</v>
      </c>
      <c r="AA325" t="s">
        <v>4317</v>
      </c>
      <c r="AB325" t="s">
        <v>4791</v>
      </c>
      <c r="AC325" t="s">
        <v>4792</v>
      </c>
      <c r="AD325" s="18">
        <v>46112</v>
      </c>
    </row>
    <row r="326" spans="1:30" ht="270" hidden="1">
      <c r="A326" s="1" t="s">
        <v>965</v>
      </c>
      <c r="B326" s="1">
        <v>1325</v>
      </c>
      <c r="C326" s="1">
        <v>6</v>
      </c>
      <c r="D326" s="1">
        <v>37</v>
      </c>
      <c r="E326" s="1" t="s">
        <v>4297</v>
      </c>
      <c r="F326" s="1" t="s">
        <v>4298</v>
      </c>
      <c r="G326" s="1" t="s">
        <v>4294</v>
      </c>
      <c r="H326" s="1" t="s">
        <v>1685</v>
      </c>
      <c r="I326" s="1" t="s">
        <v>1121</v>
      </c>
      <c r="J326" s="1" t="s">
        <v>1686</v>
      </c>
      <c r="K326" s="1" t="s">
        <v>1687</v>
      </c>
      <c r="L326" s="1" t="s">
        <v>1688</v>
      </c>
      <c r="M326" s="1" t="s">
        <v>1689</v>
      </c>
      <c r="N326" s="1"/>
      <c r="O326" s="1" t="s">
        <v>10</v>
      </c>
      <c r="P326" s="1" t="s">
        <v>3884</v>
      </c>
      <c r="Q326" s="1"/>
      <c r="R326" s="1"/>
      <c r="S326" s="1"/>
      <c r="T326" s="1"/>
      <c r="U326" s="1">
        <v>1</v>
      </c>
      <c r="V326" s="1"/>
      <c r="W326" s="1"/>
      <c r="Y326" t="s">
        <v>10</v>
      </c>
      <c r="Z326" t="s">
        <v>4316</v>
      </c>
      <c r="AA326" t="s">
        <v>4317</v>
      </c>
      <c r="AB326" t="s">
        <v>4793</v>
      </c>
      <c r="AC326" t="s">
        <v>4794</v>
      </c>
      <c r="AD326" s="18">
        <v>46112</v>
      </c>
    </row>
    <row r="327" spans="1:30" ht="409.5" hidden="1">
      <c r="A327" s="1" t="s">
        <v>965</v>
      </c>
      <c r="B327" s="1">
        <v>1326</v>
      </c>
      <c r="C327" s="1">
        <v>6</v>
      </c>
      <c r="D327" s="1">
        <v>38</v>
      </c>
      <c r="E327" s="1" t="s">
        <v>4297</v>
      </c>
      <c r="F327" s="1" t="s">
        <v>4298</v>
      </c>
      <c r="G327" s="1" t="s">
        <v>40</v>
      </c>
      <c r="H327" s="1" t="s">
        <v>3660</v>
      </c>
      <c r="I327" s="1" t="s">
        <v>3656</v>
      </c>
      <c r="J327" s="1" t="s">
        <v>3657</v>
      </c>
      <c r="K327" s="1" t="s">
        <v>3318</v>
      </c>
      <c r="L327" s="1" t="s">
        <v>3658</v>
      </c>
      <c r="M327" s="1" t="s">
        <v>3659</v>
      </c>
      <c r="N327" s="1"/>
      <c r="O327" s="1" t="s">
        <v>9</v>
      </c>
      <c r="P327" s="1" t="s">
        <v>3886</v>
      </c>
      <c r="Q327" s="1"/>
      <c r="R327" s="1"/>
      <c r="S327" s="1"/>
      <c r="T327" s="1">
        <v>1</v>
      </c>
      <c r="U327" s="1"/>
      <c r="V327" s="1"/>
      <c r="W327" s="1"/>
      <c r="Y327" t="s">
        <v>9</v>
      </c>
      <c r="Z327" t="s">
        <v>4316</v>
      </c>
      <c r="AA327" t="s">
        <v>4317</v>
      </c>
      <c r="AB327" t="s">
        <v>4795</v>
      </c>
      <c r="AD327" s="18">
        <v>46112</v>
      </c>
    </row>
    <row r="328" spans="1:30" ht="409.5" hidden="1">
      <c r="A328" s="1" t="s">
        <v>965</v>
      </c>
      <c r="B328" s="1">
        <v>1327</v>
      </c>
      <c r="C328" s="1">
        <v>6</v>
      </c>
      <c r="D328" s="1">
        <v>39</v>
      </c>
      <c r="E328" s="1" t="s">
        <v>4292</v>
      </c>
      <c r="F328" s="1" t="s">
        <v>4303</v>
      </c>
      <c r="G328" s="1" t="s">
        <v>20</v>
      </c>
      <c r="H328" s="1" t="s">
        <v>1690</v>
      </c>
      <c r="I328" s="1" t="s">
        <v>1691</v>
      </c>
      <c r="J328" s="1" t="s">
        <v>1692</v>
      </c>
      <c r="K328" s="1" t="s">
        <v>1693</v>
      </c>
      <c r="L328" s="1" t="s">
        <v>1694</v>
      </c>
      <c r="M328" s="1" t="s">
        <v>1695</v>
      </c>
      <c r="N328" s="1"/>
      <c r="O328" s="1" t="s">
        <v>11</v>
      </c>
      <c r="P328" s="1" t="s">
        <v>3887</v>
      </c>
      <c r="Q328" s="1"/>
      <c r="R328" s="1"/>
      <c r="S328" s="1"/>
      <c r="T328" s="1">
        <v>1</v>
      </c>
      <c r="U328" s="1"/>
      <c r="V328" s="1"/>
      <c r="W328" s="1"/>
      <c r="Y328" t="s">
        <v>11</v>
      </c>
      <c r="Z328" t="s">
        <v>4316</v>
      </c>
      <c r="AA328" t="s">
        <v>4317</v>
      </c>
      <c r="AB328" t="s">
        <v>4796</v>
      </c>
      <c r="AC328" t="s">
        <v>4344</v>
      </c>
      <c r="AD328" s="18">
        <v>46112</v>
      </c>
    </row>
    <row r="329" spans="1:30" ht="120" hidden="1">
      <c r="A329" s="1" t="s">
        <v>965</v>
      </c>
      <c r="B329" s="1">
        <v>1328</v>
      </c>
      <c r="C329" s="1">
        <v>6</v>
      </c>
      <c r="D329" s="1">
        <v>40</v>
      </c>
      <c r="E329" s="1" t="s">
        <v>4297</v>
      </c>
      <c r="F329" s="1" t="s">
        <v>4299</v>
      </c>
      <c r="G329" s="1" t="s">
        <v>20</v>
      </c>
      <c r="H329" s="1" t="s">
        <v>1696</v>
      </c>
      <c r="I329" s="1" t="s">
        <v>1697</v>
      </c>
      <c r="J329" s="1" t="s">
        <v>1698</v>
      </c>
      <c r="K329" s="1" t="s">
        <v>1699</v>
      </c>
      <c r="L329" s="1" t="s">
        <v>1700</v>
      </c>
      <c r="M329" s="1" t="s">
        <v>1701</v>
      </c>
      <c r="N329" s="1"/>
      <c r="O329" s="1" t="s">
        <v>11</v>
      </c>
      <c r="P329" s="1" t="s">
        <v>3888</v>
      </c>
      <c r="Q329" s="1"/>
      <c r="R329" s="1"/>
      <c r="S329" s="1"/>
      <c r="T329" s="1"/>
      <c r="U329" s="1"/>
      <c r="V329" s="1"/>
      <c r="W329" s="1"/>
      <c r="Y329" t="s">
        <v>11</v>
      </c>
      <c r="Z329" t="s">
        <v>4316</v>
      </c>
      <c r="AA329" t="s">
        <v>4317</v>
      </c>
      <c r="AB329" t="s">
        <v>4797</v>
      </c>
      <c r="AD329" s="18">
        <v>46112</v>
      </c>
    </row>
    <row r="330" spans="1:30" ht="120" hidden="1">
      <c r="A330" s="1" t="s">
        <v>965</v>
      </c>
      <c r="B330" s="1">
        <v>1329</v>
      </c>
      <c r="C330" s="1">
        <v>6</v>
      </c>
      <c r="D330" s="1">
        <v>41</v>
      </c>
      <c r="E330" s="1" t="s">
        <v>4292</v>
      </c>
      <c r="F330" s="1" t="s">
        <v>4293</v>
      </c>
      <c r="G330" s="1" t="s">
        <v>4294</v>
      </c>
      <c r="H330" s="1" t="s">
        <v>1702</v>
      </c>
      <c r="I330" s="1" t="s">
        <v>1703</v>
      </c>
      <c r="J330" s="1" t="s">
        <v>1704</v>
      </c>
      <c r="K330" s="1" t="s">
        <v>1705</v>
      </c>
      <c r="L330" s="1" t="s">
        <v>1706</v>
      </c>
      <c r="M330" s="1"/>
      <c r="N330" s="1"/>
      <c r="O330" s="1" t="s">
        <v>8</v>
      </c>
      <c r="P330" s="1" t="s">
        <v>3889</v>
      </c>
      <c r="Q330" s="1"/>
      <c r="R330" s="1"/>
      <c r="S330" s="1"/>
      <c r="T330" s="1"/>
      <c r="U330" s="1"/>
      <c r="V330" s="1"/>
      <c r="W330" s="1"/>
      <c r="Y330" t="s">
        <v>8</v>
      </c>
      <c r="Z330" t="s">
        <v>4316</v>
      </c>
      <c r="AA330" t="s">
        <v>4317</v>
      </c>
      <c r="AB330" t="s">
        <v>4798</v>
      </c>
      <c r="AC330" t="s">
        <v>4359</v>
      </c>
      <c r="AD330" s="18">
        <v>46112</v>
      </c>
    </row>
    <row r="331" spans="1:30" ht="255" hidden="1">
      <c r="A331" s="1" t="s">
        <v>965</v>
      </c>
      <c r="B331" s="1">
        <v>1330</v>
      </c>
      <c r="C331" s="1">
        <v>6</v>
      </c>
      <c r="D331" s="1">
        <v>42</v>
      </c>
      <c r="E331" s="1" t="s">
        <v>4297</v>
      </c>
      <c r="F331" s="1" t="s">
        <v>4298</v>
      </c>
      <c r="G331" s="1" t="s">
        <v>20</v>
      </c>
      <c r="H331" s="1" t="s">
        <v>1707</v>
      </c>
      <c r="I331" s="1" t="s">
        <v>1708</v>
      </c>
      <c r="J331" s="1" t="s">
        <v>1709</v>
      </c>
      <c r="K331" s="1" t="s">
        <v>1710</v>
      </c>
      <c r="L331" s="1" t="s">
        <v>1711</v>
      </c>
      <c r="M331" s="1" t="s">
        <v>1712</v>
      </c>
      <c r="N331" s="1"/>
      <c r="O331" s="1" t="s">
        <v>9</v>
      </c>
      <c r="P331" s="1" t="s">
        <v>3890</v>
      </c>
      <c r="Q331" s="1"/>
      <c r="R331" s="1"/>
      <c r="S331" s="1"/>
      <c r="T331" s="1">
        <v>1</v>
      </c>
      <c r="U331" s="1"/>
      <c r="V331" s="1"/>
      <c r="W331" s="1"/>
      <c r="Y331" t="s">
        <v>9</v>
      </c>
      <c r="Z331" t="s">
        <v>4316</v>
      </c>
      <c r="AA331" t="s">
        <v>4317</v>
      </c>
      <c r="AB331" t="s">
        <v>4799</v>
      </c>
      <c r="AC331" t="s">
        <v>4473</v>
      </c>
      <c r="AD331" s="18">
        <v>46112</v>
      </c>
    </row>
    <row r="332" spans="1:30" ht="105" hidden="1">
      <c r="A332" s="1" t="s">
        <v>965</v>
      </c>
      <c r="B332" s="1">
        <v>1331</v>
      </c>
      <c r="C332" s="1">
        <v>6</v>
      </c>
      <c r="D332" s="1">
        <v>43</v>
      </c>
      <c r="E332" s="1" t="s">
        <v>4290</v>
      </c>
      <c r="F332" s="1" t="s">
        <v>4302</v>
      </c>
      <c r="G332" s="1" t="s">
        <v>20</v>
      </c>
      <c r="H332" s="1" t="s">
        <v>1713</v>
      </c>
      <c r="I332" s="1" t="s">
        <v>1714</v>
      </c>
      <c r="J332" s="1" t="s">
        <v>1715</v>
      </c>
      <c r="K332" s="1" t="s">
        <v>1716</v>
      </c>
      <c r="L332" s="1" t="s">
        <v>1717</v>
      </c>
      <c r="M332" s="1"/>
      <c r="N332" s="1"/>
      <c r="O332" s="1" t="s">
        <v>7</v>
      </c>
      <c r="P332" s="1" t="s">
        <v>3891</v>
      </c>
      <c r="Q332" s="1"/>
      <c r="R332" s="1"/>
      <c r="S332" s="1"/>
      <c r="T332" s="1"/>
      <c r="U332" s="1"/>
      <c r="V332" s="1"/>
      <c r="W332" s="1">
        <v>1</v>
      </c>
      <c r="Y332" t="s">
        <v>7</v>
      </c>
      <c r="Z332" t="s">
        <v>4316</v>
      </c>
      <c r="AA332" t="s">
        <v>4317</v>
      </c>
      <c r="AB332" t="s">
        <v>4800</v>
      </c>
      <c r="AC332" t="s">
        <v>4567</v>
      </c>
      <c r="AD332" s="18">
        <v>46112</v>
      </c>
    </row>
    <row r="333" spans="1:30" ht="75" hidden="1">
      <c r="A333" s="1" t="s">
        <v>965</v>
      </c>
      <c r="B333" s="1">
        <v>1332</v>
      </c>
      <c r="C333" s="1">
        <v>6</v>
      </c>
      <c r="D333" s="1">
        <v>44</v>
      </c>
      <c r="E333" s="1" t="s">
        <v>4297</v>
      </c>
      <c r="F333" s="1" t="s">
        <v>4301</v>
      </c>
      <c r="G333" s="1" t="s">
        <v>20</v>
      </c>
      <c r="H333" s="1" t="s">
        <v>1718</v>
      </c>
      <c r="I333" s="1" t="s">
        <v>1719</v>
      </c>
      <c r="J333" s="1" t="s">
        <v>1720</v>
      </c>
      <c r="K333" s="1" t="s">
        <v>1721</v>
      </c>
      <c r="L333" s="1" t="s">
        <v>1722</v>
      </c>
      <c r="M333" s="1" t="s">
        <v>1723</v>
      </c>
      <c r="N333" s="1"/>
      <c r="O333" s="1" t="s">
        <v>10</v>
      </c>
      <c r="P333" s="1" t="s">
        <v>3892</v>
      </c>
      <c r="Q333" s="1"/>
      <c r="R333" s="1"/>
      <c r="S333" s="1"/>
      <c r="T333" s="1">
        <v>1</v>
      </c>
      <c r="U333" s="1"/>
      <c r="V333" s="1"/>
      <c r="W333" s="1"/>
      <c r="Y333" t="s">
        <v>10</v>
      </c>
      <c r="Z333" t="s">
        <v>4316</v>
      </c>
      <c r="AA333" t="s">
        <v>4317</v>
      </c>
      <c r="AB333" t="s">
        <v>4801</v>
      </c>
      <c r="AC333" t="s">
        <v>4473</v>
      </c>
      <c r="AD333" s="18">
        <v>46112</v>
      </c>
    </row>
    <row r="334" spans="1:30" ht="315" hidden="1">
      <c r="A334" s="1" t="s">
        <v>965</v>
      </c>
      <c r="B334" s="1">
        <v>1333</v>
      </c>
      <c r="C334" s="1">
        <v>6</v>
      </c>
      <c r="D334" s="1">
        <v>45</v>
      </c>
      <c r="E334" s="1" t="s">
        <v>4290</v>
      </c>
      <c r="F334" s="1" t="s">
        <v>4291</v>
      </c>
      <c r="G334" s="1" t="s">
        <v>4294</v>
      </c>
      <c r="H334" s="1" t="s">
        <v>1724</v>
      </c>
      <c r="I334" s="1" t="s">
        <v>1725</v>
      </c>
      <c r="J334" s="1" t="s">
        <v>1726</v>
      </c>
      <c r="K334" s="1" t="s">
        <v>1727</v>
      </c>
      <c r="L334" s="1" t="s">
        <v>1728</v>
      </c>
      <c r="M334" s="1" t="s">
        <v>1729</v>
      </c>
      <c r="N334" s="1"/>
      <c r="O334" s="1" t="s">
        <v>9</v>
      </c>
      <c r="P334" s="1" t="s">
        <v>3893</v>
      </c>
      <c r="Q334" s="1"/>
      <c r="R334" s="1"/>
      <c r="S334" s="1"/>
      <c r="T334" s="1"/>
      <c r="U334" s="1"/>
      <c r="V334" s="1"/>
      <c r="W334" s="1"/>
      <c r="Y334" t="s">
        <v>9</v>
      </c>
      <c r="Z334" t="s">
        <v>4316</v>
      </c>
      <c r="AA334" t="s">
        <v>4317</v>
      </c>
      <c r="AB334" t="s">
        <v>4802</v>
      </c>
      <c r="AC334" t="s">
        <v>4407</v>
      </c>
      <c r="AD334" s="18">
        <v>46112</v>
      </c>
    </row>
    <row r="335" spans="1:30" ht="150" hidden="1">
      <c r="A335" s="1" t="s">
        <v>965</v>
      </c>
      <c r="B335" s="1">
        <v>1334</v>
      </c>
      <c r="C335" s="1">
        <v>6</v>
      </c>
      <c r="D335" s="1">
        <v>46</v>
      </c>
      <c r="E335" s="1" t="s">
        <v>4297</v>
      </c>
      <c r="F335" s="1" t="s">
        <v>4298</v>
      </c>
      <c r="G335" s="1" t="s">
        <v>20</v>
      </c>
      <c r="H335" s="1" t="s">
        <v>1730</v>
      </c>
      <c r="I335" s="1" t="s">
        <v>1731</v>
      </c>
      <c r="J335" s="1" t="s">
        <v>1732</v>
      </c>
      <c r="K335" s="1" t="s">
        <v>1733</v>
      </c>
      <c r="L335" s="1" t="s">
        <v>1734</v>
      </c>
      <c r="M335" s="1" t="s">
        <v>1735</v>
      </c>
      <c r="N335" s="1"/>
      <c r="O335" s="1" t="s">
        <v>7</v>
      </c>
      <c r="P335" s="1" t="s">
        <v>3894</v>
      </c>
      <c r="Q335" s="1"/>
      <c r="R335" s="1"/>
      <c r="S335" s="1"/>
      <c r="T335" s="1">
        <v>1</v>
      </c>
      <c r="U335" s="1"/>
      <c r="V335" s="1"/>
      <c r="W335" s="1">
        <v>1</v>
      </c>
      <c r="Y335" t="s">
        <v>7</v>
      </c>
      <c r="Z335" t="s">
        <v>4316</v>
      </c>
      <c r="AA335" t="s">
        <v>4317</v>
      </c>
      <c r="AB335" t="s">
        <v>4803</v>
      </c>
      <c r="AD335" s="18">
        <v>46112</v>
      </c>
    </row>
    <row r="336" spans="1:30" ht="285" hidden="1">
      <c r="A336" s="1" t="s">
        <v>965</v>
      </c>
      <c r="B336" s="1">
        <v>1335</v>
      </c>
      <c r="C336" s="1">
        <v>6</v>
      </c>
      <c r="D336" s="1">
        <v>47</v>
      </c>
      <c r="E336" s="1" t="s">
        <v>4297</v>
      </c>
      <c r="F336" s="1" t="s">
        <v>4299</v>
      </c>
      <c r="G336" s="1" t="s">
        <v>20</v>
      </c>
      <c r="H336" s="1" t="s">
        <v>3661</v>
      </c>
      <c r="I336" s="1" t="s">
        <v>3662</v>
      </c>
      <c r="J336" s="1" t="s">
        <v>3663</v>
      </c>
      <c r="K336" s="1" t="s">
        <v>3664</v>
      </c>
      <c r="L336" s="1" t="s">
        <v>3665</v>
      </c>
      <c r="M336" s="1" t="s">
        <v>3666</v>
      </c>
      <c r="N336" s="1"/>
      <c r="O336" s="1" t="s">
        <v>9</v>
      </c>
      <c r="P336" s="1" t="s">
        <v>3895</v>
      </c>
      <c r="Q336" s="1"/>
      <c r="R336" s="1"/>
      <c r="S336" s="1"/>
      <c r="T336" s="1"/>
      <c r="U336" s="1"/>
      <c r="V336" s="1"/>
      <c r="W336" s="1">
        <v>1</v>
      </c>
      <c r="Y336" t="s">
        <v>9</v>
      </c>
      <c r="Z336" t="s">
        <v>4316</v>
      </c>
      <c r="AA336" t="s">
        <v>4317</v>
      </c>
      <c r="AB336" t="s">
        <v>4804</v>
      </c>
      <c r="AC336" t="s">
        <v>4344</v>
      </c>
      <c r="AD336" s="18">
        <v>46112</v>
      </c>
    </row>
    <row r="337" spans="1:30" ht="105" hidden="1">
      <c r="A337" s="1" t="s">
        <v>965</v>
      </c>
      <c r="B337" s="1">
        <v>1336</v>
      </c>
      <c r="C337" s="1">
        <v>6</v>
      </c>
      <c r="D337" s="1">
        <v>48</v>
      </c>
      <c r="E337" s="1" t="s">
        <v>4297</v>
      </c>
      <c r="F337" s="1" t="s">
        <v>4301</v>
      </c>
      <c r="G337" s="1" t="s">
        <v>20</v>
      </c>
      <c r="H337" s="1" t="s">
        <v>1736</v>
      </c>
      <c r="I337" s="1" t="s">
        <v>1737</v>
      </c>
      <c r="J337" s="1" t="s">
        <v>1477</v>
      </c>
      <c r="K337" s="1" t="s">
        <v>1476</v>
      </c>
      <c r="L337" s="1" t="s">
        <v>1738</v>
      </c>
      <c r="M337" s="1" t="s">
        <v>1739</v>
      </c>
      <c r="N337" s="1"/>
      <c r="O337" s="1" t="s">
        <v>9</v>
      </c>
      <c r="P337" s="1" t="s">
        <v>3896</v>
      </c>
      <c r="Q337" s="1"/>
      <c r="R337" s="1"/>
      <c r="S337" s="1"/>
      <c r="T337" s="1"/>
      <c r="U337" s="1"/>
      <c r="V337" s="1"/>
      <c r="W337" s="1"/>
      <c r="Y337" t="s">
        <v>9</v>
      </c>
      <c r="Z337" t="s">
        <v>4316</v>
      </c>
      <c r="AA337" t="s">
        <v>4317</v>
      </c>
      <c r="AB337" t="s">
        <v>4805</v>
      </c>
      <c r="AC337" t="s">
        <v>4481</v>
      </c>
      <c r="AD337" s="18">
        <v>46112</v>
      </c>
    </row>
    <row r="338" spans="1:30" ht="360" hidden="1">
      <c r="A338" s="1" t="s">
        <v>965</v>
      </c>
      <c r="B338" s="1">
        <v>1337</v>
      </c>
      <c r="C338" s="1">
        <v>6</v>
      </c>
      <c r="D338" s="1">
        <v>49</v>
      </c>
      <c r="E338" s="1" t="s">
        <v>4297</v>
      </c>
      <c r="F338" s="1" t="s">
        <v>4299</v>
      </c>
      <c r="G338" s="1" t="s">
        <v>20</v>
      </c>
      <c r="H338" s="1" t="s">
        <v>3667</v>
      </c>
      <c r="I338" s="1" t="s">
        <v>3668</v>
      </c>
      <c r="J338" s="1" t="s">
        <v>3669</v>
      </c>
      <c r="K338" s="1" t="s">
        <v>3670</v>
      </c>
      <c r="L338" s="1" t="s">
        <v>3665</v>
      </c>
      <c r="M338" s="1" t="s">
        <v>3666</v>
      </c>
      <c r="N338" s="1"/>
      <c r="O338" s="1" t="s">
        <v>7</v>
      </c>
      <c r="P338" s="1" t="s">
        <v>3897</v>
      </c>
      <c r="Q338" s="1"/>
      <c r="R338" s="1"/>
      <c r="S338" s="1"/>
      <c r="T338" s="1"/>
      <c r="U338" s="1"/>
      <c r="V338" s="1"/>
      <c r="W338" s="1">
        <v>1</v>
      </c>
      <c r="Y338" t="s">
        <v>7</v>
      </c>
      <c r="Z338" t="s">
        <v>4316</v>
      </c>
      <c r="AA338" t="s">
        <v>4317</v>
      </c>
      <c r="AB338" t="s">
        <v>4806</v>
      </c>
      <c r="AC338" t="s">
        <v>4397</v>
      </c>
      <c r="AD338" s="18">
        <v>46112</v>
      </c>
    </row>
    <row r="339" spans="1:30" ht="345" hidden="1">
      <c r="A339" s="1" t="s">
        <v>965</v>
      </c>
      <c r="B339" s="1">
        <v>1338</v>
      </c>
      <c r="C339" s="1">
        <v>6</v>
      </c>
      <c r="D339" s="1">
        <v>50</v>
      </c>
      <c r="E339" s="1" t="s">
        <v>4290</v>
      </c>
      <c r="F339" s="1" t="s">
        <v>4291</v>
      </c>
      <c r="G339" s="1" t="s">
        <v>20</v>
      </c>
      <c r="H339" s="1" t="s">
        <v>3671</v>
      </c>
      <c r="I339" s="1" t="s">
        <v>3672</v>
      </c>
      <c r="J339" s="1" t="s">
        <v>3673</v>
      </c>
      <c r="K339" s="1" t="s">
        <v>3674</v>
      </c>
      <c r="L339" s="1" t="s">
        <v>3675</v>
      </c>
      <c r="M339" s="1" t="s">
        <v>3676</v>
      </c>
      <c r="N339" s="1"/>
      <c r="O339" s="1" t="s">
        <v>8</v>
      </c>
      <c r="P339" s="1" t="s">
        <v>3898</v>
      </c>
      <c r="Q339" s="1"/>
      <c r="R339" s="1"/>
      <c r="S339" s="1"/>
      <c r="T339" s="1"/>
      <c r="U339" s="1"/>
      <c r="V339" s="1"/>
      <c r="W339" s="1">
        <v>1</v>
      </c>
      <c r="Y339" t="s">
        <v>8</v>
      </c>
      <c r="Z339" t="s">
        <v>4316</v>
      </c>
      <c r="AA339" t="s">
        <v>4317</v>
      </c>
      <c r="AB339" t="s">
        <v>4807</v>
      </c>
      <c r="AC339" t="s">
        <v>4808</v>
      </c>
      <c r="AD339" s="18">
        <v>46112</v>
      </c>
    </row>
    <row r="340" spans="1:30" ht="255">
      <c r="A340" s="1" t="s">
        <v>965</v>
      </c>
      <c r="B340" s="1">
        <v>1339</v>
      </c>
      <c r="C340" s="1">
        <v>6</v>
      </c>
      <c r="D340" s="1">
        <v>51</v>
      </c>
      <c r="E340" s="1" t="s">
        <v>4290</v>
      </c>
      <c r="F340" s="1" t="s">
        <v>4291</v>
      </c>
      <c r="G340" s="1" t="s">
        <v>4294</v>
      </c>
      <c r="H340" s="1" t="s">
        <v>1740</v>
      </c>
      <c r="I340" s="1" t="s">
        <v>1741</v>
      </c>
      <c r="J340" s="1" t="s">
        <v>1742</v>
      </c>
      <c r="K340" s="1"/>
      <c r="L340" s="1"/>
      <c r="M340" s="1"/>
      <c r="N340" s="1"/>
      <c r="O340" s="1" t="s">
        <v>8</v>
      </c>
      <c r="P340" s="1" t="s">
        <v>3899</v>
      </c>
      <c r="Q340" s="1"/>
      <c r="R340" s="1"/>
      <c r="S340" s="1"/>
      <c r="T340" s="1"/>
      <c r="U340" s="1"/>
      <c r="V340" s="1"/>
      <c r="W340" s="1"/>
      <c r="Y340" t="s">
        <v>7</v>
      </c>
      <c r="Z340" t="s">
        <v>4331</v>
      </c>
      <c r="AA340" t="s">
        <v>4332</v>
      </c>
      <c r="AB340" t="s">
        <v>4809</v>
      </c>
      <c r="AC340" t="s">
        <v>4808</v>
      </c>
      <c r="AD340" s="18">
        <v>46112</v>
      </c>
    </row>
    <row r="341" spans="1:30" ht="409.5" hidden="1">
      <c r="A341" s="1" t="s">
        <v>965</v>
      </c>
      <c r="B341" s="1">
        <v>1340</v>
      </c>
      <c r="C341" s="1">
        <v>6</v>
      </c>
      <c r="D341" s="1">
        <v>52</v>
      </c>
      <c r="E341" s="1" t="s">
        <v>4290</v>
      </c>
      <c r="F341" s="1" t="s">
        <v>4291</v>
      </c>
      <c r="G341" s="1" t="s">
        <v>4294</v>
      </c>
      <c r="H341" s="1" t="s">
        <v>1743</v>
      </c>
      <c r="I341" s="1" t="s">
        <v>1744</v>
      </c>
      <c r="J341" s="1" t="s">
        <v>1745</v>
      </c>
      <c r="K341" s="1" t="s">
        <v>1746</v>
      </c>
      <c r="L341" s="1" t="s">
        <v>1747</v>
      </c>
      <c r="M341" s="1" t="s">
        <v>1748</v>
      </c>
      <c r="N341" s="1"/>
      <c r="O341" s="1" t="s">
        <v>9</v>
      </c>
      <c r="P341" s="1" t="s">
        <v>3900</v>
      </c>
      <c r="Q341" s="1"/>
      <c r="R341" s="1"/>
      <c r="S341" s="1"/>
      <c r="T341" s="1"/>
      <c r="U341" s="1"/>
      <c r="V341" s="1"/>
      <c r="W341" s="1"/>
      <c r="Y341" t="s">
        <v>9</v>
      </c>
      <c r="Z341" t="s">
        <v>4316</v>
      </c>
      <c r="AA341" t="s">
        <v>4317</v>
      </c>
      <c r="AB341" t="s">
        <v>4810</v>
      </c>
      <c r="AC341" t="s">
        <v>4811</v>
      </c>
      <c r="AD341" s="18">
        <v>46112</v>
      </c>
    </row>
    <row r="342" spans="1:30" ht="195" hidden="1">
      <c r="A342" s="1" t="s">
        <v>965</v>
      </c>
      <c r="B342" s="1">
        <v>1341</v>
      </c>
      <c r="C342" s="1">
        <v>6</v>
      </c>
      <c r="D342" s="1">
        <v>53</v>
      </c>
      <c r="E342" s="1" t="s">
        <v>4297</v>
      </c>
      <c r="F342" s="1" t="s">
        <v>4300</v>
      </c>
      <c r="G342" s="1" t="s">
        <v>20</v>
      </c>
      <c r="H342" s="1" t="s">
        <v>1749</v>
      </c>
      <c r="I342" s="1" t="s">
        <v>1750</v>
      </c>
      <c r="J342" s="1" t="s">
        <v>1751</v>
      </c>
      <c r="K342" s="1" t="s">
        <v>1752</v>
      </c>
      <c r="L342" s="1" t="s">
        <v>1753</v>
      </c>
      <c r="M342" s="1" t="s">
        <v>1754</v>
      </c>
      <c r="N342" s="1"/>
      <c r="O342" s="1" t="s">
        <v>11</v>
      </c>
      <c r="P342" s="1" t="s">
        <v>3901</v>
      </c>
      <c r="Q342" s="1"/>
      <c r="R342" s="1"/>
      <c r="S342" s="1"/>
      <c r="T342" s="1"/>
      <c r="U342" s="1">
        <v>1</v>
      </c>
      <c r="V342" s="1"/>
      <c r="W342" s="1"/>
      <c r="Y342" t="s">
        <v>11</v>
      </c>
      <c r="Z342" t="s">
        <v>4316</v>
      </c>
      <c r="AA342" t="s">
        <v>4317</v>
      </c>
      <c r="AB342" t="s">
        <v>4812</v>
      </c>
      <c r="AC342" t="s">
        <v>4344</v>
      </c>
      <c r="AD342" s="18">
        <v>46112</v>
      </c>
    </row>
    <row r="343" spans="1:30" ht="270" hidden="1">
      <c r="A343" s="1" t="s">
        <v>965</v>
      </c>
      <c r="B343" s="1">
        <v>1342</v>
      </c>
      <c r="C343" s="1">
        <v>6</v>
      </c>
      <c r="D343" s="1">
        <v>54</v>
      </c>
      <c r="E343" s="1" t="s">
        <v>4297</v>
      </c>
      <c r="F343" s="1" t="s">
        <v>4300</v>
      </c>
      <c r="G343" s="1" t="s">
        <v>20</v>
      </c>
      <c r="H343" s="1" t="s">
        <v>1755</v>
      </c>
      <c r="I343" s="1" t="s">
        <v>1756</v>
      </c>
      <c r="J343" s="1" t="s">
        <v>1757</v>
      </c>
      <c r="K343" s="1" t="s">
        <v>1758</v>
      </c>
      <c r="L343" s="1" t="s">
        <v>1759</v>
      </c>
      <c r="M343" s="1" t="s">
        <v>1760</v>
      </c>
      <c r="N343" s="1"/>
      <c r="O343" s="1" t="s">
        <v>9</v>
      </c>
      <c r="P343" s="1" t="s">
        <v>3902</v>
      </c>
      <c r="Q343" s="1"/>
      <c r="R343" s="1"/>
      <c r="S343" s="1"/>
      <c r="T343" s="1"/>
      <c r="U343" s="1"/>
      <c r="V343" s="1"/>
      <c r="W343" s="1">
        <v>1</v>
      </c>
      <c r="Y343" t="s">
        <v>9</v>
      </c>
      <c r="Z343" t="s">
        <v>4316</v>
      </c>
      <c r="AA343" t="s">
        <v>4317</v>
      </c>
      <c r="AB343" t="s">
        <v>4813</v>
      </c>
      <c r="AC343" t="s">
        <v>4344</v>
      </c>
      <c r="AD343" s="18">
        <v>46112</v>
      </c>
    </row>
    <row r="344" spans="1:30" ht="240" hidden="1">
      <c r="A344" s="1" t="s">
        <v>965</v>
      </c>
      <c r="B344" s="1">
        <v>1343</v>
      </c>
      <c r="C344" s="1">
        <v>6</v>
      </c>
      <c r="D344" s="1">
        <v>55</v>
      </c>
      <c r="E344" s="1" t="s">
        <v>4297</v>
      </c>
      <c r="F344" s="1" t="s">
        <v>4300</v>
      </c>
      <c r="G344" s="1" t="s">
        <v>20</v>
      </c>
      <c r="H344" s="1" t="s">
        <v>1761</v>
      </c>
      <c r="I344" s="1" t="s">
        <v>1762</v>
      </c>
      <c r="J344" s="1" t="s">
        <v>1763</v>
      </c>
      <c r="K344" s="1" t="s">
        <v>1764</v>
      </c>
      <c r="L344" s="1" t="s">
        <v>1765</v>
      </c>
      <c r="M344" s="1" t="s">
        <v>1766</v>
      </c>
      <c r="N344" s="1"/>
      <c r="O344" s="1" t="s">
        <v>11</v>
      </c>
      <c r="P344" s="1" t="s">
        <v>3903</v>
      </c>
      <c r="Q344" s="1"/>
      <c r="R344" s="1"/>
      <c r="S344" s="1"/>
      <c r="T344" s="1"/>
      <c r="U344" s="1"/>
      <c r="V344" s="1"/>
      <c r="W344" s="1">
        <v>1</v>
      </c>
      <c r="Y344" t="s">
        <v>11</v>
      </c>
      <c r="Z344" t="s">
        <v>4316</v>
      </c>
      <c r="AA344" t="s">
        <v>4317</v>
      </c>
      <c r="AB344" t="s">
        <v>4814</v>
      </c>
      <c r="AC344" t="s">
        <v>4344</v>
      </c>
      <c r="AD344" s="18">
        <v>46112</v>
      </c>
    </row>
    <row r="345" spans="1:30" ht="409.5">
      <c r="A345" s="1" t="s">
        <v>965</v>
      </c>
      <c r="B345" s="1">
        <v>1344</v>
      </c>
      <c r="C345" s="1">
        <v>6</v>
      </c>
      <c r="D345" s="1">
        <v>56</v>
      </c>
      <c r="E345" s="1" t="s">
        <v>4297</v>
      </c>
      <c r="F345" s="1" t="s">
        <v>4301</v>
      </c>
      <c r="G345" s="1" t="s">
        <v>4294</v>
      </c>
      <c r="H345" s="1" t="s">
        <v>1767</v>
      </c>
      <c r="I345" s="1" t="s">
        <v>1597</v>
      </c>
      <c r="J345" s="1" t="s">
        <v>1599</v>
      </c>
      <c r="K345" s="1" t="s">
        <v>1768</v>
      </c>
      <c r="L345" s="1" t="s">
        <v>1598</v>
      </c>
      <c r="M345" s="1" t="s">
        <v>1601</v>
      </c>
      <c r="N345" s="1"/>
      <c r="O345" s="1" t="s">
        <v>8</v>
      </c>
      <c r="P345" s="1" t="s">
        <v>3904</v>
      </c>
      <c r="Q345" s="1"/>
      <c r="R345" s="1"/>
      <c r="S345" s="1"/>
      <c r="T345" s="1">
        <v>1</v>
      </c>
      <c r="U345" s="1">
        <v>1</v>
      </c>
      <c r="V345" s="1"/>
      <c r="W345" s="1"/>
      <c r="Y345" t="s">
        <v>10</v>
      </c>
      <c r="Z345" t="s">
        <v>4331</v>
      </c>
      <c r="AA345" t="s">
        <v>4332</v>
      </c>
      <c r="AB345" t="s">
        <v>4815</v>
      </c>
      <c r="AC345" t="s">
        <v>4502</v>
      </c>
      <c r="AD345" s="18">
        <v>46112</v>
      </c>
    </row>
    <row r="346" spans="1:30" ht="375" hidden="1">
      <c r="A346" s="1" t="s">
        <v>965</v>
      </c>
      <c r="B346" s="1">
        <v>1345</v>
      </c>
      <c r="C346" s="1">
        <v>6</v>
      </c>
      <c r="D346" s="1">
        <v>57</v>
      </c>
      <c r="E346" s="1" t="s">
        <v>4290</v>
      </c>
      <c r="F346" s="1" t="s">
        <v>4302</v>
      </c>
      <c r="G346" s="1" t="s">
        <v>4294</v>
      </c>
      <c r="H346" s="1" t="s">
        <v>1769</v>
      </c>
      <c r="I346" s="1" t="s">
        <v>1770</v>
      </c>
      <c r="J346" s="1" t="s">
        <v>1771</v>
      </c>
      <c r="K346" s="1" t="s">
        <v>1772</v>
      </c>
      <c r="L346" s="1" t="s">
        <v>1773</v>
      </c>
      <c r="M346" s="1" t="s">
        <v>1774</v>
      </c>
      <c r="N346" s="1"/>
      <c r="O346" s="1" t="s">
        <v>8</v>
      </c>
      <c r="P346" s="1" t="s">
        <v>3905</v>
      </c>
      <c r="Q346" s="1"/>
      <c r="R346" s="1"/>
      <c r="S346" s="1"/>
      <c r="T346" s="1"/>
      <c r="U346" s="1">
        <v>1</v>
      </c>
      <c r="V346" s="1"/>
      <c r="W346" s="1">
        <v>1</v>
      </c>
      <c r="Y346" t="s">
        <v>8</v>
      </c>
      <c r="Z346" t="s">
        <v>4316</v>
      </c>
      <c r="AA346" t="s">
        <v>4317</v>
      </c>
      <c r="AB346" t="s">
        <v>4816</v>
      </c>
      <c r="AC346" t="s">
        <v>4817</v>
      </c>
      <c r="AD346" s="18">
        <v>46112</v>
      </c>
    </row>
    <row r="347" spans="1:30" ht="180" hidden="1">
      <c r="A347" s="1" t="s">
        <v>965</v>
      </c>
      <c r="B347" s="1">
        <v>1346</v>
      </c>
      <c r="C347" s="1">
        <v>6</v>
      </c>
      <c r="D347" s="1">
        <v>58</v>
      </c>
      <c r="E347" s="1" t="s">
        <v>4292</v>
      </c>
      <c r="F347" s="1" t="s">
        <v>4293</v>
      </c>
      <c r="G347" s="1" t="s">
        <v>4294</v>
      </c>
      <c r="H347" s="1" t="s">
        <v>1775</v>
      </c>
      <c r="I347" s="1" t="s">
        <v>1776</v>
      </c>
      <c r="J347" s="1" t="s">
        <v>1777</v>
      </c>
      <c r="K347" s="1" t="s">
        <v>1778</v>
      </c>
      <c r="L347" s="1" t="s">
        <v>1779</v>
      </c>
      <c r="M347" s="1" t="s">
        <v>1780</v>
      </c>
      <c r="N347" s="1"/>
      <c r="O347" s="1" t="s">
        <v>10</v>
      </c>
      <c r="P347" s="1" t="s">
        <v>3906</v>
      </c>
      <c r="Q347" s="1"/>
      <c r="R347" s="1"/>
      <c r="S347" s="1"/>
      <c r="T347" s="1"/>
      <c r="U347" s="1"/>
      <c r="V347" s="1"/>
      <c r="W347" s="1"/>
      <c r="X347" s="1" t="s">
        <v>3907</v>
      </c>
      <c r="Y347" t="s">
        <v>10</v>
      </c>
      <c r="Z347" t="s">
        <v>4316</v>
      </c>
      <c r="AA347" t="s">
        <v>4317</v>
      </c>
      <c r="AB347" t="s">
        <v>4818</v>
      </c>
      <c r="AC347" t="s">
        <v>4359</v>
      </c>
      <c r="AD347" s="18">
        <v>46112</v>
      </c>
    </row>
    <row r="348" spans="1:30" ht="150" hidden="1">
      <c r="A348" s="1" t="s">
        <v>965</v>
      </c>
      <c r="B348" s="1">
        <v>1347</v>
      </c>
      <c r="C348" s="1">
        <v>6</v>
      </c>
      <c r="D348" s="1">
        <v>59</v>
      </c>
      <c r="E348" s="1" t="s">
        <v>4295</v>
      </c>
      <c r="F348" s="1" t="s">
        <v>4296</v>
      </c>
      <c r="G348" s="1" t="s">
        <v>40</v>
      </c>
      <c r="H348" s="1" t="s">
        <v>1781</v>
      </c>
      <c r="I348" s="1" t="s">
        <v>1782</v>
      </c>
      <c r="J348" s="1" t="s">
        <v>1783</v>
      </c>
      <c r="K348" s="1" t="s">
        <v>1784</v>
      </c>
      <c r="L348" s="1" t="s">
        <v>1785</v>
      </c>
      <c r="M348" s="1" t="s">
        <v>1786</v>
      </c>
      <c r="N348" s="1"/>
      <c r="O348" s="1" t="s">
        <v>10</v>
      </c>
      <c r="P348" s="1" t="s">
        <v>3908</v>
      </c>
      <c r="Q348" s="1"/>
      <c r="R348" s="1"/>
      <c r="S348" s="1"/>
      <c r="T348" s="1"/>
      <c r="U348" s="1"/>
      <c r="V348" s="1"/>
      <c r="W348" s="1"/>
      <c r="X348" s="1" t="s">
        <v>3909</v>
      </c>
      <c r="Y348" t="s">
        <v>10</v>
      </c>
      <c r="Z348" t="s">
        <v>4316</v>
      </c>
      <c r="AA348" t="s">
        <v>4317</v>
      </c>
      <c r="AB348" t="s">
        <v>4819</v>
      </c>
      <c r="AC348" t="s">
        <v>4820</v>
      </c>
      <c r="AD348" s="18">
        <v>46112</v>
      </c>
    </row>
    <row r="349" spans="1:30" ht="409.5" hidden="1">
      <c r="A349" s="1" t="s">
        <v>965</v>
      </c>
      <c r="B349" s="1">
        <v>1348</v>
      </c>
      <c r="C349" s="1">
        <v>6</v>
      </c>
      <c r="D349" s="1">
        <v>60</v>
      </c>
      <c r="E349" s="1" t="s">
        <v>4290</v>
      </c>
      <c r="F349" s="1" t="s">
        <v>4302</v>
      </c>
      <c r="G349" s="1" t="s">
        <v>20</v>
      </c>
      <c r="H349" s="1" t="s">
        <v>1787</v>
      </c>
      <c r="I349" s="1" t="s">
        <v>1788</v>
      </c>
      <c r="J349" s="1" t="s">
        <v>1789</v>
      </c>
      <c r="K349" s="1" t="s">
        <v>1790</v>
      </c>
      <c r="L349" s="1" t="s">
        <v>1791</v>
      </c>
      <c r="M349" s="1" t="s">
        <v>1437</v>
      </c>
      <c r="N349" s="1"/>
      <c r="O349" s="1" t="s">
        <v>9</v>
      </c>
      <c r="P349" s="1" t="s">
        <v>3910</v>
      </c>
      <c r="Q349" s="1"/>
      <c r="R349" s="1"/>
      <c r="S349" s="1"/>
      <c r="T349" s="1">
        <v>1</v>
      </c>
      <c r="U349" s="1">
        <v>1</v>
      </c>
      <c r="V349" s="1"/>
      <c r="W349" s="1"/>
      <c r="Y349" t="s">
        <v>9</v>
      </c>
      <c r="Z349" t="s">
        <v>4316</v>
      </c>
      <c r="AA349" t="s">
        <v>4317</v>
      </c>
      <c r="AB349" t="s">
        <v>4821</v>
      </c>
      <c r="AC349" t="s">
        <v>4817</v>
      </c>
      <c r="AD349" s="18">
        <v>46112</v>
      </c>
    </row>
    <row r="350" spans="1:30" ht="409.5" hidden="1">
      <c r="A350" s="1" t="s">
        <v>965</v>
      </c>
      <c r="B350" s="1">
        <v>1349</v>
      </c>
      <c r="C350" s="1">
        <v>7</v>
      </c>
      <c r="D350" s="1">
        <v>1</v>
      </c>
      <c r="E350" s="1" t="s">
        <v>4292</v>
      </c>
      <c r="F350" s="1" t="s">
        <v>4293</v>
      </c>
      <c r="G350" s="1" t="s">
        <v>40</v>
      </c>
      <c r="H350" s="1" t="s">
        <v>1792</v>
      </c>
      <c r="I350" s="1" t="s">
        <v>1793</v>
      </c>
      <c r="J350" s="1" t="s">
        <v>1794</v>
      </c>
      <c r="K350" s="1" t="s">
        <v>1795</v>
      </c>
      <c r="L350" s="1" t="s">
        <v>1796</v>
      </c>
      <c r="M350" s="1" t="s">
        <v>1797</v>
      </c>
      <c r="N350" s="1"/>
      <c r="O350" s="1" t="s">
        <v>8</v>
      </c>
      <c r="P350" s="1" t="s">
        <v>3911</v>
      </c>
      <c r="Q350" s="1"/>
      <c r="R350" s="1"/>
      <c r="S350" s="1"/>
      <c r="T350" s="1"/>
      <c r="U350" s="1"/>
      <c r="V350" s="1"/>
      <c r="W350" s="1"/>
      <c r="Y350" t="s">
        <v>8</v>
      </c>
      <c r="Z350" t="s">
        <v>4316</v>
      </c>
      <c r="AA350" t="s">
        <v>4317</v>
      </c>
      <c r="AB350" t="s">
        <v>4822</v>
      </c>
      <c r="AC350" t="s">
        <v>4823</v>
      </c>
      <c r="AD350" s="18">
        <v>46112</v>
      </c>
    </row>
    <row r="351" spans="1:30" ht="150" hidden="1">
      <c r="A351" s="1" t="s">
        <v>965</v>
      </c>
      <c r="B351" s="1">
        <v>1350</v>
      </c>
      <c r="C351" s="1">
        <v>7</v>
      </c>
      <c r="D351" s="1">
        <v>2</v>
      </c>
      <c r="E351" s="1" t="s">
        <v>4290</v>
      </c>
      <c r="F351" s="1" t="s">
        <v>4302</v>
      </c>
      <c r="G351" s="1" t="s">
        <v>4294</v>
      </c>
      <c r="H351" s="1" t="s">
        <v>1798</v>
      </c>
      <c r="I351" s="1" t="s">
        <v>1799</v>
      </c>
      <c r="J351" s="1" t="s">
        <v>1800</v>
      </c>
      <c r="K351" s="1" t="s">
        <v>1801</v>
      </c>
      <c r="L351" s="1" t="s">
        <v>1802</v>
      </c>
      <c r="M351" s="1" t="s">
        <v>1803</v>
      </c>
      <c r="N351" s="1"/>
      <c r="O351" s="1" t="s">
        <v>10</v>
      </c>
      <c r="P351" s="1" t="s">
        <v>3912</v>
      </c>
      <c r="Q351" s="1"/>
      <c r="R351" s="1"/>
      <c r="S351" s="1"/>
      <c r="T351" s="1"/>
      <c r="U351" s="1"/>
      <c r="V351" s="1"/>
      <c r="W351" s="1"/>
      <c r="Y351" t="s">
        <v>10</v>
      </c>
      <c r="Z351" t="s">
        <v>4316</v>
      </c>
      <c r="AA351" t="s">
        <v>4317</v>
      </c>
      <c r="AB351" t="s">
        <v>4824</v>
      </c>
      <c r="AC351" t="s">
        <v>4567</v>
      </c>
      <c r="AD351" s="18">
        <v>46112</v>
      </c>
    </row>
    <row r="352" spans="1:30" ht="330" hidden="1">
      <c r="A352" s="1" t="s">
        <v>965</v>
      </c>
      <c r="B352" s="1">
        <v>1351</v>
      </c>
      <c r="C352" s="1">
        <v>7</v>
      </c>
      <c r="D352" s="1">
        <v>3</v>
      </c>
      <c r="E352" s="1" t="s">
        <v>4297</v>
      </c>
      <c r="F352" s="1" t="s">
        <v>4298</v>
      </c>
      <c r="G352" s="1" t="s">
        <v>40</v>
      </c>
      <c r="H352" s="1" t="s">
        <v>1804</v>
      </c>
      <c r="I352" s="1" t="s">
        <v>1805</v>
      </c>
      <c r="J352" s="1" t="s">
        <v>1806</v>
      </c>
      <c r="K352" s="1" t="s">
        <v>1807</v>
      </c>
      <c r="L352" s="1" t="s">
        <v>1808</v>
      </c>
      <c r="M352" s="1" t="s">
        <v>1809</v>
      </c>
      <c r="N352" s="1"/>
      <c r="O352" s="1" t="s">
        <v>9</v>
      </c>
      <c r="P352" s="1" t="s">
        <v>3913</v>
      </c>
      <c r="Q352" s="1"/>
      <c r="R352" s="1"/>
      <c r="S352" s="1"/>
      <c r="T352" s="1"/>
      <c r="U352" s="1"/>
      <c r="V352" s="1"/>
      <c r="W352" s="1"/>
      <c r="Y352" t="s">
        <v>9</v>
      </c>
      <c r="Z352" t="s">
        <v>4316</v>
      </c>
      <c r="AA352" t="s">
        <v>4317</v>
      </c>
      <c r="AB352" t="s">
        <v>4843</v>
      </c>
      <c r="AC352" t="s">
        <v>4844</v>
      </c>
      <c r="AD352" s="18">
        <v>46112</v>
      </c>
    </row>
    <row r="353" spans="1:30" ht="405" hidden="1">
      <c r="A353" s="1" t="s">
        <v>965</v>
      </c>
      <c r="B353" s="1">
        <v>1352</v>
      </c>
      <c r="C353" s="1">
        <v>7</v>
      </c>
      <c r="D353" s="1">
        <v>4</v>
      </c>
      <c r="E353" s="1" t="s">
        <v>4290</v>
      </c>
      <c r="F353" s="1" t="s">
        <v>4302</v>
      </c>
      <c r="G353" s="1" t="s">
        <v>20</v>
      </c>
      <c r="H353" s="1" t="s">
        <v>1810</v>
      </c>
      <c r="I353" s="1" t="s">
        <v>1811</v>
      </c>
      <c r="J353" s="1" t="s">
        <v>1812</v>
      </c>
      <c r="K353" s="1" t="s">
        <v>1813</v>
      </c>
      <c r="L353" s="1" t="s">
        <v>1814</v>
      </c>
      <c r="M353" s="1" t="s">
        <v>1815</v>
      </c>
      <c r="N353" s="1"/>
      <c r="O353" s="1" t="s">
        <v>9</v>
      </c>
      <c r="P353" s="1" t="s">
        <v>3914</v>
      </c>
      <c r="Q353" s="1"/>
      <c r="R353" s="1"/>
      <c r="S353" s="1"/>
      <c r="T353" s="1">
        <v>1</v>
      </c>
      <c r="U353" s="1"/>
      <c r="V353" s="1"/>
      <c r="W353" s="1"/>
      <c r="Y353" t="s">
        <v>9</v>
      </c>
      <c r="Z353" t="s">
        <v>4316</v>
      </c>
      <c r="AA353" t="s">
        <v>4317</v>
      </c>
      <c r="AB353" t="s">
        <v>4845</v>
      </c>
      <c r="AD353" s="18">
        <v>46112</v>
      </c>
    </row>
    <row r="354" spans="1:30" ht="120">
      <c r="A354" s="1" t="s">
        <v>965</v>
      </c>
      <c r="B354" s="1">
        <v>1353</v>
      </c>
      <c r="C354" s="1">
        <v>7</v>
      </c>
      <c r="D354" s="1">
        <v>5</v>
      </c>
      <c r="E354" s="1" t="s">
        <v>4297</v>
      </c>
      <c r="F354" s="1" t="s">
        <v>4298</v>
      </c>
      <c r="G354" s="1" t="s">
        <v>4294</v>
      </c>
      <c r="H354" s="1" t="s">
        <v>1816</v>
      </c>
      <c r="I354" s="1" t="s">
        <v>1817</v>
      </c>
      <c r="J354" s="1" t="s">
        <v>1818</v>
      </c>
      <c r="K354" s="1" t="s">
        <v>1819</v>
      </c>
      <c r="L354" s="1" t="s">
        <v>1820</v>
      </c>
      <c r="M354" s="1" t="s">
        <v>1437</v>
      </c>
      <c r="N354" s="1"/>
      <c r="O354" s="1" t="s">
        <v>9</v>
      </c>
      <c r="P354" s="1" t="s">
        <v>3915</v>
      </c>
      <c r="Q354" s="1"/>
      <c r="R354" s="1"/>
      <c r="S354" s="1"/>
      <c r="T354" s="1">
        <v>1</v>
      </c>
      <c r="U354" s="1">
        <v>1</v>
      </c>
      <c r="V354" s="1"/>
      <c r="W354" s="1"/>
      <c r="Y354" t="s">
        <v>11</v>
      </c>
      <c r="Z354" t="s">
        <v>4331</v>
      </c>
      <c r="AA354" t="s">
        <v>4332</v>
      </c>
      <c r="AB354" t="s">
        <v>4846</v>
      </c>
      <c r="AC354" t="s">
        <v>4847</v>
      </c>
      <c r="AD354" s="18">
        <v>46112</v>
      </c>
    </row>
    <row r="355" spans="1:30" ht="409.5" hidden="1">
      <c r="A355" s="1" t="s">
        <v>965</v>
      </c>
      <c r="B355" s="1">
        <v>1354</v>
      </c>
      <c r="C355" s="1">
        <v>7</v>
      </c>
      <c r="D355" s="1">
        <v>6</v>
      </c>
      <c r="E355" s="1" t="s">
        <v>4297</v>
      </c>
      <c r="F355" s="1" t="s">
        <v>4298</v>
      </c>
      <c r="G355" s="1" t="s">
        <v>20</v>
      </c>
      <c r="H355" s="1" t="s">
        <v>1821</v>
      </c>
      <c r="I355" s="1" t="s">
        <v>92</v>
      </c>
      <c r="J355" s="1" t="s">
        <v>89</v>
      </c>
      <c r="K355" s="1" t="s">
        <v>1643</v>
      </c>
      <c r="L355" s="1" t="s">
        <v>1822</v>
      </c>
      <c r="M355" s="1" t="s">
        <v>355</v>
      </c>
      <c r="N355" s="1" t="s">
        <v>356</v>
      </c>
      <c r="O355" s="1" t="s">
        <v>8</v>
      </c>
      <c r="P355" s="1" t="s">
        <v>3916</v>
      </c>
      <c r="Q355" s="1"/>
      <c r="R355" s="1"/>
      <c r="S355" s="1"/>
      <c r="T355" s="1"/>
      <c r="U355" s="1"/>
      <c r="V355" s="1"/>
      <c r="W355" s="1"/>
      <c r="Y355" t="s">
        <v>8</v>
      </c>
      <c r="Z355" t="s">
        <v>4316</v>
      </c>
      <c r="AA355" t="s">
        <v>4317</v>
      </c>
      <c r="AB355" t="s">
        <v>4848</v>
      </c>
      <c r="AC355" t="s">
        <v>4327</v>
      </c>
      <c r="AD355" s="18">
        <v>46112</v>
      </c>
    </row>
    <row r="356" spans="1:30" ht="409.5" hidden="1">
      <c r="A356" s="1" t="s">
        <v>965</v>
      </c>
      <c r="B356" s="1">
        <v>1355</v>
      </c>
      <c r="C356" s="1">
        <v>7</v>
      </c>
      <c r="D356" s="1">
        <v>7</v>
      </c>
      <c r="E356" s="1" t="s">
        <v>4297</v>
      </c>
      <c r="F356" s="1" t="s">
        <v>4298</v>
      </c>
      <c r="G356" s="1" t="s">
        <v>4294</v>
      </c>
      <c r="H356" s="1" t="s">
        <v>1823</v>
      </c>
      <c r="I356" s="1" t="s">
        <v>1824</v>
      </c>
      <c r="J356" s="1" t="s">
        <v>1825</v>
      </c>
      <c r="K356" s="1" t="s">
        <v>1826</v>
      </c>
      <c r="L356" s="1" t="s">
        <v>1827</v>
      </c>
      <c r="M356" s="1" t="s">
        <v>1828</v>
      </c>
      <c r="N356" s="1"/>
      <c r="O356" s="1" t="s">
        <v>11</v>
      </c>
      <c r="P356" s="1" t="s">
        <v>3917</v>
      </c>
      <c r="Q356" s="1"/>
      <c r="R356" s="1"/>
      <c r="S356" s="1"/>
      <c r="T356" s="1">
        <v>1</v>
      </c>
      <c r="U356" s="1">
        <v>1</v>
      </c>
      <c r="V356" s="1"/>
      <c r="W356" s="1"/>
      <c r="Y356" t="s">
        <v>11</v>
      </c>
      <c r="Z356" t="s">
        <v>4316</v>
      </c>
      <c r="AA356" t="s">
        <v>4317</v>
      </c>
      <c r="AB356" t="s">
        <v>4849</v>
      </c>
      <c r="AC356" t="s">
        <v>4330</v>
      </c>
      <c r="AD356" s="18">
        <v>46112</v>
      </c>
    </row>
    <row r="357" spans="1:30" ht="45" hidden="1">
      <c r="A357" s="1" t="s">
        <v>965</v>
      </c>
      <c r="B357" s="1">
        <v>1356</v>
      </c>
      <c r="C357" s="1">
        <v>7</v>
      </c>
      <c r="D357" s="1">
        <v>8</v>
      </c>
      <c r="E357" s="1" t="s">
        <v>4297</v>
      </c>
      <c r="F357" s="1" t="s">
        <v>4298</v>
      </c>
      <c r="G357" s="1" t="s">
        <v>20</v>
      </c>
      <c r="H357" s="1" t="s">
        <v>1829</v>
      </c>
      <c r="I357" s="1" t="s">
        <v>90</v>
      </c>
      <c r="J357" s="1" t="s">
        <v>216</v>
      </c>
      <c r="K357" s="1" t="s">
        <v>89</v>
      </c>
      <c r="L357" s="1" t="s">
        <v>1830</v>
      </c>
      <c r="M357" s="1"/>
      <c r="N357" s="1"/>
      <c r="O357" s="1" t="s">
        <v>7</v>
      </c>
      <c r="P357" s="1" t="s">
        <v>3918</v>
      </c>
      <c r="Q357" s="1"/>
      <c r="R357" s="1"/>
      <c r="S357" s="1"/>
      <c r="T357" s="1"/>
      <c r="U357" s="1"/>
      <c r="V357" s="1"/>
      <c r="W357" s="1"/>
      <c r="Y357" t="s">
        <v>7</v>
      </c>
      <c r="Z357" t="s">
        <v>4316</v>
      </c>
      <c r="AA357" t="s">
        <v>4317</v>
      </c>
      <c r="AB357" t="s">
        <v>4850</v>
      </c>
      <c r="AC357" t="s">
        <v>4330</v>
      </c>
      <c r="AD357" s="18">
        <v>46112</v>
      </c>
    </row>
    <row r="358" spans="1:30" ht="270" hidden="1">
      <c r="A358" s="1" t="s">
        <v>965</v>
      </c>
      <c r="B358" s="1">
        <v>1357</v>
      </c>
      <c r="C358" s="1">
        <v>7</v>
      </c>
      <c r="D358" s="1">
        <v>9</v>
      </c>
      <c r="E358" s="1" t="s">
        <v>4297</v>
      </c>
      <c r="F358" s="1" t="s">
        <v>4298</v>
      </c>
      <c r="G358" s="1" t="s">
        <v>40</v>
      </c>
      <c r="H358" s="1" t="s">
        <v>3647</v>
      </c>
      <c r="I358" s="1" t="s">
        <v>3648</v>
      </c>
      <c r="J358" s="1" t="s">
        <v>3649</v>
      </c>
      <c r="K358" s="1" t="s">
        <v>3650</v>
      </c>
      <c r="L358" s="1" t="s">
        <v>3651</v>
      </c>
      <c r="M358" s="1" t="s">
        <v>3652</v>
      </c>
      <c r="N358" s="1"/>
      <c r="O358" s="1" t="s">
        <v>11</v>
      </c>
      <c r="P358" s="1" t="s">
        <v>3919</v>
      </c>
      <c r="Q358" s="1"/>
      <c r="R358" s="1"/>
      <c r="S358" s="1"/>
      <c r="T358" s="1"/>
      <c r="U358" s="1">
        <v>1</v>
      </c>
      <c r="V358" s="1"/>
      <c r="W358" s="1"/>
      <c r="Y358" t="s">
        <v>11</v>
      </c>
      <c r="Z358" t="s">
        <v>4316</v>
      </c>
      <c r="AA358" t="s">
        <v>4317</v>
      </c>
      <c r="AB358" t="s">
        <v>4851</v>
      </c>
      <c r="AD358" s="18">
        <v>46112</v>
      </c>
    </row>
    <row r="359" spans="1:30" ht="409.5" hidden="1">
      <c r="A359" s="1" t="s">
        <v>965</v>
      </c>
      <c r="B359" s="1">
        <v>1358</v>
      </c>
      <c r="C359" s="1">
        <v>7</v>
      </c>
      <c r="D359" s="1">
        <v>10</v>
      </c>
      <c r="E359" s="1" t="s">
        <v>4290</v>
      </c>
      <c r="F359" s="1" t="s">
        <v>4291</v>
      </c>
      <c r="G359" s="1" t="s">
        <v>20</v>
      </c>
      <c r="H359" s="1" t="s">
        <v>1831</v>
      </c>
      <c r="I359" s="1" t="s">
        <v>1832</v>
      </c>
      <c r="J359" s="1" t="s">
        <v>1833</v>
      </c>
      <c r="K359" s="1" t="s">
        <v>1834</v>
      </c>
      <c r="L359" s="1" t="s">
        <v>1835</v>
      </c>
      <c r="M359" s="1" t="s">
        <v>1836</v>
      </c>
      <c r="N359" s="1"/>
      <c r="O359" s="1" t="s">
        <v>9</v>
      </c>
      <c r="P359" s="1" t="s">
        <v>3920</v>
      </c>
      <c r="Q359" s="1"/>
      <c r="R359" s="1"/>
      <c r="S359" s="1"/>
      <c r="T359" s="1"/>
      <c r="U359" s="1">
        <v>1</v>
      </c>
      <c r="V359" s="1"/>
      <c r="W359" s="1"/>
      <c r="Y359" t="s">
        <v>9</v>
      </c>
      <c r="Z359" t="s">
        <v>4316</v>
      </c>
      <c r="AA359" t="s">
        <v>4317</v>
      </c>
      <c r="AB359" t="s">
        <v>4852</v>
      </c>
      <c r="AC359" t="s">
        <v>4481</v>
      </c>
      <c r="AD359" s="18">
        <v>46112</v>
      </c>
    </row>
    <row r="360" spans="1:30" ht="270" hidden="1">
      <c r="A360" s="1" t="s">
        <v>965</v>
      </c>
      <c r="B360" s="1">
        <v>1359</v>
      </c>
      <c r="C360" s="1">
        <v>7</v>
      </c>
      <c r="D360" s="1">
        <v>11</v>
      </c>
      <c r="E360" s="1" t="s">
        <v>4297</v>
      </c>
      <c r="F360" s="1" t="s">
        <v>4301</v>
      </c>
      <c r="G360" s="1" t="s">
        <v>4294</v>
      </c>
      <c r="H360" s="1" t="s">
        <v>1837</v>
      </c>
      <c r="I360" s="1" t="s">
        <v>19</v>
      </c>
      <c r="J360" s="1" t="s">
        <v>363</v>
      </c>
      <c r="K360" s="1" t="s">
        <v>364</v>
      </c>
      <c r="L360" s="1" t="s">
        <v>1477</v>
      </c>
      <c r="M360" s="1" t="s">
        <v>1838</v>
      </c>
      <c r="N360" s="1"/>
      <c r="O360" s="1" t="s">
        <v>10</v>
      </c>
      <c r="P360" s="1" t="s">
        <v>3921</v>
      </c>
      <c r="Q360" s="1"/>
      <c r="R360" s="1"/>
      <c r="S360" s="1"/>
      <c r="T360" s="1">
        <v>1</v>
      </c>
      <c r="U360" s="1">
        <v>1</v>
      </c>
      <c r="V360" s="1"/>
      <c r="W360" s="1"/>
      <c r="Y360" t="s">
        <v>10</v>
      </c>
      <c r="Z360" t="s">
        <v>4316</v>
      </c>
      <c r="AA360" t="s">
        <v>4317</v>
      </c>
      <c r="AB360" t="s">
        <v>4853</v>
      </c>
      <c r="AC360" t="s">
        <v>4502</v>
      </c>
      <c r="AD360" s="18">
        <v>46112</v>
      </c>
    </row>
    <row r="361" spans="1:30" ht="409.5" hidden="1">
      <c r="A361" s="1" t="s">
        <v>965</v>
      </c>
      <c r="B361" s="1">
        <v>1360</v>
      </c>
      <c r="C361" s="1">
        <v>7</v>
      </c>
      <c r="D361" s="1">
        <v>12</v>
      </c>
      <c r="E361" s="1" t="s">
        <v>4297</v>
      </c>
      <c r="F361" s="1" t="s">
        <v>4301</v>
      </c>
      <c r="G361" s="1" t="s">
        <v>4294</v>
      </c>
      <c r="H361" s="1" t="s">
        <v>1839</v>
      </c>
      <c r="I361" s="1" t="s">
        <v>1840</v>
      </c>
      <c r="J361" s="1" t="s">
        <v>1841</v>
      </c>
      <c r="K361" s="1" t="s">
        <v>1842</v>
      </c>
      <c r="L361" s="1" t="s">
        <v>1843</v>
      </c>
      <c r="M361" s="1" t="s">
        <v>1844</v>
      </c>
      <c r="N361" s="1" t="s">
        <v>1845</v>
      </c>
      <c r="O361" s="1" t="s">
        <v>8</v>
      </c>
      <c r="P361" s="1" t="s">
        <v>3922</v>
      </c>
      <c r="Q361" s="1"/>
      <c r="R361" s="1"/>
      <c r="S361" s="1"/>
      <c r="T361" s="1"/>
      <c r="U361" s="1">
        <v>1</v>
      </c>
      <c r="V361" s="1"/>
      <c r="W361" s="1"/>
      <c r="Z361" t="s">
        <v>4386</v>
      </c>
      <c r="AB361" t="s">
        <v>4854</v>
      </c>
      <c r="AC361" t="s">
        <v>4855</v>
      </c>
      <c r="AD361" s="18">
        <v>46112</v>
      </c>
    </row>
    <row r="362" spans="1:30" ht="135" hidden="1">
      <c r="A362" s="1" t="s">
        <v>965</v>
      </c>
      <c r="B362" s="1">
        <v>1361</v>
      </c>
      <c r="C362" s="1">
        <v>7</v>
      </c>
      <c r="D362" s="1">
        <v>13</v>
      </c>
      <c r="E362" s="1" t="s">
        <v>4297</v>
      </c>
      <c r="F362" s="1" t="s">
        <v>4301</v>
      </c>
      <c r="G362" s="1" t="s">
        <v>20</v>
      </c>
      <c r="H362" s="1" t="s">
        <v>1846</v>
      </c>
      <c r="I362" s="1" t="s">
        <v>1847</v>
      </c>
      <c r="J362" s="1" t="s">
        <v>1848</v>
      </c>
      <c r="K362" s="1" t="s">
        <v>1849</v>
      </c>
      <c r="L362" s="1" t="s">
        <v>1850</v>
      </c>
      <c r="M362" s="1" t="s">
        <v>1851</v>
      </c>
      <c r="N362" s="1"/>
      <c r="O362" s="1" t="s">
        <v>9</v>
      </c>
      <c r="P362" s="1" t="s">
        <v>3923</v>
      </c>
      <c r="Q362" s="1"/>
      <c r="R362" s="1"/>
      <c r="S362" s="1"/>
      <c r="T362" s="1">
        <v>1</v>
      </c>
      <c r="U362" s="1">
        <v>1</v>
      </c>
      <c r="V362" s="1"/>
      <c r="W362" s="1"/>
      <c r="Z362" t="s">
        <v>4386</v>
      </c>
      <c r="AB362" t="s">
        <v>4856</v>
      </c>
      <c r="AC362" t="s">
        <v>4857</v>
      </c>
      <c r="AD362" s="18">
        <v>46112</v>
      </c>
    </row>
    <row r="363" spans="1:30" ht="135" hidden="1">
      <c r="A363" s="1" t="s">
        <v>965</v>
      </c>
      <c r="B363" s="1">
        <v>1362</v>
      </c>
      <c r="C363" s="1">
        <v>7</v>
      </c>
      <c r="D363" s="1">
        <v>14</v>
      </c>
      <c r="E363" s="1" t="s">
        <v>4297</v>
      </c>
      <c r="F363" s="1" t="s">
        <v>4300</v>
      </c>
      <c r="G363" s="1" t="s">
        <v>20</v>
      </c>
      <c r="H363" s="1" t="s">
        <v>1852</v>
      </c>
      <c r="I363" s="1" t="s">
        <v>1853</v>
      </c>
      <c r="J363" s="1" t="s">
        <v>1854</v>
      </c>
      <c r="K363" s="1" t="s">
        <v>1855</v>
      </c>
      <c r="L363" s="1" t="s">
        <v>5474</v>
      </c>
      <c r="M363" s="1" t="s">
        <v>1856</v>
      </c>
      <c r="N363" s="1"/>
      <c r="O363" s="1" t="s">
        <v>10</v>
      </c>
      <c r="P363" s="1" t="s">
        <v>5475</v>
      </c>
      <c r="Q363" s="1"/>
      <c r="R363" s="1"/>
      <c r="S363" s="1"/>
      <c r="T363" s="1"/>
      <c r="U363" s="1"/>
      <c r="V363" s="1"/>
      <c r="W363" s="1"/>
      <c r="Y363" t="s">
        <v>10</v>
      </c>
      <c r="Z363" t="s">
        <v>4316</v>
      </c>
      <c r="AA363" t="s">
        <v>4317</v>
      </c>
      <c r="AB363" t="s">
        <v>4858</v>
      </c>
      <c r="AC363" t="s">
        <v>4344</v>
      </c>
      <c r="AD363" s="18">
        <v>46112</v>
      </c>
    </row>
    <row r="364" spans="1:30" ht="285" hidden="1">
      <c r="A364" s="1" t="s">
        <v>965</v>
      </c>
      <c r="B364" s="1">
        <v>1363</v>
      </c>
      <c r="C364" s="1">
        <v>7</v>
      </c>
      <c r="D364" s="1">
        <v>15</v>
      </c>
      <c r="E364" s="1" t="s">
        <v>4290</v>
      </c>
      <c r="F364" s="1" t="s">
        <v>4291</v>
      </c>
      <c r="G364" s="1" t="s">
        <v>4294</v>
      </c>
      <c r="H364" s="1" t="s">
        <v>1857</v>
      </c>
      <c r="I364" s="1" t="s">
        <v>1858</v>
      </c>
      <c r="J364" s="1" t="s">
        <v>1859</v>
      </c>
      <c r="K364" s="1" t="s">
        <v>1860</v>
      </c>
      <c r="L364" s="1" t="s">
        <v>1861</v>
      </c>
      <c r="M364" s="1" t="s">
        <v>1862</v>
      </c>
      <c r="N364" s="1"/>
      <c r="O364" s="1" t="s">
        <v>8</v>
      </c>
      <c r="P364" s="1" t="s">
        <v>3924</v>
      </c>
      <c r="Q364" s="1"/>
      <c r="R364" s="1"/>
      <c r="S364" s="1"/>
      <c r="T364" s="1"/>
      <c r="U364" s="1">
        <v>1</v>
      </c>
      <c r="V364" s="1"/>
      <c r="W364" s="1"/>
      <c r="Y364" t="s">
        <v>8</v>
      </c>
      <c r="Z364" t="s">
        <v>4316</v>
      </c>
      <c r="AA364" t="s">
        <v>4317</v>
      </c>
      <c r="AB364" t="s">
        <v>4859</v>
      </c>
      <c r="AC364" t="s">
        <v>4481</v>
      </c>
      <c r="AD364" s="18">
        <v>46112</v>
      </c>
    </row>
    <row r="365" spans="1:30" ht="360" hidden="1">
      <c r="A365" s="1" t="s">
        <v>965</v>
      </c>
      <c r="B365" s="1">
        <v>1364</v>
      </c>
      <c r="C365" s="1">
        <v>7</v>
      </c>
      <c r="D365" s="1">
        <v>16</v>
      </c>
      <c r="E365" s="1" t="s">
        <v>4290</v>
      </c>
      <c r="F365" s="1" t="s">
        <v>4302</v>
      </c>
      <c r="G365" s="1" t="s">
        <v>4294</v>
      </c>
      <c r="H365" s="1" t="s">
        <v>1863</v>
      </c>
      <c r="I365" s="1" t="s">
        <v>1864</v>
      </c>
      <c r="J365" s="1" t="s">
        <v>1865</v>
      </c>
      <c r="K365" s="1" t="s">
        <v>1866</v>
      </c>
      <c r="L365" s="1" t="s">
        <v>1867</v>
      </c>
      <c r="M365" s="1" t="s">
        <v>1868</v>
      </c>
      <c r="N365" s="1"/>
      <c r="O365" s="1" t="s">
        <v>11</v>
      </c>
      <c r="P365" s="1" t="s">
        <v>5476</v>
      </c>
      <c r="Q365" s="1"/>
      <c r="R365" s="1"/>
      <c r="S365" s="1"/>
      <c r="T365" s="1"/>
      <c r="U365" s="1"/>
      <c r="V365" s="1"/>
      <c r="W365" s="1"/>
      <c r="Y365" t="s">
        <v>11</v>
      </c>
      <c r="Z365" t="s">
        <v>4316</v>
      </c>
      <c r="AA365" t="s">
        <v>4317</v>
      </c>
      <c r="AB365" t="s">
        <v>4860</v>
      </c>
      <c r="AC365" t="s">
        <v>4861</v>
      </c>
      <c r="AD365" s="18">
        <v>46112</v>
      </c>
    </row>
    <row r="366" spans="1:30" ht="409.5" hidden="1">
      <c r="A366" s="1" t="s">
        <v>965</v>
      </c>
      <c r="B366" s="1">
        <v>1365</v>
      </c>
      <c r="C366" s="1">
        <v>7</v>
      </c>
      <c r="D366" s="1">
        <v>17</v>
      </c>
      <c r="E366" s="1" t="s">
        <v>4292</v>
      </c>
      <c r="F366" s="1" t="s">
        <v>4293</v>
      </c>
      <c r="G366" s="1" t="s">
        <v>40</v>
      </c>
      <c r="H366" s="1" t="s">
        <v>5477</v>
      </c>
      <c r="I366" s="1" t="s">
        <v>5478</v>
      </c>
      <c r="J366" s="1" t="s">
        <v>137</v>
      </c>
      <c r="K366" s="1" t="s">
        <v>1869</v>
      </c>
      <c r="L366" s="1" t="s">
        <v>138</v>
      </c>
      <c r="M366" s="1" t="s">
        <v>1870</v>
      </c>
      <c r="N366" s="1"/>
      <c r="O366" s="1" t="s">
        <v>10</v>
      </c>
      <c r="P366" s="1" t="s">
        <v>5479</v>
      </c>
      <c r="Q366" s="1"/>
      <c r="R366" s="1"/>
      <c r="S366" s="1"/>
      <c r="T366" s="1"/>
      <c r="U366" s="1"/>
      <c r="V366" s="1"/>
      <c r="W366" s="1"/>
      <c r="Y366" t="s">
        <v>10</v>
      </c>
      <c r="Z366" t="s">
        <v>4316</v>
      </c>
      <c r="AA366" t="s">
        <v>4317</v>
      </c>
      <c r="AB366" t="s">
        <v>4862</v>
      </c>
      <c r="AC366" t="s">
        <v>4444</v>
      </c>
      <c r="AD366" s="18">
        <v>46112</v>
      </c>
    </row>
    <row r="367" spans="1:30" ht="405" hidden="1">
      <c r="A367" s="1" t="s">
        <v>965</v>
      </c>
      <c r="B367" s="1">
        <v>1366</v>
      </c>
      <c r="C367" s="1">
        <v>7</v>
      </c>
      <c r="D367" s="1">
        <v>18</v>
      </c>
      <c r="E367" s="1" t="s">
        <v>4295</v>
      </c>
      <c r="F367" s="1" t="s">
        <v>4296</v>
      </c>
      <c r="G367" s="1" t="s">
        <v>40</v>
      </c>
      <c r="H367" s="1" t="s">
        <v>1871</v>
      </c>
      <c r="I367" s="1" t="s">
        <v>1872</v>
      </c>
      <c r="J367" s="1" t="s">
        <v>1873</v>
      </c>
      <c r="K367" s="1" t="s">
        <v>1874</v>
      </c>
      <c r="L367" s="1" t="s">
        <v>1875</v>
      </c>
      <c r="M367" s="1" t="s">
        <v>1876</v>
      </c>
      <c r="N367" s="1"/>
      <c r="O367" s="1" t="s">
        <v>7</v>
      </c>
      <c r="P367" s="1" t="s">
        <v>5480</v>
      </c>
      <c r="Q367" s="1"/>
      <c r="R367" s="1"/>
      <c r="S367" s="1"/>
      <c r="T367" s="1"/>
      <c r="U367" s="1">
        <v>1</v>
      </c>
      <c r="V367" s="1"/>
      <c r="W367" s="1"/>
      <c r="Z367" t="s">
        <v>4386</v>
      </c>
      <c r="AB367" t="s">
        <v>4863</v>
      </c>
      <c r="AC367" t="s">
        <v>4377</v>
      </c>
      <c r="AD367" s="18">
        <v>46112</v>
      </c>
    </row>
    <row r="368" spans="1:30" ht="285" hidden="1">
      <c r="A368" s="1" t="s">
        <v>965</v>
      </c>
      <c r="B368" s="1">
        <v>1367</v>
      </c>
      <c r="C368" s="1">
        <v>7</v>
      </c>
      <c r="D368" s="1">
        <v>19</v>
      </c>
      <c r="E368" s="1" t="s">
        <v>4305</v>
      </c>
      <c r="F368" s="1" t="s">
        <v>4307</v>
      </c>
      <c r="G368" s="1" t="s">
        <v>4294</v>
      </c>
      <c r="H368" s="1" t="s">
        <v>3653</v>
      </c>
      <c r="I368" s="1" t="s">
        <v>3654</v>
      </c>
      <c r="J368" s="1" t="s">
        <v>3415</v>
      </c>
      <c r="K368" s="1" t="s">
        <v>3417</v>
      </c>
      <c r="L368" s="1" t="s">
        <v>3655</v>
      </c>
      <c r="M368" s="1" t="s">
        <v>216</v>
      </c>
      <c r="N368" s="1"/>
      <c r="O368" s="1" t="s">
        <v>11</v>
      </c>
      <c r="P368" s="1" t="s">
        <v>3940</v>
      </c>
      <c r="Q368" s="1"/>
      <c r="R368" s="1"/>
      <c r="S368" s="1"/>
      <c r="T368" s="1">
        <v>1</v>
      </c>
      <c r="U368" s="1"/>
      <c r="V368" s="1"/>
      <c r="W368" s="1"/>
      <c r="Y368" t="s">
        <v>11</v>
      </c>
      <c r="Z368" t="s">
        <v>4316</v>
      </c>
      <c r="AA368" t="s">
        <v>4317</v>
      </c>
      <c r="AB368" t="s">
        <v>4864</v>
      </c>
      <c r="AC368" t="s">
        <v>4865</v>
      </c>
      <c r="AD368" s="18">
        <v>46112</v>
      </c>
    </row>
    <row r="369" spans="1:30" ht="105" hidden="1">
      <c r="A369" s="1" t="s">
        <v>965</v>
      </c>
      <c r="B369" s="1">
        <v>1368</v>
      </c>
      <c r="C369" s="1">
        <v>7</v>
      </c>
      <c r="D369" s="1">
        <v>20</v>
      </c>
      <c r="E369" s="1" t="s">
        <v>4295</v>
      </c>
      <c r="F369" s="1" t="s">
        <v>4296</v>
      </c>
      <c r="G369" s="1" t="s">
        <v>20</v>
      </c>
      <c r="H369" s="1" t="s">
        <v>1877</v>
      </c>
      <c r="I369" s="1" t="s">
        <v>1878</v>
      </c>
      <c r="J369" s="1" t="s">
        <v>1879</v>
      </c>
      <c r="K369" s="1" t="s">
        <v>1880</v>
      </c>
      <c r="L369" s="1" t="s">
        <v>1314</v>
      </c>
      <c r="M369" s="1" t="s">
        <v>1881</v>
      </c>
      <c r="N369" s="1"/>
      <c r="O369" s="1" t="s">
        <v>9</v>
      </c>
      <c r="P369" s="1" t="s">
        <v>3941</v>
      </c>
      <c r="Q369" s="1"/>
      <c r="R369" s="1"/>
      <c r="S369" s="1"/>
      <c r="T369" s="1">
        <v>1</v>
      </c>
      <c r="U369" s="1"/>
      <c r="V369" s="1"/>
      <c r="W369" s="1"/>
      <c r="Y369" t="s">
        <v>9</v>
      </c>
      <c r="Z369" t="s">
        <v>4316</v>
      </c>
      <c r="AA369" t="s">
        <v>4317</v>
      </c>
      <c r="AB369" t="s">
        <v>4866</v>
      </c>
      <c r="AD369" s="18">
        <v>46112</v>
      </c>
    </row>
    <row r="370" spans="1:30" ht="90" hidden="1">
      <c r="A370" s="1" t="s">
        <v>965</v>
      </c>
      <c r="B370" s="1">
        <v>1369</v>
      </c>
      <c r="C370" s="1">
        <v>7</v>
      </c>
      <c r="D370" s="1">
        <v>21</v>
      </c>
      <c r="E370" s="1" t="s">
        <v>4292</v>
      </c>
      <c r="F370" s="1" t="s">
        <v>4303</v>
      </c>
      <c r="G370" s="1" t="s">
        <v>20</v>
      </c>
      <c r="H370" s="1" t="s">
        <v>1882</v>
      </c>
      <c r="I370" s="1" t="s">
        <v>1883</v>
      </c>
      <c r="J370" s="1" t="s">
        <v>1884</v>
      </c>
      <c r="K370" s="1" t="s">
        <v>1885</v>
      </c>
      <c r="L370" s="1" t="s">
        <v>1886</v>
      </c>
      <c r="M370" s="1" t="s">
        <v>1887</v>
      </c>
      <c r="N370" s="1"/>
      <c r="O370" s="1" t="s">
        <v>10</v>
      </c>
      <c r="P370" s="1" t="s">
        <v>3942</v>
      </c>
      <c r="Q370" s="1"/>
      <c r="R370" s="1"/>
      <c r="S370" s="1"/>
      <c r="T370" s="1"/>
      <c r="U370" s="1"/>
      <c r="V370" s="1"/>
      <c r="W370" s="1"/>
      <c r="Y370" t="s">
        <v>10</v>
      </c>
      <c r="Z370" t="s">
        <v>4316</v>
      </c>
      <c r="AA370" t="s">
        <v>4317</v>
      </c>
      <c r="AB370" t="s">
        <v>4867</v>
      </c>
      <c r="AC370" t="s">
        <v>4844</v>
      </c>
      <c r="AD370" s="18">
        <v>46112</v>
      </c>
    </row>
    <row r="371" spans="1:30" ht="330" hidden="1">
      <c r="A371" s="1" t="s">
        <v>965</v>
      </c>
      <c r="B371" s="1">
        <v>1370</v>
      </c>
      <c r="C371" s="1">
        <v>7</v>
      </c>
      <c r="D371" s="1">
        <v>22</v>
      </c>
      <c r="E371" s="1" t="s">
        <v>4297</v>
      </c>
      <c r="F371" s="1" t="s">
        <v>4298</v>
      </c>
      <c r="G371" s="1" t="s">
        <v>20</v>
      </c>
      <c r="H371" s="1" t="s">
        <v>1888</v>
      </c>
      <c r="I371" s="1" t="s">
        <v>1889</v>
      </c>
      <c r="J371" s="1" t="s">
        <v>1890</v>
      </c>
      <c r="K371" s="1" t="s">
        <v>1891</v>
      </c>
      <c r="L371" s="1" t="s">
        <v>1892</v>
      </c>
      <c r="M371" s="1" t="s">
        <v>1893</v>
      </c>
      <c r="N371" s="1"/>
      <c r="O371" s="1" t="s">
        <v>8</v>
      </c>
      <c r="P371" s="1" t="s">
        <v>3943</v>
      </c>
      <c r="Q371" s="1"/>
      <c r="R371" s="1"/>
      <c r="S371" s="1"/>
      <c r="T371" s="1">
        <v>1</v>
      </c>
      <c r="U371" s="1"/>
      <c r="V371" s="1"/>
      <c r="W371" s="1"/>
      <c r="Y371" t="s">
        <v>8</v>
      </c>
      <c r="Z371" t="s">
        <v>4316</v>
      </c>
      <c r="AA371" t="s">
        <v>4317</v>
      </c>
      <c r="AB371" t="s">
        <v>4868</v>
      </c>
      <c r="AC371" t="s">
        <v>4844</v>
      </c>
      <c r="AD371" s="18">
        <v>46112</v>
      </c>
    </row>
    <row r="372" spans="1:30" ht="409.5" hidden="1">
      <c r="A372" s="1" t="s">
        <v>965</v>
      </c>
      <c r="B372" s="1">
        <v>1371</v>
      </c>
      <c r="C372" s="1">
        <v>7</v>
      </c>
      <c r="D372" s="1">
        <v>23</v>
      </c>
      <c r="E372" s="1" t="s">
        <v>4292</v>
      </c>
      <c r="F372" s="1" t="s">
        <v>4304</v>
      </c>
      <c r="G372" s="1" t="s">
        <v>40</v>
      </c>
      <c r="H372" s="1" t="s">
        <v>1894</v>
      </c>
      <c r="I372" s="1" t="s">
        <v>1895</v>
      </c>
      <c r="J372" s="1" t="s">
        <v>1896</v>
      </c>
      <c r="K372" s="1" t="s">
        <v>1897</v>
      </c>
      <c r="L372" s="1" t="s">
        <v>1898</v>
      </c>
      <c r="M372" s="1" t="s">
        <v>1899</v>
      </c>
      <c r="N372" s="1"/>
      <c r="O372" s="1" t="s">
        <v>11</v>
      </c>
      <c r="P372" s="1" t="s">
        <v>3944</v>
      </c>
      <c r="Q372" s="1"/>
      <c r="R372" s="1"/>
      <c r="S372" s="1"/>
      <c r="T372" s="1">
        <v>1</v>
      </c>
      <c r="U372" s="1"/>
      <c r="V372" s="1"/>
      <c r="W372" s="1"/>
      <c r="Y372" t="s">
        <v>11</v>
      </c>
      <c r="Z372" t="s">
        <v>4316</v>
      </c>
      <c r="AA372" t="s">
        <v>4317</v>
      </c>
      <c r="AB372" t="s">
        <v>4869</v>
      </c>
      <c r="AC372" t="s">
        <v>4778</v>
      </c>
      <c r="AD372" s="18">
        <v>46112</v>
      </c>
    </row>
    <row r="373" spans="1:30" ht="195" hidden="1">
      <c r="A373" s="1" t="s">
        <v>965</v>
      </c>
      <c r="B373" s="1">
        <v>1372</v>
      </c>
      <c r="C373" s="1">
        <v>7</v>
      </c>
      <c r="D373" s="1">
        <v>24</v>
      </c>
      <c r="E373" s="1" t="s">
        <v>4305</v>
      </c>
      <c r="F373" s="1" t="s">
        <v>4307</v>
      </c>
      <c r="G373" s="1" t="s">
        <v>40</v>
      </c>
      <c r="H373" s="1" t="s">
        <v>1900</v>
      </c>
      <c r="I373" s="1" t="s">
        <v>1442</v>
      </c>
      <c r="J373" s="1" t="s">
        <v>573</v>
      </c>
      <c r="K373" s="1" t="s">
        <v>365</v>
      </c>
      <c r="L373" s="1" t="s">
        <v>1901</v>
      </c>
      <c r="M373" s="1" t="s">
        <v>1478</v>
      </c>
      <c r="N373" s="1"/>
      <c r="O373" s="1" t="s">
        <v>9</v>
      </c>
      <c r="P373" s="1" t="s">
        <v>3945</v>
      </c>
      <c r="Q373" s="1"/>
      <c r="R373" s="1"/>
      <c r="S373" s="1"/>
      <c r="T373" s="1">
        <v>1</v>
      </c>
      <c r="U373" s="1"/>
      <c r="V373" s="1"/>
      <c r="W373" s="1"/>
      <c r="Z373" t="s">
        <v>4386</v>
      </c>
      <c r="AB373" t="s">
        <v>4870</v>
      </c>
      <c r="AC373" t="s">
        <v>4871</v>
      </c>
      <c r="AD373" s="18">
        <v>46112</v>
      </c>
    </row>
    <row r="374" spans="1:30" ht="409.5" hidden="1">
      <c r="A374" s="1" t="s">
        <v>965</v>
      </c>
      <c r="B374" s="1">
        <v>1373</v>
      </c>
      <c r="C374" s="1">
        <v>7</v>
      </c>
      <c r="D374" s="1">
        <v>25</v>
      </c>
      <c r="E374" s="1" t="s">
        <v>4297</v>
      </c>
      <c r="F374" s="1" t="s">
        <v>4298</v>
      </c>
      <c r="G374" s="1" t="s">
        <v>40</v>
      </c>
      <c r="H374" s="1" t="s">
        <v>1902</v>
      </c>
      <c r="I374" s="1" t="s">
        <v>1903</v>
      </c>
      <c r="J374" s="1" t="s">
        <v>1904</v>
      </c>
      <c r="K374" s="1" t="s">
        <v>1905</v>
      </c>
      <c r="L374" s="1" t="s">
        <v>1906</v>
      </c>
      <c r="M374" s="1" t="s">
        <v>1907</v>
      </c>
      <c r="N374" s="1"/>
      <c r="O374" s="1" t="s">
        <v>10</v>
      </c>
      <c r="P374" s="1" t="s">
        <v>3946</v>
      </c>
      <c r="Q374" s="1"/>
      <c r="R374" s="1"/>
      <c r="S374" s="1"/>
      <c r="T374" s="1"/>
      <c r="U374" s="1"/>
      <c r="V374" s="1"/>
      <c r="W374" s="1"/>
      <c r="Y374" t="s">
        <v>10</v>
      </c>
      <c r="Z374" t="s">
        <v>4316</v>
      </c>
      <c r="AA374" t="s">
        <v>4317</v>
      </c>
      <c r="AB374" t="s">
        <v>4872</v>
      </c>
      <c r="AD374" s="18">
        <v>46112</v>
      </c>
    </row>
    <row r="375" spans="1:30" ht="409.5" hidden="1">
      <c r="A375" s="1" t="s">
        <v>965</v>
      </c>
      <c r="B375" s="1">
        <v>1374</v>
      </c>
      <c r="C375" s="1">
        <v>7</v>
      </c>
      <c r="D375" s="1">
        <v>26</v>
      </c>
      <c r="E375" s="1" t="s">
        <v>4297</v>
      </c>
      <c r="F375" s="1" t="s">
        <v>4300</v>
      </c>
      <c r="G375" s="1" t="s">
        <v>20</v>
      </c>
      <c r="H375" s="1" t="s">
        <v>1908</v>
      </c>
      <c r="I375" s="1" t="s">
        <v>113</v>
      </c>
      <c r="J375" s="1" t="s">
        <v>1594</v>
      </c>
      <c r="K375" s="1" t="s">
        <v>697</v>
      </c>
      <c r="L375" s="1" t="s">
        <v>114</v>
      </c>
      <c r="M375" s="1" t="s">
        <v>110</v>
      </c>
      <c r="N375" s="1"/>
      <c r="O375" s="1" t="s">
        <v>11</v>
      </c>
      <c r="P375" s="1" t="s">
        <v>3947</v>
      </c>
      <c r="Q375" s="1"/>
      <c r="R375" s="1"/>
      <c r="S375" s="1"/>
      <c r="T375" s="1">
        <v>1</v>
      </c>
      <c r="U375" s="1">
        <v>1</v>
      </c>
      <c r="V375" s="1"/>
      <c r="W375" s="1"/>
      <c r="Y375" t="s">
        <v>11</v>
      </c>
      <c r="Z375" t="s">
        <v>4316</v>
      </c>
      <c r="AA375" t="s">
        <v>4317</v>
      </c>
      <c r="AB375" t="s">
        <v>4873</v>
      </c>
      <c r="AC375" t="s">
        <v>4344</v>
      </c>
      <c r="AD375" s="18">
        <v>46112</v>
      </c>
    </row>
    <row r="376" spans="1:30" ht="409.5" hidden="1">
      <c r="A376" s="1" t="s">
        <v>965</v>
      </c>
      <c r="B376" s="1">
        <v>1375</v>
      </c>
      <c r="C376" s="1">
        <v>7</v>
      </c>
      <c r="D376" s="1">
        <v>27</v>
      </c>
      <c r="E376" s="1" t="s">
        <v>4290</v>
      </c>
      <c r="F376" s="1" t="s">
        <v>4302</v>
      </c>
      <c r="G376" s="1" t="s">
        <v>40</v>
      </c>
      <c r="H376" s="1" t="s">
        <v>1909</v>
      </c>
      <c r="I376" s="1" t="s">
        <v>3696</v>
      </c>
      <c r="J376" s="1" t="s">
        <v>3697</v>
      </c>
      <c r="K376" s="1" t="s">
        <v>3698</v>
      </c>
      <c r="L376" s="1" t="s">
        <v>3699</v>
      </c>
      <c r="M376" s="1" t="s">
        <v>3700</v>
      </c>
      <c r="N376" s="1"/>
      <c r="O376" s="1" t="s">
        <v>8</v>
      </c>
      <c r="P376" s="1" t="s">
        <v>3948</v>
      </c>
      <c r="Q376" s="1"/>
      <c r="R376" s="1"/>
      <c r="S376" s="1"/>
      <c r="T376" s="1">
        <v>1</v>
      </c>
      <c r="U376" s="1"/>
      <c r="V376" s="1"/>
      <c r="W376" s="1"/>
      <c r="Y376" t="s">
        <v>8</v>
      </c>
      <c r="Z376" t="s">
        <v>4316</v>
      </c>
      <c r="AA376" t="s">
        <v>4317</v>
      </c>
      <c r="AB376" t="s">
        <v>4874</v>
      </c>
      <c r="AC376" t="s">
        <v>4875</v>
      </c>
      <c r="AD376" s="18">
        <v>46112</v>
      </c>
    </row>
    <row r="377" spans="1:30" ht="409.5" hidden="1">
      <c r="A377" s="1" t="s">
        <v>965</v>
      </c>
      <c r="B377" s="1">
        <v>1376</v>
      </c>
      <c r="C377" s="1">
        <v>7</v>
      </c>
      <c r="D377" s="1">
        <v>28</v>
      </c>
      <c r="E377" s="1" t="s">
        <v>4297</v>
      </c>
      <c r="F377" s="1" t="s">
        <v>4298</v>
      </c>
      <c r="G377" s="1" t="s">
        <v>40</v>
      </c>
      <c r="H377" s="1" t="s">
        <v>1910</v>
      </c>
      <c r="I377" s="1" t="s">
        <v>1911</v>
      </c>
      <c r="J377" s="1" t="s">
        <v>1912</v>
      </c>
      <c r="K377" s="1" t="s">
        <v>1913</v>
      </c>
      <c r="L377" s="1" t="s">
        <v>1914</v>
      </c>
      <c r="M377" s="1" t="s">
        <v>1915</v>
      </c>
      <c r="N377" s="1"/>
      <c r="O377" s="1" t="s">
        <v>9</v>
      </c>
      <c r="P377" s="1" t="s">
        <v>3949</v>
      </c>
      <c r="Q377" s="1"/>
      <c r="R377" s="1"/>
      <c r="S377" s="1"/>
      <c r="T377" s="1"/>
      <c r="U377" s="1"/>
      <c r="V377" s="1"/>
      <c r="W377" s="1"/>
      <c r="Y377" t="s">
        <v>9</v>
      </c>
      <c r="Z377" t="s">
        <v>4316</v>
      </c>
      <c r="AA377" t="s">
        <v>4317</v>
      </c>
      <c r="AB377" t="s">
        <v>4876</v>
      </c>
      <c r="AC377" t="s">
        <v>4330</v>
      </c>
      <c r="AD377" s="18">
        <v>46112</v>
      </c>
    </row>
    <row r="378" spans="1:30" ht="409.5" hidden="1">
      <c r="A378" s="1" t="s">
        <v>965</v>
      </c>
      <c r="B378" s="1">
        <v>1377</v>
      </c>
      <c r="C378" s="1">
        <v>7</v>
      </c>
      <c r="D378" s="1">
        <v>29</v>
      </c>
      <c r="E378" s="1" t="s">
        <v>4295</v>
      </c>
      <c r="F378" s="1" t="s">
        <v>4296</v>
      </c>
      <c r="G378" s="1" t="s">
        <v>4294</v>
      </c>
      <c r="H378" s="1" t="s">
        <v>1916</v>
      </c>
      <c r="I378" s="1" t="s">
        <v>3701</v>
      </c>
      <c r="J378" s="1" t="s">
        <v>3702</v>
      </c>
      <c r="K378" s="1" t="s">
        <v>3703</v>
      </c>
      <c r="L378" s="1" t="s">
        <v>3704</v>
      </c>
      <c r="M378" s="1" t="s">
        <v>3705</v>
      </c>
      <c r="N378" s="1"/>
      <c r="O378" s="1" t="s">
        <v>9</v>
      </c>
      <c r="P378" s="1" t="s">
        <v>3950</v>
      </c>
      <c r="Q378" s="1"/>
      <c r="R378" s="1"/>
      <c r="S378" s="1"/>
      <c r="T378" s="1">
        <v>1</v>
      </c>
      <c r="U378" s="1"/>
      <c r="V378" s="1"/>
      <c r="W378" s="1"/>
      <c r="Y378" t="s">
        <v>9</v>
      </c>
      <c r="Z378" t="s">
        <v>4316</v>
      </c>
      <c r="AA378" t="s">
        <v>4317</v>
      </c>
      <c r="AB378" t="s">
        <v>4877</v>
      </c>
      <c r="AC378" t="s">
        <v>4366</v>
      </c>
      <c r="AD378" s="18">
        <v>46112</v>
      </c>
    </row>
    <row r="379" spans="1:30" ht="409.5" hidden="1">
      <c r="A379" s="1" t="s">
        <v>965</v>
      </c>
      <c r="B379" s="1">
        <v>1378</v>
      </c>
      <c r="C379" s="1">
        <v>7</v>
      </c>
      <c r="D379" s="1">
        <v>30</v>
      </c>
      <c r="E379" s="1" t="s">
        <v>4297</v>
      </c>
      <c r="F379" s="1" t="s">
        <v>4298</v>
      </c>
      <c r="G379" s="1" t="s">
        <v>20</v>
      </c>
      <c r="H379" s="1" t="s">
        <v>1917</v>
      </c>
      <c r="I379" s="1" t="s">
        <v>3706</v>
      </c>
      <c r="J379" s="1" t="s">
        <v>3707</v>
      </c>
      <c r="K379" s="1" t="s">
        <v>3708</v>
      </c>
      <c r="L379" s="1" t="s">
        <v>3709</v>
      </c>
      <c r="M379" s="1" t="s">
        <v>3710</v>
      </c>
      <c r="N379" s="1"/>
      <c r="O379" s="1" t="s">
        <v>7</v>
      </c>
      <c r="P379" s="1" t="s">
        <v>3951</v>
      </c>
      <c r="Q379" s="1"/>
      <c r="R379" s="1"/>
      <c r="S379" s="1"/>
      <c r="T379" s="1">
        <v>1</v>
      </c>
      <c r="U379" s="1"/>
      <c r="V379" s="1"/>
      <c r="W379" s="1"/>
      <c r="Y379" t="s">
        <v>7</v>
      </c>
      <c r="Z379" t="s">
        <v>4316</v>
      </c>
      <c r="AA379" t="s">
        <v>4317</v>
      </c>
      <c r="AB379" t="s">
        <v>4878</v>
      </c>
      <c r="AC379" t="s">
        <v>4792</v>
      </c>
      <c r="AD379" s="18">
        <v>46112</v>
      </c>
    </row>
    <row r="380" spans="1:30" ht="405" hidden="1">
      <c r="A380" s="1" t="s">
        <v>965</v>
      </c>
      <c r="B380" s="1">
        <v>1379</v>
      </c>
      <c r="C380" s="1">
        <v>7</v>
      </c>
      <c r="D380" s="1">
        <v>31</v>
      </c>
      <c r="E380" s="1" t="s">
        <v>4290</v>
      </c>
      <c r="F380" s="1" t="s">
        <v>4291</v>
      </c>
      <c r="G380" s="1" t="s">
        <v>40</v>
      </c>
      <c r="H380" s="1" t="s">
        <v>1918</v>
      </c>
      <c r="I380" s="1" t="s">
        <v>92</v>
      </c>
      <c r="J380" s="1" t="s">
        <v>364</v>
      </c>
      <c r="K380" s="1" t="s">
        <v>356</v>
      </c>
      <c r="L380" s="1" t="s">
        <v>227</v>
      </c>
      <c r="M380" s="1" t="s">
        <v>19</v>
      </c>
      <c r="N380" s="1"/>
      <c r="O380" s="1" t="s">
        <v>11</v>
      </c>
      <c r="P380" s="1" t="s">
        <v>5481</v>
      </c>
      <c r="Q380" s="1"/>
      <c r="R380" s="1"/>
      <c r="S380" s="1"/>
      <c r="T380" s="1"/>
      <c r="U380" s="1"/>
      <c r="V380" s="1"/>
      <c r="W380" s="1"/>
      <c r="Y380" t="s">
        <v>11</v>
      </c>
      <c r="Z380" t="s">
        <v>4316</v>
      </c>
      <c r="AA380" t="s">
        <v>4317</v>
      </c>
      <c r="AB380" t="s">
        <v>4879</v>
      </c>
      <c r="AC380" t="s">
        <v>4808</v>
      </c>
      <c r="AD380" s="18">
        <v>46112</v>
      </c>
    </row>
    <row r="381" spans="1:30" ht="315" hidden="1">
      <c r="A381" s="1" t="s">
        <v>965</v>
      </c>
      <c r="B381" s="1">
        <v>1380</v>
      </c>
      <c r="C381" s="1">
        <v>7</v>
      </c>
      <c r="D381" s="1">
        <v>32</v>
      </c>
      <c r="E381" s="1" t="s">
        <v>4290</v>
      </c>
      <c r="F381" s="1" t="s">
        <v>4302</v>
      </c>
      <c r="G381" s="1" t="s">
        <v>40</v>
      </c>
      <c r="H381" s="1" t="s">
        <v>1919</v>
      </c>
      <c r="I381" s="1" t="s">
        <v>3711</v>
      </c>
      <c r="J381" s="1" t="s">
        <v>3712</v>
      </c>
      <c r="K381" s="1" t="s">
        <v>3713</v>
      </c>
      <c r="L381" s="1" t="s">
        <v>3714</v>
      </c>
      <c r="M381" s="1" t="s">
        <v>3715</v>
      </c>
      <c r="N381" s="1"/>
      <c r="O381" s="1" t="s">
        <v>9</v>
      </c>
      <c r="P381" s="1" t="s">
        <v>3952</v>
      </c>
      <c r="Q381" s="1"/>
      <c r="R381" s="1"/>
      <c r="S381" s="1"/>
      <c r="T381" s="1">
        <v>1</v>
      </c>
      <c r="U381" s="1"/>
      <c r="V381" s="1"/>
      <c r="W381" s="1"/>
      <c r="Y381" t="s">
        <v>8</v>
      </c>
      <c r="Z381" t="s">
        <v>4316</v>
      </c>
      <c r="AA381" t="s">
        <v>4332</v>
      </c>
      <c r="AB381" t="s">
        <v>4880</v>
      </c>
      <c r="AC381" t="s">
        <v>4875</v>
      </c>
      <c r="AD381" s="18">
        <v>46112</v>
      </c>
    </row>
    <row r="382" spans="1:30" ht="180" hidden="1">
      <c r="A382" s="1" t="s">
        <v>965</v>
      </c>
      <c r="B382" s="1">
        <v>1381</v>
      </c>
      <c r="C382" s="1">
        <v>7</v>
      </c>
      <c r="D382" s="1">
        <v>33</v>
      </c>
      <c r="E382" s="1" t="s">
        <v>4297</v>
      </c>
      <c r="F382" s="1" t="s">
        <v>4298</v>
      </c>
      <c r="G382" s="1" t="s">
        <v>4294</v>
      </c>
      <c r="H382" s="1" t="s">
        <v>1920</v>
      </c>
      <c r="I382" s="1" t="s">
        <v>1921</v>
      </c>
      <c r="J382" s="1" t="s">
        <v>1922</v>
      </c>
      <c r="K382" s="1" t="s">
        <v>1923</v>
      </c>
      <c r="L382" s="1" t="s">
        <v>1924</v>
      </c>
      <c r="M382" s="1" t="s">
        <v>1925</v>
      </c>
      <c r="N382" s="1"/>
      <c r="O382" s="1" t="s">
        <v>10</v>
      </c>
      <c r="P382" s="1" t="s">
        <v>3953</v>
      </c>
      <c r="Q382" s="1"/>
      <c r="R382" s="1"/>
      <c r="S382" s="1"/>
      <c r="T382" s="1">
        <v>1</v>
      </c>
      <c r="U382" s="1"/>
      <c r="V382" s="1"/>
      <c r="W382" s="1"/>
      <c r="Y382" t="s">
        <v>10</v>
      </c>
      <c r="Z382" t="s">
        <v>4316</v>
      </c>
      <c r="AA382" t="s">
        <v>4317</v>
      </c>
      <c r="AB382" t="s">
        <v>4881</v>
      </c>
      <c r="AC382" t="s">
        <v>4882</v>
      </c>
      <c r="AD382" s="18">
        <v>46112</v>
      </c>
    </row>
    <row r="383" spans="1:30" ht="45" hidden="1">
      <c r="A383" s="1" t="s">
        <v>965</v>
      </c>
      <c r="B383" s="1">
        <v>1382</v>
      </c>
      <c r="C383" s="1">
        <v>7</v>
      </c>
      <c r="D383" s="1">
        <v>34</v>
      </c>
      <c r="E383" s="1" t="s">
        <v>4297</v>
      </c>
      <c r="F383" s="1" t="s">
        <v>4298</v>
      </c>
      <c r="G383" s="1" t="s">
        <v>20</v>
      </c>
      <c r="H383" s="1" t="s">
        <v>1926</v>
      </c>
      <c r="I383" s="1" t="s">
        <v>153</v>
      </c>
      <c r="J383" s="1" t="s">
        <v>154</v>
      </c>
      <c r="K383" s="1" t="s">
        <v>1441</v>
      </c>
      <c r="L383" s="1" t="s">
        <v>152</v>
      </c>
      <c r="M383" s="1" t="s">
        <v>1927</v>
      </c>
      <c r="N383" s="1"/>
      <c r="O383" s="1" t="s">
        <v>9</v>
      </c>
      <c r="P383" s="1" t="s">
        <v>3954</v>
      </c>
      <c r="Q383" s="1"/>
      <c r="R383" s="1"/>
      <c r="S383" s="1"/>
      <c r="T383" s="1"/>
      <c r="U383" s="1"/>
      <c r="V383" s="1"/>
      <c r="W383" s="1"/>
      <c r="Z383" t="s">
        <v>4386</v>
      </c>
      <c r="AB383" t="s">
        <v>4883</v>
      </c>
      <c r="AD383" s="18">
        <v>46112</v>
      </c>
    </row>
    <row r="384" spans="1:30" ht="60" hidden="1">
      <c r="A384" s="1" t="s">
        <v>965</v>
      </c>
      <c r="B384" s="1">
        <v>1383</v>
      </c>
      <c r="C384" s="1">
        <v>7</v>
      </c>
      <c r="D384" s="1">
        <v>35</v>
      </c>
      <c r="E384" s="1" t="s">
        <v>4292</v>
      </c>
      <c r="F384" s="1" t="s">
        <v>4303</v>
      </c>
      <c r="G384" s="1" t="s">
        <v>20</v>
      </c>
      <c r="H384" s="1" t="s">
        <v>1928</v>
      </c>
      <c r="I384" s="1" t="s">
        <v>545</v>
      </c>
      <c r="J384" s="1" t="s">
        <v>901</v>
      </c>
      <c r="K384" s="1" t="s">
        <v>1929</v>
      </c>
      <c r="L384" s="1" t="s">
        <v>1930</v>
      </c>
      <c r="M384" s="1" t="s">
        <v>1931</v>
      </c>
      <c r="N384" s="1"/>
      <c r="O384" s="1" t="s">
        <v>8</v>
      </c>
      <c r="P384" s="1" t="s">
        <v>3955</v>
      </c>
      <c r="Q384" s="1"/>
      <c r="R384" s="1"/>
      <c r="S384" s="1"/>
      <c r="T384" s="1"/>
      <c r="U384" s="1"/>
      <c r="V384" s="1"/>
      <c r="W384" s="1"/>
      <c r="Y384" t="s">
        <v>8</v>
      </c>
      <c r="Z384" t="s">
        <v>4316</v>
      </c>
      <c r="AA384" t="s">
        <v>4317</v>
      </c>
      <c r="AB384" t="s">
        <v>4884</v>
      </c>
      <c r="AC384" t="s">
        <v>4844</v>
      </c>
      <c r="AD384" s="18">
        <v>46112</v>
      </c>
    </row>
    <row r="385" spans="1:30" ht="409.5" hidden="1">
      <c r="A385" s="1" t="s">
        <v>965</v>
      </c>
      <c r="B385" s="1">
        <v>1384</v>
      </c>
      <c r="C385" s="1">
        <v>7</v>
      </c>
      <c r="D385" s="1">
        <v>36</v>
      </c>
      <c r="E385" s="1" t="s">
        <v>4292</v>
      </c>
      <c r="F385" s="1" t="s">
        <v>4304</v>
      </c>
      <c r="G385" s="1" t="s">
        <v>40</v>
      </c>
      <c r="H385" s="1" t="s">
        <v>1932</v>
      </c>
      <c r="I385" s="1" t="s">
        <v>1933</v>
      </c>
      <c r="J385" s="1" t="s">
        <v>1934</v>
      </c>
      <c r="K385" s="1" t="s">
        <v>1935</v>
      </c>
      <c r="L385" s="1" t="s">
        <v>1936</v>
      </c>
      <c r="M385" s="1" t="s">
        <v>1937</v>
      </c>
      <c r="N385" s="1"/>
      <c r="O385" s="1" t="s">
        <v>10</v>
      </c>
      <c r="P385" s="1" t="s">
        <v>3956</v>
      </c>
      <c r="Q385" s="1"/>
      <c r="R385" s="1"/>
      <c r="S385" s="1"/>
      <c r="T385" s="1"/>
      <c r="U385" s="1">
        <v>1</v>
      </c>
      <c r="V385" s="1"/>
      <c r="W385" s="1"/>
      <c r="Y385" t="s">
        <v>10</v>
      </c>
      <c r="Z385" t="s">
        <v>4316</v>
      </c>
      <c r="AA385" t="s">
        <v>4317</v>
      </c>
      <c r="AB385" t="s">
        <v>4885</v>
      </c>
      <c r="AC385" t="s">
        <v>4778</v>
      </c>
      <c r="AD385" s="18">
        <v>46112</v>
      </c>
    </row>
    <row r="386" spans="1:30" ht="90" hidden="1">
      <c r="A386" s="1" t="s">
        <v>965</v>
      </c>
      <c r="B386" s="1">
        <v>1385</v>
      </c>
      <c r="C386" s="1">
        <v>7</v>
      </c>
      <c r="D386" s="1">
        <v>37</v>
      </c>
      <c r="E386" s="1" t="s">
        <v>4297</v>
      </c>
      <c r="F386" s="1" t="s">
        <v>4299</v>
      </c>
      <c r="G386" s="1" t="s">
        <v>20</v>
      </c>
      <c r="H386" s="1" t="s">
        <v>1938</v>
      </c>
      <c r="I386" s="1" t="s">
        <v>1939</v>
      </c>
      <c r="J386" s="1" t="s">
        <v>1940</v>
      </c>
      <c r="K386" s="1" t="s">
        <v>1941</v>
      </c>
      <c r="L386" s="1" t="s">
        <v>1942</v>
      </c>
      <c r="M386" s="1" t="s">
        <v>1943</v>
      </c>
      <c r="N386" s="1"/>
      <c r="O386" s="1" t="s">
        <v>7</v>
      </c>
      <c r="P386" s="1" t="s">
        <v>3957</v>
      </c>
      <c r="Q386" s="1"/>
      <c r="R386" s="1"/>
      <c r="S386" s="1"/>
      <c r="T386" s="1">
        <v>1</v>
      </c>
      <c r="U386" s="1"/>
      <c r="V386" s="1"/>
      <c r="W386" s="1"/>
      <c r="Y386" t="s">
        <v>7</v>
      </c>
      <c r="Z386" t="s">
        <v>4316</v>
      </c>
      <c r="AA386" t="s">
        <v>4317</v>
      </c>
      <c r="AB386" t="s">
        <v>4886</v>
      </c>
      <c r="AC386" t="s">
        <v>4887</v>
      </c>
      <c r="AD386" s="18">
        <v>46112</v>
      </c>
    </row>
    <row r="387" spans="1:30" ht="360" hidden="1">
      <c r="A387" s="1" t="s">
        <v>965</v>
      </c>
      <c r="B387" s="1">
        <v>1386</v>
      </c>
      <c r="C387" s="1">
        <v>7</v>
      </c>
      <c r="D387" s="1">
        <v>38</v>
      </c>
      <c r="E387" s="1" t="s">
        <v>4297</v>
      </c>
      <c r="F387" s="1" t="s">
        <v>4298</v>
      </c>
      <c r="G387" s="1" t="s">
        <v>4294</v>
      </c>
      <c r="H387" s="1" t="s">
        <v>1944</v>
      </c>
      <c r="I387" s="1" t="s">
        <v>1945</v>
      </c>
      <c r="J387" s="1" t="s">
        <v>1946</v>
      </c>
      <c r="K387" s="1" t="s">
        <v>1947</v>
      </c>
      <c r="L387" s="1" t="s">
        <v>1948</v>
      </c>
      <c r="M387" s="1" t="s">
        <v>1949</v>
      </c>
      <c r="N387" s="1"/>
      <c r="O387" s="1" t="s">
        <v>9</v>
      </c>
      <c r="P387" s="1" t="s">
        <v>3958</v>
      </c>
      <c r="Q387" s="1"/>
      <c r="R387" s="1"/>
      <c r="S387" s="1"/>
      <c r="T387" s="1"/>
      <c r="U387" s="1"/>
      <c r="V387" s="1"/>
      <c r="W387" s="1"/>
      <c r="Y387" t="s">
        <v>9</v>
      </c>
      <c r="Z387" t="s">
        <v>4316</v>
      </c>
      <c r="AA387" t="s">
        <v>4317</v>
      </c>
      <c r="AB387" t="s">
        <v>4888</v>
      </c>
      <c r="AC387" t="s">
        <v>4330</v>
      </c>
      <c r="AD387" s="18">
        <v>46112</v>
      </c>
    </row>
    <row r="388" spans="1:30" ht="270" hidden="1">
      <c r="A388" s="1" t="s">
        <v>965</v>
      </c>
      <c r="B388" s="1">
        <v>1387</v>
      </c>
      <c r="C388" s="1">
        <v>7</v>
      </c>
      <c r="D388" s="1">
        <v>39</v>
      </c>
      <c r="E388" s="1" t="s">
        <v>4297</v>
      </c>
      <c r="F388" s="1" t="s">
        <v>4298</v>
      </c>
      <c r="G388" s="1" t="s">
        <v>4294</v>
      </c>
      <c r="H388" s="1" t="s">
        <v>1950</v>
      </c>
      <c r="I388" s="1" t="s">
        <v>3320</v>
      </c>
      <c r="J388" s="1" t="s">
        <v>3644</v>
      </c>
      <c r="K388" s="1" t="s">
        <v>3642</v>
      </c>
      <c r="L388" s="1" t="s">
        <v>356</v>
      </c>
      <c r="M388" s="1" t="s">
        <v>3645</v>
      </c>
      <c r="N388" s="1"/>
      <c r="O388" s="1" t="s">
        <v>11</v>
      </c>
      <c r="P388" s="1" t="s">
        <v>3959</v>
      </c>
      <c r="Q388" s="1"/>
      <c r="R388" s="1"/>
      <c r="S388" s="1"/>
      <c r="T388" s="1"/>
      <c r="U388" s="1"/>
      <c r="V388" s="1"/>
      <c r="W388" s="1"/>
      <c r="Y388" t="s">
        <v>11</v>
      </c>
      <c r="Z388" t="s">
        <v>4316</v>
      </c>
      <c r="AA388" t="s">
        <v>4317</v>
      </c>
      <c r="AB388" t="s">
        <v>4889</v>
      </c>
      <c r="AD388" s="18">
        <v>46112</v>
      </c>
    </row>
    <row r="389" spans="1:30" ht="255" hidden="1">
      <c r="A389" s="1" t="s">
        <v>965</v>
      </c>
      <c r="B389" s="1">
        <v>1388</v>
      </c>
      <c r="C389" s="1">
        <v>7</v>
      </c>
      <c r="D389" s="1">
        <v>40</v>
      </c>
      <c r="E389" s="1" t="s">
        <v>4290</v>
      </c>
      <c r="F389" s="1" t="s">
        <v>4302</v>
      </c>
      <c r="G389" s="1" t="s">
        <v>20</v>
      </c>
      <c r="H389" s="1" t="s">
        <v>1951</v>
      </c>
      <c r="I389" s="1" t="s">
        <v>3716</v>
      </c>
      <c r="J389" s="1" t="s">
        <v>3717</v>
      </c>
      <c r="K389" s="1" t="s">
        <v>3718</v>
      </c>
      <c r="L389" s="1" t="s">
        <v>3719</v>
      </c>
      <c r="M389" s="1" t="s">
        <v>3720</v>
      </c>
      <c r="N389" s="1"/>
      <c r="O389" s="1" t="s">
        <v>10</v>
      </c>
      <c r="P389" s="1" t="s">
        <v>3960</v>
      </c>
      <c r="Q389" s="1"/>
      <c r="R389" s="1"/>
      <c r="S389" s="1"/>
      <c r="T389" s="1">
        <v>1</v>
      </c>
      <c r="U389" s="1"/>
      <c r="V389" s="1"/>
      <c r="W389" s="1"/>
      <c r="Y389" t="s">
        <v>10</v>
      </c>
      <c r="Z389" t="s">
        <v>4316</v>
      </c>
      <c r="AA389" t="s">
        <v>4317</v>
      </c>
      <c r="AB389" t="s">
        <v>4890</v>
      </c>
      <c r="AD389" s="18">
        <v>46112</v>
      </c>
    </row>
    <row r="390" spans="1:30" ht="330" hidden="1">
      <c r="A390" s="1" t="s">
        <v>965</v>
      </c>
      <c r="B390" s="1">
        <v>1389</v>
      </c>
      <c r="C390" s="1">
        <v>7</v>
      </c>
      <c r="D390" s="1">
        <v>41</v>
      </c>
      <c r="E390" s="1" t="s">
        <v>4297</v>
      </c>
      <c r="F390" s="1" t="s">
        <v>4298</v>
      </c>
      <c r="G390" s="1" t="s">
        <v>20</v>
      </c>
      <c r="H390" s="1" t="s">
        <v>1952</v>
      </c>
      <c r="I390" s="1" t="s">
        <v>358</v>
      </c>
      <c r="J390" s="1" t="s">
        <v>216</v>
      </c>
      <c r="K390" s="1" t="s">
        <v>1953</v>
      </c>
      <c r="L390" s="1" t="s">
        <v>1954</v>
      </c>
      <c r="M390" s="1"/>
      <c r="N390" s="1"/>
      <c r="O390" s="1" t="s">
        <v>11</v>
      </c>
      <c r="P390" s="1" t="s">
        <v>3961</v>
      </c>
      <c r="Q390" s="1"/>
      <c r="R390" s="1"/>
      <c r="S390" s="1"/>
      <c r="T390" s="1"/>
      <c r="U390" s="1"/>
      <c r="V390" s="1"/>
      <c r="W390" s="1"/>
      <c r="Z390" t="s">
        <v>4386</v>
      </c>
      <c r="AB390" t="s">
        <v>4891</v>
      </c>
      <c r="AC390" t="s">
        <v>4892</v>
      </c>
      <c r="AD390" s="18">
        <v>46112</v>
      </c>
    </row>
    <row r="391" spans="1:30" ht="300" hidden="1">
      <c r="A391" s="1" t="s">
        <v>965</v>
      </c>
      <c r="B391" s="1">
        <v>1390</v>
      </c>
      <c r="C391" s="1">
        <v>7</v>
      </c>
      <c r="D391" s="1">
        <v>42</v>
      </c>
      <c r="E391" s="1" t="s">
        <v>4297</v>
      </c>
      <c r="F391" s="1" t="s">
        <v>4299</v>
      </c>
      <c r="G391" s="1" t="s">
        <v>40</v>
      </c>
      <c r="H391" s="1" t="s">
        <v>1955</v>
      </c>
      <c r="I391" s="1" t="s">
        <v>1956</v>
      </c>
      <c r="J391" s="1" t="s">
        <v>1957</v>
      </c>
      <c r="K391" s="1" t="s">
        <v>1958</v>
      </c>
      <c r="L391" s="1" t="s">
        <v>1959</v>
      </c>
      <c r="M391" s="1" t="s">
        <v>1960</v>
      </c>
      <c r="N391" s="1"/>
      <c r="O391" s="1" t="s">
        <v>9</v>
      </c>
      <c r="P391" s="1" t="s">
        <v>5482</v>
      </c>
      <c r="Q391" s="1"/>
      <c r="R391" s="1"/>
      <c r="S391" s="1"/>
      <c r="T391" s="1">
        <v>1</v>
      </c>
      <c r="U391" s="1"/>
      <c r="V391" s="1"/>
      <c r="W391" s="1"/>
      <c r="Y391" t="s">
        <v>9</v>
      </c>
      <c r="Z391" t="s">
        <v>4316</v>
      </c>
      <c r="AA391" t="s">
        <v>4317</v>
      </c>
      <c r="AB391" t="s">
        <v>4893</v>
      </c>
      <c r="AD391" s="18">
        <v>46112</v>
      </c>
    </row>
    <row r="392" spans="1:30" ht="360" hidden="1">
      <c r="A392" s="1" t="s">
        <v>965</v>
      </c>
      <c r="B392" s="1">
        <v>1391</v>
      </c>
      <c r="C392" s="1">
        <v>7</v>
      </c>
      <c r="D392" s="1">
        <v>43</v>
      </c>
      <c r="E392" s="1" t="s">
        <v>4292</v>
      </c>
      <c r="F392" s="1" t="s">
        <v>4303</v>
      </c>
      <c r="G392" s="1" t="s">
        <v>4294</v>
      </c>
      <c r="H392" s="1" t="s">
        <v>1961</v>
      </c>
      <c r="I392" s="1" t="s">
        <v>1962</v>
      </c>
      <c r="J392" s="1" t="s">
        <v>1963</v>
      </c>
      <c r="K392" s="1" t="s">
        <v>1964</v>
      </c>
      <c r="L392" s="1" t="s">
        <v>1965</v>
      </c>
      <c r="M392" s="1" t="s">
        <v>1966</v>
      </c>
      <c r="N392" s="1"/>
      <c r="O392" s="1" t="s">
        <v>8</v>
      </c>
      <c r="P392" s="1" t="s">
        <v>3962</v>
      </c>
      <c r="Q392" s="1"/>
      <c r="R392" s="1"/>
      <c r="S392" s="1"/>
      <c r="T392" s="1"/>
      <c r="U392" s="1"/>
      <c r="V392" s="1"/>
      <c r="W392" s="1"/>
      <c r="Y392" t="s">
        <v>8</v>
      </c>
      <c r="Z392" t="s">
        <v>4316</v>
      </c>
      <c r="AA392" t="s">
        <v>4317</v>
      </c>
      <c r="AB392" t="s">
        <v>4894</v>
      </c>
      <c r="AD392" s="18">
        <v>46112</v>
      </c>
    </row>
    <row r="393" spans="1:30" ht="375" hidden="1">
      <c r="A393" s="1" t="s">
        <v>965</v>
      </c>
      <c r="B393" s="1">
        <v>1392</v>
      </c>
      <c r="C393" s="1">
        <v>7</v>
      </c>
      <c r="D393" s="1">
        <v>44</v>
      </c>
      <c r="E393" s="1" t="s">
        <v>4297</v>
      </c>
      <c r="F393" s="1" t="s">
        <v>4298</v>
      </c>
      <c r="G393" s="1" t="s">
        <v>4294</v>
      </c>
      <c r="H393" s="1" t="s">
        <v>1967</v>
      </c>
      <c r="I393" s="1" t="s">
        <v>1968</v>
      </c>
      <c r="J393" s="1" t="s">
        <v>1969</v>
      </c>
      <c r="K393" s="1" t="s">
        <v>1970</v>
      </c>
      <c r="L393" s="1" t="s">
        <v>1971</v>
      </c>
      <c r="M393" s="1" t="s">
        <v>1972</v>
      </c>
      <c r="N393" s="1"/>
      <c r="O393" s="1" t="s">
        <v>9</v>
      </c>
      <c r="P393" s="1" t="s">
        <v>3963</v>
      </c>
      <c r="Q393" s="1"/>
      <c r="R393" s="1"/>
      <c r="S393" s="1"/>
      <c r="T393" s="1"/>
      <c r="U393" s="1"/>
      <c r="V393" s="1"/>
      <c r="W393" s="1"/>
      <c r="Z393" t="s">
        <v>4386</v>
      </c>
      <c r="AB393" t="s">
        <v>4895</v>
      </c>
      <c r="AC393" t="s">
        <v>4896</v>
      </c>
      <c r="AD393" s="18">
        <v>46112</v>
      </c>
    </row>
    <row r="394" spans="1:30" ht="345" hidden="1">
      <c r="A394" s="1" t="s">
        <v>965</v>
      </c>
      <c r="B394" s="1">
        <v>1393</v>
      </c>
      <c r="C394" s="1">
        <v>7</v>
      </c>
      <c r="D394" s="1">
        <v>45</v>
      </c>
      <c r="E394" s="1" t="s">
        <v>4290</v>
      </c>
      <c r="F394" s="1" t="s">
        <v>4291</v>
      </c>
      <c r="G394" s="1" t="s">
        <v>40</v>
      </c>
      <c r="H394" s="1" t="s">
        <v>1973</v>
      </c>
      <c r="I394" s="1" t="s">
        <v>1121</v>
      </c>
      <c r="J394" s="1" t="s">
        <v>1688</v>
      </c>
      <c r="K394" s="1" t="s">
        <v>1974</v>
      </c>
      <c r="L394" s="1" t="s">
        <v>1975</v>
      </c>
      <c r="M394" s="1" t="s">
        <v>147</v>
      </c>
      <c r="N394" s="1"/>
      <c r="O394" s="1" t="s">
        <v>8</v>
      </c>
      <c r="P394" s="1" t="s">
        <v>3964</v>
      </c>
      <c r="Q394" s="1"/>
      <c r="R394" s="1"/>
      <c r="S394" s="1"/>
      <c r="T394" s="1"/>
      <c r="U394" s="1">
        <v>1</v>
      </c>
      <c r="V394" s="1"/>
      <c r="W394" s="1"/>
      <c r="Y394" t="s">
        <v>8</v>
      </c>
      <c r="Z394" t="s">
        <v>4316</v>
      </c>
      <c r="AA394" t="s">
        <v>4317</v>
      </c>
      <c r="AB394" t="s">
        <v>4897</v>
      </c>
      <c r="AC394" t="s">
        <v>4794</v>
      </c>
      <c r="AD394" s="18">
        <v>46112</v>
      </c>
    </row>
    <row r="395" spans="1:30" ht="195" hidden="1">
      <c r="A395" s="1" t="s">
        <v>965</v>
      </c>
      <c r="B395" s="1">
        <v>1394</v>
      </c>
      <c r="C395" s="1">
        <v>7</v>
      </c>
      <c r="D395" s="1">
        <v>46</v>
      </c>
      <c r="E395" s="1" t="s">
        <v>4297</v>
      </c>
      <c r="F395" s="1" t="s">
        <v>4298</v>
      </c>
      <c r="G395" s="1" t="s">
        <v>20</v>
      </c>
      <c r="H395" s="1" t="s">
        <v>1976</v>
      </c>
      <c r="I395" s="1" t="s">
        <v>1977</v>
      </c>
      <c r="J395" s="1" t="s">
        <v>1978</v>
      </c>
      <c r="K395" s="1" t="s">
        <v>1979</v>
      </c>
      <c r="L395" s="1" t="s">
        <v>1980</v>
      </c>
      <c r="M395" s="1" t="s">
        <v>1981</v>
      </c>
      <c r="N395" s="1"/>
      <c r="O395" s="1" t="s">
        <v>10</v>
      </c>
      <c r="P395" s="1" t="s">
        <v>3965</v>
      </c>
      <c r="Q395" s="1"/>
      <c r="R395" s="1"/>
      <c r="S395" s="1"/>
      <c r="T395" s="1">
        <v>1</v>
      </c>
      <c r="U395" s="1"/>
      <c r="V395" s="1"/>
      <c r="W395" s="1"/>
      <c r="Y395" t="s">
        <v>10</v>
      </c>
      <c r="Z395" t="s">
        <v>4316</v>
      </c>
      <c r="AA395" t="s">
        <v>4317</v>
      </c>
      <c r="AB395" t="s">
        <v>4898</v>
      </c>
      <c r="AC395" t="s">
        <v>4323</v>
      </c>
      <c r="AD395" s="18">
        <v>46112</v>
      </c>
    </row>
    <row r="396" spans="1:30" ht="315" hidden="1">
      <c r="A396" s="1" t="s">
        <v>965</v>
      </c>
      <c r="B396" s="1">
        <v>1395</v>
      </c>
      <c r="C396" s="1">
        <v>7</v>
      </c>
      <c r="D396" s="1">
        <v>47</v>
      </c>
      <c r="E396" s="1" t="s">
        <v>4297</v>
      </c>
      <c r="F396" s="1" t="s">
        <v>4299</v>
      </c>
      <c r="G396" s="1" t="s">
        <v>20</v>
      </c>
      <c r="H396" s="1" t="s">
        <v>1982</v>
      </c>
      <c r="I396" s="1" t="s">
        <v>1983</v>
      </c>
      <c r="J396" s="1" t="s">
        <v>1984</v>
      </c>
      <c r="K396" s="1" t="s">
        <v>1985</v>
      </c>
      <c r="L396" s="1" t="s">
        <v>1986</v>
      </c>
      <c r="M396" s="1" t="s">
        <v>1987</v>
      </c>
      <c r="N396" s="1"/>
      <c r="O396" s="1" t="s">
        <v>10</v>
      </c>
      <c r="P396" s="1" t="s">
        <v>3966</v>
      </c>
      <c r="Q396" s="1"/>
      <c r="R396" s="1"/>
      <c r="S396" s="1"/>
      <c r="T396" s="1"/>
      <c r="U396" s="1">
        <v>1</v>
      </c>
      <c r="V396" s="1"/>
      <c r="W396" s="1"/>
      <c r="Z396" t="s">
        <v>4386</v>
      </c>
      <c r="AB396" t="s">
        <v>4899</v>
      </c>
      <c r="AC396" t="s">
        <v>4481</v>
      </c>
      <c r="AD396" s="18">
        <v>46112</v>
      </c>
    </row>
    <row r="397" spans="1:30" ht="105" hidden="1">
      <c r="A397" s="1" t="s">
        <v>965</v>
      </c>
      <c r="B397" s="1">
        <v>1396</v>
      </c>
      <c r="C397" s="1">
        <v>7</v>
      </c>
      <c r="D397" s="1">
        <v>48</v>
      </c>
      <c r="E397" s="1" t="s">
        <v>4295</v>
      </c>
      <c r="F397" s="1" t="s">
        <v>4296</v>
      </c>
      <c r="G397" s="1" t="s">
        <v>20</v>
      </c>
      <c r="H397" s="1" t="s">
        <v>1988</v>
      </c>
      <c r="I397" s="1" t="s">
        <v>110</v>
      </c>
      <c r="J397" s="1" t="s">
        <v>114</v>
      </c>
      <c r="K397" s="1" t="s">
        <v>1989</v>
      </c>
      <c r="L397" s="1" t="s">
        <v>1990</v>
      </c>
      <c r="M397" s="1" t="s">
        <v>1594</v>
      </c>
      <c r="N397" s="1"/>
      <c r="O397" s="1" t="s">
        <v>10</v>
      </c>
      <c r="P397" s="1" t="s">
        <v>3967</v>
      </c>
      <c r="Q397" s="1"/>
      <c r="R397" s="1"/>
      <c r="S397" s="1"/>
      <c r="T397" s="1"/>
      <c r="U397" s="1"/>
      <c r="V397" s="1"/>
      <c r="W397" s="1"/>
      <c r="Y397" t="s">
        <v>10</v>
      </c>
      <c r="Z397" t="s">
        <v>4316</v>
      </c>
      <c r="AA397" t="s">
        <v>4317</v>
      </c>
      <c r="AB397" t="s">
        <v>4900</v>
      </c>
      <c r="AC397" t="s">
        <v>4344</v>
      </c>
      <c r="AD397" s="18">
        <v>46112</v>
      </c>
    </row>
    <row r="398" spans="1:30" ht="270" hidden="1">
      <c r="A398" s="1" t="s">
        <v>965</v>
      </c>
      <c r="B398" s="1">
        <v>1397</v>
      </c>
      <c r="C398" s="1">
        <v>7</v>
      </c>
      <c r="D398" s="1">
        <v>49</v>
      </c>
      <c r="E398" s="1" t="s">
        <v>4297</v>
      </c>
      <c r="F398" s="1" t="s">
        <v>4301</v>
      </c>
      <c r="G398" s="1" t="s">
        <v>20</v>
      </c>
      <c r="H398" s="1" t="s">
        <v>1991</v>
      </c>
      <c r="I398" s="1" t="s">
        <v>1992</v>
      </c>
      <c r="J398" s="1" t="s">
        <v>1993</v>
      </c>
      <c r="K398" s="1" t="s">
        <v>1994</v>
      </c>
      <c r="L398" s="1" t="s">
        <v>1995</v>
      </c>
      <c r="M398" s="1" t="s">
        <v>1996</v>
      </c>
      <c r="N398" s="1"/>
      <c r="O398" s="1" t="s">
        <v>10</v>
      </c>
      <c r="P398" s="1" t="s">
        <v>3968</v>
      </c>
      <c r="Q398" s="1"/>
      <c r="R398" s="1"/>
      <c r="S398" s="1"/>
      <c r="T398" s="1"/>
      <c r="U398" s="1"/>
      <c r="V398" s="1"/>
      <c r="W398" s="1"/>
      <c r="Y398" t="s">
        <v>10</v>
      </c>
      <c r="Z398" t="s">
        <v>4316</v>
      </c>
      <c r="AA398" t="s">
        <v>4317</v>
      </c>
      <c r="AB398" t="s">
        <v>4901</v>
      </c>
      <c r="AC398" t="s">
        <v>4473</v>
      </c>
      <c r="AD398" s="18">
        <v>46112</v>
      </c>
    </row>
    <row r="399" spans="1:30" ht="360" hidden="1">
      <c r="A399" s="1" t="s">
        <v>965</v>
      </c>
      <c r="B399" s="1">
        <v>1398</v>
      </c>
      <c r="C399" s="1">
        <v>7</v>
      </c>
      <c r="D399" s="1">
        <v>50</v>
      </c>
      <c r="E399" s="1" t="s">
        <v>4297</v>
      </c>
      <c r="F399" s="1" t="s">
        <v>4299</v>
      </c>
      <c r="G399" s="1" t="s">
        <v>20</v>
      </c>
      <c r="H399" s="1" t="s">
        <v>1997</v>
      </c>
      <c r="I399" s="1" t="s">
        <v>1998</v>
      </c>
      <c r="J399" s="1" t="s">
        <v>1999</v>
      </c>
      <c r="K399" s="1" t="s">
        <v>2000</v>
      </c>
      <c r="L399" s="1" t="s">
        <v>2001</v>
      </c>
      <c r="M399" s="1" t="s">
        <v>2002</v>
      </c>
      <c r="N399" s="1"/>
      <c r="O399" s="1" t="s">
        <v>11</v>
      </c>
      <c r="P399" s="1" t="s">
        <v>3969</v>
      </c>
      <c r="Q399" s="1"/>
      <c r="R399" s="1"/>
      <c r="S399" s="1"/>
      <c r="T399" s="1">
        <v>1</v>
      </c>
      <c r="U399" s="1">
        <v>1</v>
      </c>
      <c r="V399" s="1"/>
      <c r="W399" s="1"/>
      <c r="Y399" t="s">
        <v>11</v>
      </c>
      <c r="Z399" t="s">
        <v>4316</v>
      </c>
      <c r="AA399" t="s">
        <v>4317</v>
      </c>
      <c r="AB399" t="s">
        <v>4902</v>
      </c>
      <c r="AC399" t="s">
        <v>4430</v>
      </c>
      <c r="AD399" s="18">
        <v>46112</v>
      </c>
    </row>
    <row r="400" spans="1:30" ht="409.5" hidden="1">
      <c r="A400" s="1" t="s">
        <v>965</v>
      </c>
      <c r="B400" s="1">
        <v>1399</v>
      </c>
      <c r="C400" s="1">
        <v>7</v>
      </c>
      <c r="D400" s="1">
        <v>51</v>
      </c>
      <c r="E400" s="1" t="s">
        <v>4297</v>
      </c>
      <c r="F400" s="1" t="s">
        <v>4298</v>
      </c>
      <c r="G400" s="1" t="s">
        <v>20</v>
      </c>
      <c r="H400" s="1" t="s">
        <v>2003</v>
      </c>
      <c r="I400" s="1" t="s">
        <v>130</v>
      </c>
      <c r="J400" s="1" t="s">
        <v>133</v>
      </c>
      <c r="K400" s="1" t="s">
        <v>131</v>
      </c>
      <c r="L400" s="1" t="s">
        <v>132</v>
      </c>
      <c r="M400" s="1" t="s">
        <v>129</v>
      </c>
      <c r="N400" s="1"/>
      <c r="O400" s="1" t="s">
        <v>11</v>
      </c>
      <c r="P400" s="1" t="s">
        <v>3970</v>
      </c>
      <c r="Q400" s="1"/>
      <c r="R400" s="1"/>
      <c r="S400" s="1"/>
      <c r="T400" s="1"/>
      <c r="U400" s="1"/>
      <c r="V400" s="1"/>
      <c r="W400" s="1"/>
      <c r="Y400" t="s">
        <v>11</v>
      </c>
      <c r="Z400" t="s">
        <v>4316</v>
      </c>
      <c r="AA400" t="s">
        <v>4317</v>
      </c>
      <c r="AB400" t="s">
        <v>4903</v>
      </c>
      <c r="AC400" t="s">
        <v>4350</v>
      </c>
      <c r="AD400" s="18">
        <v>46112</v>
      </c>
    </row>
    <row r="401" spans="1:30" ht="360" hidden="1">
      <c r="A401" s="1" t="s">
        <v>965</v>
      </c>
      <c r="B401" s="1">
        <v>1400</v>
      </c>
      <c r="C401" s="1">
        <v>7</v>
      </c>
      <c r="D401" s="1">
        <v>52</v>
      </c>
      <c r="E401" s="1" t="s">
        <v>4290</v>
      </c>
      <c r="F401" s="1" t="s">
        <v>4291</v>
      </c>
      <c r="G401" s="1" t="s">
        <v>20</v>
      </c>
      <c r="H401" s="1" t="s">
        <v>2004</v>
      </c>
      <c r="I401" s="1" t="s">
        <v>2005</v>
      </c>
      <c r="J401" s="1" t="s">
        <v>2006</v>
      </c>
      <c r="K401" s="1" t="s">
        <v>5483</v>
      </c>
      <c r="L401" s="1" t="s">
        <v>2007</v>
      </c>
      <c r="M401" s="1" t="s">
        <v>2008</v>
      </c>
      <c r="N401" s="1"/>
      <c r="O401" s="1" t="s">
        <v>11</v>
      </c>
      <c r="P401" s="1" t="s">
        <v>5484</v>
      </c>
      <c r="Q401" s="1"/>
      <c r="R401" s="1"/>
      <c r="S401" s="1"/>
      <c r="T401" s="1"/>
      <c r="U401" s="1"/>
      <c r="V401" s="1"/>
      <c r="W401" s="1"/>
      <c r="Y401" t="s">
        <v>11</v>
      </c>
      <c r="Z401" t="s">
        <v>4316</v>
      </c>
      <c r="AA401" t="s">
        <v>4317</v>
      </c>
      <c r="AB401" t="s">
        <v>4904</v>
      </c>
      <c r="AC401" t="s">
        <v>4905</v>
      </c>
      <c r="AD401" s="18">
        <v>46112</v>
      </c>
    </row>
    <row r="402" spans="1:30" ht="165">
      <c r="A402" s="1" t="s">
        <v>965</v>
      </c>
      <c r="B402" s="1">
        <v>1401</v>
      </c>
      <c r="C402" s="1">
        <v>7</v>
      </c>
      <c r="D402" s="1">
        <v>53</v>
      </c>
      <c r="E402" s="1" t="s">
        <v>4292</v>
      </c>
      <c r="F402" s="1" t="s">
        <v>4293</v>
      </c>
      <c r="G402" s="1" t="s">
        <v>40</v>
      </c>
      <c r="H402" s="1" t="s">
        <v>2009</v>
      </c>
      <c r="I402" s="1" t="s">
        <v>5485</v>
      </c>
      <c r="J402" s="1" t="s">
        <v>2010</v>
      </c>
      <c r="K402" s="1" t="s">
        <v>2011</v>
      </c>
      <c r="L402" s="1" t="s">
        <v>708</v>
      </c>
      <c r="M402" s="1" t="s">
        <v>1421</v>
      </c>
      <c r="N402" s="1"/>
      <c r="O402" s="1" t="s">
        <v>11</v>
      </c>
      <c r="P402" s="1" t="s">
        <v>5486</v>
      </c>
      <c r="Q402" s="1"/>
      <c r="R402" s="1"/>
      <c r="S402" s="1"/>
      <c r="T402" s="1"/>
      <c r="U402" s="1">
        <v>1</v>
      </c>
      <c r="V402" s="1"/>
      <c r="W402" s="1"/>
      <c r="Y402" t="s">
        <v>10</v>
      </c>
      <c r="Z402" t="s">
        <v>4331</v>
      </c>
      <c r="AA402" t="s">
        <v>4332</v>
      </c>
      <c r="AB402" t="s">
        <v>4932</v>
      </c>
      <c r="AC402" t="s">
        <v>4444</v>
      </c>
      <c r="AD402" s="18">
        <v>46112</v>
      </c>
    </row>
    <row r="403" spans="1:30" ht="180" hidden="1">
      <c r="A403" s="1" t="s">
        <v>965</v>
      </c>
      <c r="B403" s="1">
        <v>1402</v>
      </c>
      <c r="C403" s="1">
        <v>7</v>
      </c>
      <c r="D403" s="1">
        <v>54</v>
      </c>
      <c r="E403" s="1" t="s">
        <v>4295</v>
      </c>
      <c r="F403" s="1" t="s">
        <v>4296</v>
      </c>
      <c r="G403" s="1" t="s">
        <v>40</v>
      </c>
      <c r="H403" s="1" t="s">
        <v>2012</v>
      </c>
      <c r="I403" s="1" t="s">
        <v>2013</v>
      </c>
      <c r="J403" s="1" t="s">
        <v>2014</v>
      </c>
      <c r="K403" s="1" t="s">
        <v>2015</v>
      </c>
      <c r="L403" s="1" t="s">
        <v>2016</v>
      </c>
      <c r="M403" s="1" t="s">
        <v>2017</v>
      </c>
      <c r="N403" s="1"/>
      <c r="O403" s="1" t="s">
        <v>10</v>
      </c>
      <c r="P403" s="1" t="s">
        <v>3971</v>
      </c>
      <c r="Q403" s="1"/>
      <c r="R403" s="1"/>
      <c r="S403" s="1"/>
      <c r="T403" s="1"/>
      <c r="U403" s="1"/>
      <c r="V403" s="1"/>
      <c r="W403" s="1"/>
      <c r="Y403" t="s">
        <v>10</v>
      </c>
      <c r="Z403" t="s">
        <v>4316</v>
      </c>
      <c r="AA403" t="s">
        <v>4317</v>
      </c>
      <c r="AB403" t="s">
        <v>4933</v>
      </c>
      <c r="AC403" t="s">
        <v>4382</v>
      </c>
      <c r="AD403" s="18">
        <v>46112</v>
      </c>
    </row>
    <row r="404" spans="1:30" ht="240" hidden="1">
      <c r="A404" s="1" t="s">
        <v>965</v>
      </c>
      <c r="B404" s="1">
        <v>1403</v>
      </c>
      <c r="C404" s="1">
        <v>7</v>
      </c>
      <c r="D404" s="1">
        <v>55</v>
      </c>
      <c r="E404" s="1" t="s">
        <v>4295</v>
      </c>
      <c r="F404" s="1" t="s">
        <v>4296</v>
      </c>
      <c r="G404" s="1" t="s">
        <v>4294</v>
      </c>
      <c r="H404" s="1" t="s">
        <v>2018</v>
      </c>
      <c r="I404" s="1" t="s">
        <v>2019</v>
      </c>
      <c r="J404" s="1" t="s">
        <v>2020</v>
      </c>
      <c r="K404" s="1" t="s">
        <v>2021</v>
      </c>
      <c r="L404" s="1" t="s">
        <v>2022</v>
      </c>
      <c r="M404" s="1" t="s">
        <v>2023</v>
      </c>
      <c r="N404" s="1"/>
      <c r="O404" s="1" t="s">
        <v>8</v>
      </c>
      <c r="P404" s="1" t="s">
        <v>3972</v>
      </c>
      <c r="Q404" s="1"/>
      <c r="R404" s="1"/>
      <c r="S404" s="1"/>
      <c r="T404" s="1"/>
      <c r="U404" s="1"/>
      <c r="V404" s="1"/>
      <c r="W404" s="1"/>
      <c r="Y404" t="s">
        <v>8</v>
      </c>
      <c r="Z404" t="s">
        <v>4316</v>
      </c>
      <c r="AA404" t="s">
        <v>4317</v>
      </c>
      <c r="AB404" t="s">
        <v>4934</v>
      </c>
      <c r="AC404" t="s">
        <v>4377</v>
      </c>
      <c r="AD404" s="18">
        <v>46112</v>
      </c>
    </row>
    <row r="405" spans="1:30" ht="390" hidden="1">
      <c r="A405" s="1" t="s">
        <v>965</v>
      </c>
      <c r="B405" s="1">
        <v>1404</v>
      </c>
      <c r="C405" s="1">
        <v>7</v>
      </c>
      <c r="D405" s="1">
        <v>56</v>
      </c>
      <c r="E405" s="1" t="s">
        <v>4305</v>
      </c>
      <c r="F405" s="1" t="s">
        <v>4307</v>
      </c>
      <c r="G405" s="1" t="s">
        <v>4294</v>
      </c>
      <c r="H405" s="1" t="s">
        <v>2024</v>
      </c>
      <c r="I405" s="1" t="s">
        <v>3721</v>
      </c>
      <c r="J405" s="1" t="s">
        <v>3722</v>
      </c>
      <c r="K405" s="1" t="s">
        <v>3723</v>
      </c>
      <c r="L405" s="1" t="s">
        <v>3724</v>
      </c>
      <c r="M405" s="1" t="s">
        <v>3725</v>
      </c>
      <c r="N405" s="1"/>
      <c r="O405" s="1" t="s">
        <v>8</v>
      </c>
      <c r="P405" s="1" t="s">
        <v>3973</v>
      </c>
      <c r="Q405" s="1"/>
      <c r="R405" s="1"/>
      <c r="S405" s="1"/>
      <c r="T405" s="1">
        <v>1</v>
      </c>
      <c r="U405" s="1"/>
      <c r="V405" s="1"/>
      <c r="W405" s="1"/>
      <c r="Z405" t="s">
        <v>4386</v>
      </c>
      <c r="AB405" t="s">
        <v>4935</v>
      </c>
      <c r="AC405" t="s">
        <v>4936</v>
      </c>
      <c r="AD405" s="18">
        <v>46112</v>
      </c>
    </row>
    <row r="406" spans="1:30" ht="409.5" hidden="1">
      <c r="A406" s="1" t="s">
        <v>965</v>
      </c>
      <c r="B406" s="1">
        <v>1405</v>
      </c>
      <c r="C406" s="1">
        <v>7</v>
      </c>
      <c r="D406" s="1">
        <v>57</v>
      </c>
      <c r="E406" s="1" t="s">
        <v>4305</v>
      </c>
      <c r="F406" s="1" t="s">
        <v>4307</v>
      </c>
      <c r="G406" s="1" t="s">
        <v>20</v>
      </c>
      <c r="H406" s="1" t="s">
        <v>2025</v>
      </c>
      <c r="I406" s="1" t="s">
        <v>2026</v>
      </c>
      <c r="J406" s="1" t="s">
        <v>5487</v>
      </c>
      <c r="K406" s="1" t="s">
        <v>2027</v>
      </c>
      <c r="L406" s="1" t="s">
        <v>2028</v>
      </c>
      <c r="M406" s="1" t="s">
        <v>2029</v>
      </c>
      <c r="N406" s="1"/>
      <c r="O406" s="1" t="s">
        <v>10</v>
      </c>
      <c r="P406" s="1" t="s">
        <v>5488</v>
      </c>
      <c r="Q406" s="1"/>
      <c r="R406" s="1"/>
      <c r="S406" s="1"/>
      <c r="T406" s="1"/>
      <c r="U406" s="1"/>
      <c r="V406" s="1"/>
      <c r="W406" s="1"/>
      <c r="Y406" t="s">
        <v>10</v>
      </c>
      <c r="Z406" t="s">
        <v>4316</v>
      </c>
      <c r="AA406" t="s">
        <v>4317</v>
      </c>
      <c r="AB406" t="s">
        <v>4937</v>
      </c>
      <c r="AC406" t="s">
        <v>4792</v>
      </c>
      <c r="AD406" s="18">
        <v>46112</v>
      </c>
    </row>
    <row r="407" spans="1:30" ht="255" hidden="1">
      <c r="A407" s="1" t="s">
        <v>965</v>
      </c>
      <c r="B407" s="1">
        <v>1406</v>
      </c>
      <c r="C407" s="1">
        <v>7</v>
      </c>
      <c r="D407" s="1">
        <v>58</v>
      </c>
      <c r="E407" s="1" t="s">
        <v>4292</v>
      </c>
      <c r="F407" s="1" t="s">
        <v>4293</v>
      </c>
      <c r="G407" s="1" t="s">
        <v>40</v>
      </c>
      <c r="H407" s="1" t="s">
        <v>2030</v>
      </c>
      <c r="I407" s="1" t="s">
        <v>2031</v>
      </c>
      <c r="J407" s="1" t="s">
        <v>2032</v>
      </c>
      <c r="K407" s="1" t="s">
        <v>2033</v>
      </c>
      <c r="L407" s="1" t="s">
        <v>2034</v>
      </c>
      <c r="M407" s="1" t="s">
        <v>2035</v>
      </c>
      <c r="N407" s="1"/>
      <c r="O407" s="1" t="s">
        <v>11</v>
      </c>
      <c r="P407" s="1" t="s">
        <v>5489</v>
      </c>
      <c r="Q407" s="1"/>
      <c r="R407" s="1"/>
      <c r="S407" s="1"/>
      <c r="T407" s="1"/>
      <c r="U407" s="1"/>
      <c r="V407" s="1"/>
      <c r="W407" s="1"/>
      <c r="X407" t="s">
        <v>3907</v>
      </c>
      <c r="Y407" t="s">
        <v>11</v>
      </c>
      <c r="Z407" t="s">
        <v>4316</v>
      </c>
      <c r="AA407" t="s">
        <v>4317</v>
      </c>
      <c r="AB407" t="s">
        <v>4938</v>
      </c>
      <c r="AC407" t="s">
        <v>4359</v>
      </c>
      <c r="AD407" s="18">
        <v>46112</v>
      </c>
    </row>
    <row r="408" spans="1:30" ht="409.5" hidden="1">
      <c r="A408" s="1" t="s">
        <v>965</v>
      </c>
      <c r="B408" s="1">
        <v>1407</v>
      </c>
      <c r="C408" s="1">
        <v>7</v>
      </c>
      <c r="D408" s="1">
        <v>59</v>
      </c>
      <c r="E408" s="1" t="s">
        <v>4297</v>
      </c>
      <c r="F408" s="1" t="s">
        <v>4298</v>
      </c>
      <c r="G408" s="1" t="s">
        <v>40</v>
      </c>
      <c r="H408" s="1" t="s">
        <v>2036</v>
      </c>
      <c r="I408" s="1" t="s">
        <v>2037</v>
      </c>
      <c r="J408" s="1" t="s">
        <v>2038</v>
      </c>
      <c r="K408" s="1" t="s">
        <v>2039</v>
      </c>
      <c r="L408" s="1" t="s">
        <v>2040</v>
      </c>
      <c r="M408" s="1" t="s">
        <v>1536</v>
      </c>
      <c r="N408" s="1"/>
      <c r="O408" s="1" t="s">
        <v>10</v>
      </c>
      <c r="P408" s="1" t="s">
        <v>5490</v>
      </c>
      <c r="Q408" s="1"/>
      <c r="R408" s="1"/>
      <c r="S408" s="1"/>
      <c r="T408" s="1"/>
      <c r="U408" s="1"/>
      <c r="V408" s="1"/>
      <c r="W408" s="1"/>
      <c r="Y408" t="s">
        <v>10</v>
      </c>
      <c r="Z408" t="s">
        <v>4316</v>
      </c>
      <c r="AA408" t="s">
        <v>4317</v>
      </c>
      <c r="AB408" t="s">
        <v>4939</v>
      </c>
      <c r="AC408" t="s">
        <v>4484</v>
      </c>
      <c r="AD408" s="18">
        <v>46112</v>
      </c>
    </row>
    <row r="409" spans="1:30" ht="409.5" hidden="1">
      <c r="A409" s="1" t="s">
        <v>965</v>
      </c>
      <c r="B409" s="1">
        <v>1408</v>
      </c>
      <c r="C409" s="1">
        <v>7</v>
      </c>
      <c r="D409" s="1">
        <v>60</v>
      </c>
      <c r="E409" s="1" t="s">
        <v>4292</v>
      </c>
      <c r="F409" s="1" t="s">
        <v>4304</v>
      </c>
      <c r="G409" s="1" t="s">
        <v>40</v>
      </c>
      <c r="H409" s="1" t="s">
        <v>2041</v>
      </c>
      <c r="I409" s="1" t="s">
        <v>2042</v>
      </c>
      <c r="J409" s="1" t="s">
        <v>2043</v>
      </c>
      <c r="K409" s="1" t="s">
        <v>2044</v>
      </c>
      <c r="L409" s="1" t="s">
        <v>2045</v>
      </c>
      <c r="M409" s="1" t="s">
        <v>2046</v>
      </c>
      <c r="N409" s="1"/>
      <c r="O409" s="1" t="s">
        <v>11</v>
      </c>
      <c r="P409" s="1" t="s">
        <v>3974</v>
      </c>
      <c r="Q409" s="1"/>
      <c r="R409" s="1"/>
      <c r="S409" s="1"/>
      <c r="T409" s="1"/>
      <c r="U409" s="1">
        <v>1</v>
      </c>
      <c r="V409" s="1"/>
      <c r="W409" s="1"/>
      <c r="Y409" t="s">
        <v>11</v>
      </c>
      <c r="Z409" t="s">
        <v>4316</v>
      </c>
      <c r="AA409" t="s">
        <v>4317</v>
      </c>
      <c r="AB409" t="s">
        <v>4940</v>
      </c>
      <c r="AC409" t="s">
        <v>4323</v>
      </c>
      <c r="AD409" s="18">
        <v>46112</v>
      </c>
    </row>
    <row r="410" spans="1:30" ht="409.5" hidden="1">
      <c r="A410" s="1" t="s">
        <v>965</v>
      </c>
      <c r="B410" s="1">
        <v>1409</v>
      </c>
      <c r="C410" s="1">
        <v>8</v>
      </c>
      <c r="D410" s="1">
        <v>1</v>
      </c>
      <c r="E410" s="1" t="s">
        <v>4295</v>
      </c>
      <c r="F410" s="1" t="s">
        <v>4296</v>
      </c>
      <c r="G410" s="1" t="s">
        <v>4294</v>
      </c>
      <c r="H410" s="1" t="s">
        <v>2047</v>
      </c>
      <c r="I410" s="1" t="s">
        <v>2048</v>
      </c>
      <c r="J410" s="1" t="s">
        <v>2049</v>
      </c>
      <c r="K410" s="1" t="s">
        <v>2050</v>
      </c>
      <c r="L410" s="1" t="s">
        <v>2051</v>
      </c>
      <c r="M410" s="1" t="s">
        <v>2052</v>
      </c>
      <c r="N410" s="1"/>
      <c r="O410" s="1" t="s">
        <v>9</v>
      </c>
      <c r="P410" s="1" t="s">
        <v>3975</v>
      </c>
      <c r="Q410" s="1"/>
      <c r="R410" s="1"/>
      <c r="S410" s="1"/>
      <c r="T410" s="1"/>
      <c r="U410" s="1">
        <v>1</v>
      </c>
      <c r="V410" s="1"/>
      <c r="W410" s="1">
        <v>1</v>
      </c>
      <c r="Y410" t="s">
        <v>9</v>
      </c>
      <c r="Z410" t="s">
        <v>4316</v>
      </c>
      <c r="AA410" t="s">
        <v>4317</v>
      </c>
      <c r="AB410" t="s">
        <v>4941</v>
      </c>
      <c r="AC410" t="s">
        <v>4817</v>
      </c>
      <c r="AD410" s="18">
        <v>46112</v>
      </c>
    </row>
    <row r="411" spans="1:30" ht="409.5" hidden="1">
      <c r="A411" s="1" t="s">
        <v>965</v>
      </c>
      <c r="B411" s="1">
        <v>1410</v>
      </c>
      <c r="C411" s="1">
        <v>8</v>
      </c>
      <c r="D411" s="1">
        <v>2</v>
      </c>
      <c r="E411" s="1" t="s">
        <v>4297</v>
      </c>
      <c r="F411" s="1" t="s">
        <v>4298</v>
      </c>
      <c r="G411" s="1" t="s">
        <v>20</v>
      </c>
      <c r="H411" s="1" t="s">
        <v>2053</v>
      </c>
      <c r="I411" s="1" t="s">
        <v>216</v>
      </c>
      <c r="J411" s="1" t="s">
        <v>3414</v>
      </c>
      <c r="K411" s="1" t="s">
        <v>3726</v>
      </c>
      <c r="L411" s="1" t="s">
        <v>3727</v>
      </c>
      <c r="M411" s="1" t="s">
        <v>3728</v>
      </c>
      <c r="N411" s="1"/>
      <c r="O411" s="1" t="s">
        <v>10</v>
      </c>
      <c r="P411" s="1" t="s">
        <v>3976</v>
      </c>
      <c r="Q411" s="1"/>
      <c r="R411" s="1"/>
      <c r="S411" s="1"/>
      <c r="T411" s="1"/>
      <c r="U411" s="1"/>
      <c r="V411" s="1"/>
      <c r="W411" s="1"/>
      <c r="Y411" t="s">
        <v>10</v>
      </c>
      <c r="Z411" t="s">
        <v>4316</v>
      </c>
      <c r="AA411" t="s">
        <v>4317</v>
      </c>
      <c r="AB411" t="s">
        <v>4942</v>
      </c>
      <c r="AC411" t="s">
        <v>4911</v>
      </c>
      <c r="AD411" s="18">
        <v>46112</v>
      </c>
    </row>
    <row r="412" spans="1:30" ht="375" hidden="1">
      <c r="A412" s="1" t="s">
        <v>965</v>
      </c>
      <c r="B412" s="1">
        <v>1411</v>
      </c>
      <c r="C412" s="1">
        <v>8</v>
      </c>
      <c r="D412" s="1">
        <v>3</v>
      </c>
      <c r="E412" s="1" t="s">
        <v>4297</v>
      </c>
      <c r="F412" s="1" t="s">
        <v>4298</v>
      </c>
      <c r="G412" s="1" t="s">
        <v>40</v>
      </c>
      <c r="H412" s="1" t="s">
        <v>3602</v>
      </c>
      <c r="I412" s="1" t="s">
        <v>3597</v>
      </c>
      <c r="J412" s="1" t="s">
        <v>3598</v>
      </c>
      <c r="K412" s="1" t="s">
        <v>3599</v>
      </c>
      <c r="L412" s="1" t="s">
        <v>3600</v>
      </c>
      <c r="M412" s="1" t="s">
        <v>3601</v>
      </c>
      <c r="N412" s="1"/>
      <c r="O412" s="1" t="s">
        <v>9</v>
      </c>
      <c r="P412" s="1" t="s">
        <v>3977</v>
      </c>
      <c r="Q412" s="1"/>
      <c r="R412" s="1"/>
      <c r="S412" s="1"/>
      <c r="T412" s="1">
        <v>1</v>
      </c>
      <c r="U412" s="1"/>
      <c r="V412" s="1"/>
      <c r="W412" s="1"/>
      <c r="Y412" t="s">
        <v>9</v>
      </c>
      <c r="Z412" t="s">
        <v>4316</v>
      </c>
      <c r="AA412" t="s">
        <v>4317</v>
      </c>
      <c r="AB412" t="s">
        <v>4943</v>
      </c>
      <c r="AD412" s="18">
        <v>46112</v>
      </c>
    </row>
    <row r="413" spans="1:30" ht="409.5" hidden="1">
      <c r="A413" s="1" t="s">
        <v>965</v>
      </c>
      <c r="B413" s="1">
        <v>1412</v>
      </c>
      <c r="C413" s="1">
        <v>8</v>
      </c>
      <c r="D413" s="1">
        <v>4</v>
      </c>
      <c r="E413" s="1" t="s">
        <v>4297</v>
      </c>
      <c r="F413" s="1" t="s">
        <v>4298</v>
      </c>
      <c r="G413" s="1" t="s">
        <v>40</v>
      </c>
      <c r="H413" s="1" t="s">
        <v>3608</v>
      </c>
      <c r="I413" s="1" t="s">
        <v>3603</v>
      </c>
      <c r="J413" s="1" t="s">
        <v>3604</v>
      </c>
      <c r="K413" s="1" t="s">
        <v>3605</v>
      </c>
      <c r="L413" s="1" t="s">
        <v>3606</v>
      </c>
      <c r="M413" s="1" t="s">
        <v>3607</v>
      </c>
      <c r="N413" s="1"/>
      <c r="O413" s="1" t="s">
        <v>8</v>
      </c>
      <c r="P413" s="1" t="s">
        <v>3978</v>
      </c>
      <c r="Q413" s="1"/>
      <c r="R413" s="1"/>
      <c r="S413" s="1"/>
      <c r="T413" s="1">
        <v>1</v>
      </c>
      <c r="U413" s="1">
        <v>1</v>
      </c>
      <c r="V413" s="1"/>
      <c r="W413" s="1"/>
      <c r="Y413" t="s">
        <v>8</v>
      </c>
      <c r="Z413" t="s">
        <v>4316</v>
      </c>
      <c r="AA413" t="s">
        <v>4317</v>
      </c>
      <c r="AB413" t="s">
        <v>4944</v>
      </c>
      <c r="AD413" s="18">
        <v>46112</v>
      </c>
    </row>
    <row r="414" spans="1:30" ht="409.5" hidden="1">
      <c r="A414" s="1" t="s">
        <v>965</v>
      </c>
      <c r="B414" s="1">
        <v>1413</v>
      </c>
      <c r="C414" s="1">
        <v>8</v>
      </c>
      <c r="D414" s="1">
        <v>5</v>
      </c>
      <c r="E414" s="1" t="s">
        <v>4295</v>
      </c>
      <c r="F414" s="1" t="s">
        <v>4296</v>
      </c>
      <c r="G414" s="1" t="s">
        <v>4294</v>
      </c>
      <c r="H414" s="1" t="s">
        <v>2054</v>
      </c>
      <c r="I414" s="1" t="s">
        <v>3729</v>
      </c>
      <c r="J414" s="1" t="s">
        <v>3730</v>
      </c>
      <c r="K414" s="1" t="s">
        <v>1783</v>
      </c>
      <c r="L414" s="1" t="s">
        <v>3731</v>
      </c>
      <c r="M414" s="1" t="s">
        <v>3732</v>
      </c>
      <c r="N414" s="1"/>
      <c r="O414" s="1" t="s">
        <v>10</v>
      </c>
      <c r="P414" s="1" t="s">
        <v>3980</v>
      </c>
      <c r="Q414" s="1"/>
      <c r="R414" s="1"/>
      <c r="S414" s="1"/>
      <c r="T414" s="1">
        <v>1</v>
      </c>
      <c r="U414" s="1">
        <v>1</v>
      </c>
      <c r="V414" s="1"/>
      <c r="W414" s="1">
        <v>1</v>
      </c>
      <c r="X414" t="s">
        <v>3979</v>
      </c>
      <c r="Y414" t="s">
        <v>10</v>
      </c>
      <c r="Z414" t="s">
        <v>4316</v>
      </c>
      <c r="AA414" t="s">
        <v>4317</v>
      </c>
      <c r="AB414" t="s">
        <v>4945</v>
      </c>
      <c r="AC414" t="s">
        <v>4820</v>
      </c>
      <c r="AD414" s="18">
        <v>46112</v>
      </c>
    </row>
    <row r="415" spans="1:30" ht="409.5" hidden="1">
      <c r="A415" s="1" t="s">
        <v>965</v>
      </c>
      <c r="B415" s="1">
        <v>1414</v>
      </c>
      <c r="C415" s="1">
        <v>8</v>
      </c>
      <c r="D415" s="1">
        <v>6</v>
      </c>
      <c r="E415" s="1" t="s">
        <v>4295</v>
      </c>
      <c r="F415" s="1" t="s">
        <v>4296</v>
      </c>
      <c r="G415" s="1" t="s">
        <v>40</v>
      </c>
      <c r="H415" s="1" t="s">
        <v>2055</v>
      </c>
      <c r="I415" s="1" t="s">
        <v>2056</v>
      </c>
      <c r="J415" s="1" t="s">
        <v>2057</v>
      </c>
      <c r="K415" s="1" t="s">
        <v>2058</v>
      </c>
      <c r="L415" s="1" t="s">
        <v>2059</v>
      </c>
      <c r="M415" s="1" t="s">
        <v>2060</v>
      </c>
      <c r="N415" s="1"/>
      <c r="O415" s="1" t="s">
        <v>11</v>
      </c>
      <c r="P415" s="1" t="s">
        <v>3981</v>
      </c>
      <c r="Q415" s="1"/>
      <c r="R415" s="1"/>
      <c r="S415" s="1"/>
      <c r="T415" s="1"/>
      <c r="U415" s="1">
        <v>1</v>
      </c>
      <c r="V415" s="1"/>
      <c r="W415" s="1">
        <v>1</v>
      </c>
      <c r="Y415" t="s">
        <v>11</v>
      </c>
      <c r="Z415" t="s">
        <v>4316</v>
      </c>
      <c r="AA415" t="s">
        <v>4317</v>
      </c>
      <c r="AB415" t="s">
        <v>4946</v>
      </c>
      <c r="AC415" t="s">
        <v>4947</v>
      </c>
      <c r="AD415" s="18">
        <v>46112</v>
      </c>
    </row>
    <row r="416" spans="1:30" ht="409.5" hidden="1">
      <c r="A416" s="1" t="s">
        <v>965</v>
      </c>
      <c r="B416" s="1">
        <v>1415</v>
      </c>
      <c r="C416" s="1">
        <v>8</v>
      </c>
      <c r="D416" s="1">
        <v>7</v>
      </c>
      <c r="E416" s="1" t="s">
        <v>4295</v>
      </c>
      <c r="F416" s="1" t="s">
        <v>4296</v>
      </c>
      <c r="G416" s="1" t="s">
        <v>40</v>
      </c>
      <c r="H416" s="1" t="s">
        <v>2061</v>
      </c>
      <c r="I416" s="1" t="s">
        <v>2062</v>
      </c>
      <c r="J416" s="1" t="s">
        <v>2063</v>
      </c>
      <c r="K416" s="1" t="s">
        <v>2064</v>
      </c>
      <c r="L416" s="1" t="s">
        <v>2065</v>
      </c>
      <c r="M416" s="1" t="s">
        <v>2066</v>
      </c>
      <c r="N416" s="1"/>
      <c r="O416" s="1" t="s">
        <v>9</v>
      </c>
      <c r="P416" s="1" t="s">
        <v>3982</v>
      </c>
      <c r="Q416" s="1"/>
      <c r="R416" s="1"/>
      <c r="S416" s="1"/>
      <c r="T416" s="1"/>
      <c r="U416" s="1"/>
      <c r="V416" s="1"/>
      <c r="W416" s="1"/>
      <c r="Y416" t="s">
        <v>9</v>
      </c>
      <c r="Z416" t="s">
        <v>4316</v>
      </c>
      <c r="AA416" t="s">
        <v>4317</v>
      </c>
      <c r="AB416" t="s">
        <v>4948</v>
      </c>
      <c r="AC416" t="s">
        <v>4369</v>
      </c>
      <c r="AD416" s="18">
        <v>46112</v>
      </c>
    </row>
    <row r="417" spans="1:30" ht="409.5" hidden="1">
      <c r="A417" s="1" t="s">
        <v>965</v>
      </c>
      <c r="B417" s="1">
        <v>1416</v>
      </c>
      <c r="C417" s="1">
        <v>8</v>
      </c>
      <c r="D417" s="1">
        <v>8</v>
      </c>
      <c r="E417" s="1" t="s">
        <v>4305</v>
      </c>
      <c r="F417" s="1" t="s">
        <v>4307</v>
      </c>
      <c r="G417" s="1" t="s">
        <v>20</v>
      </c>
      <c r="H417" s="1" t="s">
        <v>2067</v>
      </c>
      <c r="I417" s="1" t="s">
        <v>1440</v>
      </c>
      <c r="J417" s="1" t="s">
        <v>152</v>
      </c>
      <c r="K417" s="1" t="s">
        <v>2068</v>
      </c>
      <c r="L417" s="1" t="s">
        <v>1443</v>
      </c>
      <c r="M417" s="1" t="s">
        <v>1441</v>
      </c>
      <c r="N417" s="1"/>
      <c r="O417" s="1" t="s">
        <v>10</v>
      </c>
      <c r="P417" s="1" t="s">
        <v>3983</v>
      </c>
      <c r="Q417" s="1"/>
      <c r="R417" s="1"/>
      <c r="S417" s="1"/>
      <c r="T417" s="1"/>
      <c r="U417" s="1"/>
      <c r="V417" s="1"/>
      <c r="W417" s="1"/>
      <c r="Y417" t="s">
        <v>10</v>
      </c>
      <c r="Z417" t="s">
        <v>4316</v>
      </c>
      <c r="AA417" t="s">
        <v>4317</v>
      </c>
      <c r="AB417" t="s">
        <v>4949</v>
      </c>
      <c r="AC417" t="s">
        <v>4792</v>
      </c>
      <c r="AD417" s="18">
        <v>46112</v>
      </c>
    </row>
    <row r="418" spans="1:30" ht="409.5" hidden="1">
      <c r="A418" s="1" t="s">
        <v>965</v>
      </c>
      <c r="B418" s="1">
        <v>1417</v>
      </c>
      <c r="C418" s="1">
        <v>8</v>
      </c>
      <c r="D418" s="1">
        <v>9</v>
      </c>
      <c r="E418" s="1" t="s">
        <v>4297</v>
      </c>
      <c r="F418" s="1" t="s">
        <v>4298</v>
      </c>
      <c r="G418" s="1" t="s">
        <v>20</v>
      </c>
      <c r="H418" s="1" t="s">
        <v>2069</v>
      </c>
      <c r="I418" s="1" t="s">
        <v>901</v>
      </c>
      <c r="J418" s="1" t="s">
        <v>1929</v>
      </c>
      <c r="K418" s="1" t="s">
        <v>1930</v>
      </c>
      <c r="L418" s="1" t="s">
        <v>545</v>
      </c>
      <c r="M418" s="1" t="s">
        <v>1931</v>
      </c>
      <c r="N418" s="1"/>
      <c r="O418" s="1" t="s">
        <v>10</v>
      </c>
      <c r="P418" s="1" t="s">
        <v>3984</v>
      </c>
      <c r="Q418" s="1"/>
      <c r="R418" s="1"/>
      <c r="S418" s="1"/>
      <c r="T418" s="1"/>
      <c r="U418" s="1">
        <v>1</v>
      </c>
      <c r="V418" s="1"/>
      <c r="W418" s="1">
        <v>1</v>
      </c>
      <c r="Y418" t="s">
        <v>10</v>
      </c>
      <c r="Z418" t="s">
        <v>4316</v>
      </c>
      <c r="AA418" t="s">
        <v>4317</v>
      </c>
      <c r="AB418" t="s">
        <v>4950</v>
      </c>
      <c r="AC418" t="s">
        <v>4844</v>
      </c>
      <c r="AD418" s="18">
        <v>46112</v>
      </c>
    </row>
    <row r="419" spans="1:30" ht="409.5" hidden="1">
      <c r="A419" s="1" t="s">
        <v>965</v>
      </c>
      <c r="B419" s="1">
        <v>1418</v>
      </c>
      <c r="C419" s="1">
        <v>8</v>
      </c>
      <c r="D419" s="1">
        <v>10</v>
      </c>
      <c r="E419" s="1" t="s">
        <v>4290</v>
      </c>
      <c r="F419" s="1" t="s">
        <v>4302</v>
      </c>
      <c r="G419" s="1" t="s">
        <v>20</v>
      </c>
      <c r="H419" s="1" t="s">
        <v>2070</v>
      </c>
      <c r="I419" s="1" t="s">
        <v>2071</v>
      </c>
      <c r="J419" s="1" t="s">
        <v>2072</v>
      </c>
      <c r="K419" s="1" t="s">
        <v>2073</v>
      </c>
      <c r="L419" s="1" t="s">
        <v>2074</v>
      </c>
      <c r="M419" s="1" t="s">
        <v>2075</v>
      </c>
      <c r="N419" s="1"/>
      <c r="O419" s="1" t="s">
        <v>11</v>
      </c>
      <c r="P419" s="1" t="s">
        <v>3985</v>
      </c>
      <c r="Q419" s="1"/>
      <c r="R419" s="1"/>
      <c r="S419" s="1"/>
      <c r="T419" s="1">
        <v>1</v>
      </c>
      <c r="U419" s="1">
        <v>1</v>
      </c>
      <c r="V419" s="1"/>
      <c r="W419" s="1">
        <v>1</v>
      </c>
      <c r="Y419" t="s">
        <v>11</v>
      </c>
      <c r="Z419" t="s">
        <v>4316</v>
      </c>
      <c r="AA419" t="s">
        <v>4317</v>
      </c>
      <c r="AB419" t="s">
        <v>4951</v>
      </c>
      <c r="AC419" t="s">
        <v>4567</v>
      </c>
      <c r="AD419" s="18">
        <v>46112</v>
      </c>
    </row>
    <row r="420" spans="1:30" ht="409.5" hidden="1">
      <c r="A420" s="1" t="s">
        <v>965</v>
      </c>
      <c r="B420" s="1">
        <v>1419</v>
      </c>
      <c r="C420" s="1">
        <v>8</v>
      </c>
      <c r="D420" s="1">
        <v>11</v>
      </c>
      <c r="E420" s="1" t="s">
        <v>4297</v>
      </c>
      <c r="F420" s="1" t="s">
        <v>4298</v>
      </c>
      <c r="G420" s="1" t="s">
        <v>40</v>
      </c>
      <c r="H420" s="1" t="s">
        <v>3614</v>
      </c>
      <c r="I420" s="1" t="s">
        <v>3609</v>
      </c>
      <c r="J420" s="1" t="s">
        <v>3610</v>
      </c>
      <c r="K420" s="1" t="s">
        <v>3611</v>
      </c>
      <c r="L420" s="1" t="s">
        <v>3612</v>
      </c>
      <c r="M420" s="1" t="s">
        <v>3613</v>
      </c>
      <c r="N420" s="1"/>
      <c r="O420" s="1" t="s">
        <v>9</v>
      </c>
      <c r="P420" s="1" t="s">
        <v>3986</v>
      </c>
      <c r="Q420" s="1"/>
      <c r="R420" s="1"/>
      <c r="S420" s="1"/>
      <c r="T420" s="1">
        <v>1</v>
      </c>
      <c r="U420" s="1"/>
      <c r="V420" s="1"/>
      <c r="W420" s="1"/>
      <c r="Y420" t="s">
        <v>9</v>
      </c>
      <c r="Z420" t="s">
        <v>4316</v>
      </c>
      <c r="AA420" t="s">
        <v>4317</v>
      </c>
      <c r="AB420" t="s">
        <v>4952</v>
      </c>
      <c r="AD420" s="18">
        <v>46112</v>
      </c>
    </row>
    <row r="421" spans="1:30" ht="409.5" hidden="1">
      <c r="A421" s="1" t="s">
        <v>965</v>
      </c>
      <c r="B421" s="1">
        <v>1420</v>
      </c>
      <c r="C421" s="1">
        <v>8</v>
      </c>
      <c r="D421" s="1">
        <v>12</v>
      </c>
      <c r="E421" s="1" t="s">
        <v>4297</v>
      </c>
      <c r="F421" s="1" t="s">
        <v>4298</v>
      </c>
      <c r="G421" s="1" t="s">
        <v>40</v>
      </c>
      <c r="H421" s="1" t="s">
        <v>3620</v>
      </c>
      <c r="I421" s="1" t="s">
        <v>3615</v>
      </c>
      <c r="J421" s="1" t="s">
        <v>3616</v>
      </c>
      <c r="K421" s="1" t="s">
        <v>3617</v>
      </c>
      <c r="L421" s="1" t="s">
        <v>3618</v>
      </c>
      <c r="M421" s="1" t="s">
        <v>3619</v>
      </c>
      <c r="N421" s="1"/>
      <c r="O421" s="1" t="s">
        <v>11</v>
      </c>
      <c r="P421" s="1" t="s">
        <v>3987</v>
      </c>
      <c r="Q421" s="1"/>
      <c r="R421" s="1"/>
      <c r="S421" s="1"/>
      <c r="T421" s="1"/>
      <c r="U421" s="1">
        <v>1</v>
      </c>
      <c r="V421" s="1"/>
      <c r="W421" s="1"/>
      <c r="Y421" t="s">
        <v>11</v>
      </c>
      <c r="Z421" t="s">
        <v>4316</v>
      </c>
      <c r="AA421" t="s">
        <v>4317</v>
      </c>
      <c r="AB421" t="s">
        <v>4953</v>
      </c>
      <c r="AD421" s="18">
        <v>46112</v>
      </c>
    </row>
    <row r="422" spans="1:30" ht="409.5" hidden="1">
      <c r="A422" s="1" t="s">
        <v>965</v>
      </c>
      <c r="B422" s="1">
        <v>1421</v>
      </c>
      <c r="C422" s="1">
        <v>8</v>
      </c>
      <c r="D422" s="1">
        <v>13</v>
      </c>
      <c r="E422" s="1" t="s">
        <v>4297</v>
      </c>
      <c r="F422" s="1" t="s">
        <v>4299</v>
      </c>
      <c r="G422" s="1" t="s">
        <v>40</v>
      </c>
      <c r="H422" s="1" t="s">
        <v>3626</v>
      </c>
      <c r="I422" s="1" t="s">
        <v>3621</v>
      </c>
      <c r="J422" s="1" t="s">
        <v>3622</v>
      </c>
      <c r="K422" s="1" t="s">
        <v>3623</v>
      </c>
      <c r="L422" s="1" t="s">
        <v>3624</v>
      </c>
      <c r="M422" s="1" t="s">
        <v>3625</v>
      </c>
      <c r="N422" s="1"/>
      <c r="O422" s="1" t="s">
        <v>8</v>
      </c>
      <c r="P422" s="1" t="s">
        <v>3988</v>
      </c>
      <c r="Q422" s="1"/>
      <c r="R422" s="1"/>
      <c r="S422" s="1"/>
      <c r="T422" s="1"/>
      <c r="U422" s="1">
        <v>1</v>
      </c>
      <c r="V422" s="1"/>
      <c r="W422" s="1"/>
      <c r="Y422" t="s">
        <v>8</v>
      </c>
      <c r="Z422" t="s">
        <v>4316</v>
      </c>
      <c r="AA422" t="s">
        <v>4317</v>
      </c>
      <c r="AB422" t="s">
        <v>4954</v>
      </c>
      <c r="AD422" s="18">
        <v>46112</v>
      </c>
    </row>
    <row r="423" spans="1:30" ht="409.5" hidden="1">
      <c r="A423" s="1" t="s">
        <v>965</v>
      </c>
      <c r="B423" s="1">
        <v>1422</v>
      </c>
      <c r="C423" s="1">
        <v>8</v>
      </c>
      <c r="D423" s="1">
        <v>14</v>
      </c>
      <c r="E423" s="1" t="s">
        <v>4295</v>
      </c>
      <c r="F423" s="1" t="s">
        <v>4296</v>
      </c>
      <c r="G423" s="1" t="s">
        <v>40</v>
      </c>
      <c r="H423" s="1" t="s">
        <v>2076</v>
      </c>
      <c r="I423" s="1" t="s">
        <v>336</v>
      </c>
      <c r="J423" s="1" t="s">
        <v>2077</v>
      </c>
      <c r="K423" s="1" t="s">
        <v>2078</v>
      </c>
      <c r="L423" s="1" t="s">
        <v>2079</v>
      </c>
      <c r="M423" s="1" t="s">
        <v>2080</v>
      </c>
      <c r="N423" s="1"/>
      <c r="O423" s="1" t="s">
        <v>7</v>
      </c>
      <c r="P423" s="1" t="s">
        <v>3989</v>
      </c>
      <c r="Q423" s="1"/>
      <c r="R423" s="1"/>
      <c r="S423" s="1"/>
      <c r="T423" s="1">
        <v>1</v>
      </c>
      <c r="U423" s="1"/>
      <c r="V423" s="1"/>
      <c r="W423" s="1">
        <v>1</v>
      </c>
      <c r="Y423" t="s">
        <v>7</v>
      </c>
      <c r="Z423" t="s">
        <v>4316</v>
      </c>
      <c r="AA423" t="s">
        <v>4317</v>
      </c>
      <c r="AB423" t="s">
        <v>4955</v>
      </c>
      <c r="AC423" t="s">
        <v>4402</v>
      </c>
      <c r="AD423" s="18">
        <v>46112</v>
      </c>
    </row>
    <row r="424" spans="1:30" ht="300" hidden="1">
      <c r="A424" s="1" t="s">
        <v>965</v>
      </c>
      <c r="B424" s="1">
        <v>1423</v>
      </c>
      <c r="C424" s="1">
        <v>8</v>
      </c>
      <c r="D424" s="1">
        <v>15</v>
      </c>
      <c r="E424" s="1" t="s">
        <v>4297</v>
      </c>
      <c r="F424" s="1" t="s">
        <v>4298</v>
      </c>
      <c r="G424" s="1" t="s">
        <v>40</v>
      </c>
      <c r="H424" s="1" t="s">
        <v>3632</v>
      </c>
      <c r="I424" s="1" t="s">
        <v>3627</v>
      </c>
      <c r="J424" s="1" t="s">
        <v>3628</v>
      </c>
      <c r="K424" s="1" t="s">
        <v>3629</v>
      </c>
      <c r="L424" s="1" t="s">
        <v>3630</v>
      </c>
      <c r="M424" s="1" t="s">
        <v>3631</v>
      </c>
      <c r="N424" s="1"/>
      <c r="O424" s="1" t="s">
        <v>7</v>
      </c>
      <c r="P424" s="1" t="s">
        <v>3990</v>
      </c>
      <c r="Q424" s="1"/>
      <c r="R424" s="1"/>
      <c r="S424" s="1"/>
      <c r="T424" s="1"/>
      <c r="U424" s="1">
        <v>1</v>
      </c>
      <c r="V424" s="1"/>
      <c r="W424" s="1"/>
      <c r="Y424" t="s">
        <v>7</v>
      </c>
      <c r="Z424" t="s">
        <v>4316</v>
      </c>
      <c r="AA424" t="s">
        <v>4317</v>
      </c>
      <c r="AB424" t="s">
        <v>4956</v>
      </c>
      <c r="AD424" s="18">
        <v>46112</v>
      </c>
    </row>
    <row r="425" spans="1:30" ht="165" hidden="1">
      <c r="A425" s="1" t="s">
        <v>965</v>
      </c>
      <c r="B425" s="1">
        <v>1424</v>
      </c>
      <c r="C425" s="1">
        <v>8</v>
      </c>
      <c r="D425" s="1">
        <v>16</v>
      </c>
      <c r="E425" s="1" t="s">
        <v>4295</v>
      </c>
      <c r="F425" s="1" t="s">
        <v>4296</v>
      </c>
      <c r="G425" s="1" t="s">
        <v>40</v>
      </c>
      <c r="H425" s="1" t="s">
        <v>2081</v>
      </c>
      <c r="I425" s="1" t="s">
        <v>2082</v>
      </c>
      <c r="J425" s="1" t="s">
        <v>2083</v>
      </c>
      <c r="K425" s="1" t="s">
        <v>2084</v>
      </c>
      <c r="L425" s="1" t="s">
        <v>2085</v>
      </c>
      <c r="M425" s="1" t="s">
        <v>2086</v>
      </c>
      <c r="N425" s="1"/>
      <c r="O425" s="1" t="s">
        <v>8</v>
      </c>
      <c r="P425" s="1" t="s">
        <v>3991</v>
      </c>
      <c r="Q425" s="1"/>
      <c r="R425" s="1"/>
      <c r="S425" s="1"/>
      <c r="T425" s="1"/>
      <c r="U425" s="1">
        <v>1</v>
      </c>
      <c r="V425" s="1"/>
      <c r="W425" s="1">
        <v>1</v>
      </c>
      <c r="Y425" t="s">
        <v>8</v>
      </c>
      <c r="Z425" t="s">
        <v>4316</v>
      </c>
      <c r="AA425" t="s">
        <v>4317</v>
      </c>
      <c r="AB425" t="s">
        <v>4957</v>
      </c>
      <c r="AC425" t="s">
        <v>4958</v>
      </c>
      <c r="AD425" s="18">
        <v>46112</v>
      </c>
    </row>
    <row r="426" spans="1:30" ht="409.5" hidden="1">
      <c r="A426" s="1" t="s">
        <v>965</v>
      </c>
      <c r="B426" s="1">
        <v>1425</v>
      </c>
      <c r="C426" s="1">
        <v>8</v>
      </c>
      <c r="D426" s="1">
        <v>17</v>
      </c>
      <c r="E426" s="1" t="s">
        <v>4295</v>
      </c>
      <c r="F426" s="1" t="s">
        <v>4296</v>
      </c>
      <c r="G426" s="1" t="s">
        <v>40</v>
      </c>
      <c r="H426" s="1" t="s">
        <v>2087</v>
      </c>
      <c r="I426" s="1" t="s">
        <v>2088</v>
      </c>
      <c r="J426" s="1" t="s">
        <v>2089</v>
      </c>
      <c r="K426" s="1" t="s">
        <v>2090</v>
      </c>
      <c r="L426" s="1" t="s">
        <v>2091</v>
      </c>
      <c r="M426" s="1" t="s">
        <v>2092</v>
      </c>
      <c r="N426" s="1"/>
      <c r="O426" s="1" t="s">
        <v>9</v>
      </c>
      <c r="P426" s="1" t="s">
        <v>3992</v>
      </c>
      <c r="Q426" s="1"/>
      <c r="R426" s="1"/>
      <c r="S426" s="1"/>
      <c r="T426" s="1"/>
      <c r="U426" s="1"/>
      <c r="V426" s="1"/>
      <c r="W426" s="1"/>
      <c r="Y426" t="s">
        <v>9</v>
      </c>
      <c r="Z426" t="s">
        <v>4316</v>
      </c>
      <c r="AA426" t="s">
        <v>4317</v>
      </c>
      <c r="AB426" t="s">
        <v>4959</v>
      </c>
      <c r="AC426" t="s">
        <v>4382</v>
      </c>
      <c r="AD426" s="18">
        <v>46112</v>
      </c>
    </row>
    <row r="427" spans="1:30" ht="409.5" hidden="1">
      <c r="A427" s="1" t="s">
        <v>965</v>
      </c>
      <c r="B427" s="1">
        <v>1426</v>
      </c>
      <c r="C427" s="1">
        <v>8</v>
      </c>
      <c r="D427" s="1">
        <v>18</v>
      </c>
      <c r="E427" s="1" t="s">
        <v>4292</v>
      </c>
      <c r="F427" s="1" t="s">
        <v>4303</v>
      </c>
      <c r="G427" s="1" t="s">
        <v>4294</v>
      </c>
      <c r="H427" s="1" t="s">
        <v>2093</v>
      </c>
      <c r="I427" s="1" t="s">
        <v>2094</v>
      </c>
      <c r="J427" s="1" t="s">
        <v>2095</v>
      </c>
      <c r="K427" s="1" t="s">
        <v>2096</v>
      </c>
      <c r="L427" s="1" t="s">
        <v>2097</v>
      </c>
      <c r="M427" s="1" t="s">
        <v>2098</v>
      </c>
      <c r="N427" s="1"/>
      <c r="O427" s="1" t="s">
        <v>9</v>
      </c>
      <c r="P427" s="1" t="s">
        <v>3993</v>
      </c>
      <c r="Q427" s="1"/>
      <c r="R427" s="1"/>
      <c r="S427" s="1"/>
      <c r="T427" s="1">
        <v>1</v>
      </c>
      <c r="U427" s="1">
        <v>1</v>
      </c>
      <c r="V427" s="1"/>
      <c r="W427" s="1"/>
      <c r="Y427" t="s">
        <v>9</v>
      </c>
      <c r="Z427" t="s">
        <v>4316</v>
      </c>
      <c r="AA427" t="s">
        <v>4317</v>
      </c>
      <c r="AB427" t="s">
        <v>4960</v>
      </c>
      <c r="AD427" s="18">
        <v>46112</v>
      </c>
    </row>
    <row r="428" spans="1:30" ht="409.5" hidden="1">
      <c r="A428" s="1" t="s">
        <v>965</v>
      </c>
      <c r="B428" s="1">
        <v>1427</v>
      </c>
      <c r="C428" s="1">
        <v>8</v>
      </c>
      <c r="D428" s="1">
        <v>19</v>
      </c>
      <c r="E428" s="1" t="s">
        <v>4305</v>
      </c>
      <c r="F428" s="1" t="s">
        <v>4307</v>
      </c>
      <c r="G428" s="1" t="s">
        <v>40</v>
      </c>
      <c r="H428" s="1" t="s">
        <v>2099</v>
      </c>
      <c r="I428" s="1" t="s">
        <v>2100</v>
      </c>
      <c r="J428" s="1" t="s">
        <v>2101</v>
      </c>
      <c r="K428" s="1" t="s">
        <v>2102</v>
      </c>
      <c r="L428" s="1" t="s">
        <v>2103</v>
      </c>
      <c r="M428" s="1" t="s">
        <v>2104</v>
      </c>
      <c r="N428" s="1" t="s">
        <v>2105</v>
      </c>
      <c r="O428" s="1" t="s">
        <v>8</v>
      </c>
      <c r="P428" s="1" t="s">
        <v>3994</v>
      </c>
      <c r="Q428" s="1"/>
      <c r="R428" s="1"/>
      <c r="S428" s="1"/>
      <c r="T428" s="1">
        <v>1</v>
      </c>
      <c r="U428" s="1">
        <v>1</v>
      </c>
      <c r="V428" s="1"/>
      <c r="W428" s="1">
        <v>1</v>
      </c>
      <c r="Z428" t="s">
        <v>4386</v>
      </c>
      <c r="AB428" t="s">
        <v>4961</v>
      </c>
      <c r="AC428" t="s">
        <v>4865</v>
      </c>
      <c r="AD428" s="18">
        <v>46112</v>
      </c>
    </row>
    <row r="429" spans="1:30" ht="300" hidden="1">
      <c r="A429" s="1" t="s">
        <v>965</v>
      </c>
      <c r="B429" s="1">
        <v>1428</v>
      </c>
      <c r="C429" s="1">
        <v>8</v>
      </c>
      <c r="D429" s="1">
        <v>20</v>
      </c>
      <c r="E429" s="1" t="s">
        <v>4297</v>
      </c>
      <c r="F429" s="1" t="s">
        <v>4299</v>
      </c>
      <c r="G429" s="1" t="s">
        <v>20</v>
      </c>
      <c r="H429" s="1" t="s">
        <v>2106</v>
      </c>
      <c r="I429" s="1" t="s">
        <v>2107</v>
      </c>
      <c r="J429" s="1" t="s">
        <v>2108</v>
      </c>
      <c r="K429" s="1" t="s">
        <v>2109</v>
      </c>
      <c r="L429" s="1" t="s">
        <v>2110</v>
      </c>
      <c r="M429" s="1"/>
      <c r="N429" s="1"/>
      <c r="O429" s="1" t="s">
        <v>8</v>
      </c>
      <c r="P429" s="1" t="s">
        <v>3995</v>
      </c>
      <c r="Q429" s="1"/>
      <c r="R429" s="1"/>
      <c r="S429" s="1"/>
      <c r="T429" s="1"/>
      <c r="U429" s="1"/>
      <c r="V429" s="1"/>
      <c r="W429" s="1"/>
      <c r="Y429" t="s">
        <v>8</v>
      </c>
      <c r="Z429" t="s">
        <v>4316</v>
      </c>
      <c r="AA429" t="s">
        <v>4317</v>
      </c>
      <c r="AB429" t="s">
        <v>4962</v>
      </c>
      <c r="AD429" s="18">
        <v>46112</v>
      </c>
    </row>
    <row r="430" spans="1:30" ht="390" hidden="1">
      <c r="A430" s="1" t="s">
        <v>965</v>
      </c>
      <c r="B430" s="1">
        <v>1429</v>
      </c>
      <c r="C430" s="1">
        <v>8</v>
      </c>
      <c r="D430" s="1">
        <v>21</v>
      </c>
      <c r="E430" s="1" t="s">
        <v>4290</v>
      </c>
      <c r="F430" s="1" t="s">
        <v>4302</v>
      </c>
      <c r="G430" s="1" t="s">
        <v>4294</v>
      </c>
      <c r="H430" s="1" t="s">
        <v>2111</v>
      </c>
      <c r="I430" s="1" t="s">
        <v>1801</v>
      </c>
      <c r="J430" s="1" t="s">
        <v>1802</v>
      </c>
      <c r="K430" s="1" t="s">
        <v>1800</v>
      </c>
      <c r="L430" s="1" t="s">
        <v>1799</v>
      </c>
      <c r="M430" s="1" t="s">
        <v>1803</v>
      </c>
      <c r="N430" s="1"/>
      <c r="O430" s="1" t="s">
        <v>9</v>
      </c>
      <c r="P430" s="1" t="s">
        <v>3996</v>
      </c>
      <c r="Q430" s="1"/>
      <c r="R430" s="1"/>
      <c r="S430" s="1"/>
      <c r="T430" s="1"/>
      <c r="U430" s="1"/>
      <c r="V430" s="1"/>
      <c r="W430" s="1">
        <v>1</v>
      </c>
      <c r="Y430" t="s">
        <v>9</v>
      </c>
      <c r="Z430" t="s">
        <v>4316</v>
      </c>
      <c r="AA430" t="s">
        <v>4317</v>
      </c>
      <c r="AB430" t="s">
        <v>4963</v>
      </c>
      <c r="AC430" t="s">
        <v>4567</v>
      </c>
      <c r="AD430" s="18">
        <v>46112</v>
      </c>
    </row>
    <row r="431" spans="1:30" ht="390" hidden="1">
      <c r="A431" s="1" t="s">
        <v>965</v>
      </c>
      <c r="B431" s="1">
        <v>1430</v>
      </c>
      <c r="C431" s="1">
        <v>8</v>
      </c>
      <c r="D431" s="1">
        <v>22</v>
      </c>
      <c r="E431" s="1" t="s">
        <v>4297</v>
      </c>
      <c r="F431" s="1" t="s">
        <v>4298</v>
      </c>
      <c r="G431" s="1" t="s">
        <v>20</v>
      </c>
      <c r="H431" s="1" t="s">
        <v>2112</v>
      </c>
      <c r="I431" s="1" t="s">
        <v>478</v>
      </c>
      <c r="J431" s="1" t="s">
        <v>455</v>
      </c>
      <c r="K431" s="1" t="s">
        <v>477</v>
      </c>
      <c r="L431" s="1" t="s">
        <v>456</v>
      </c>
      <c r="M431" s="1"/>
      <c r="N431" s="1"/>
      <c r="O431" s="1" t="s">
        <v>10</v>
      </c>
      <c r="P431" s="1" t="s">
        <v>3997</v>
      </c>
      <c r="Q431" s="1"/>
      <c r="R431" s="1"/>
      <c r="S431" s="1"/>
      <c r="T431" s="1"/>
      <c r="U431" s="1"/>
      <c r="V431" s="1"/>
      <c r="W431" s="1"/>
      <c r="Z431" t="s">
        <v>4386</v>
      </c>
      <c r="AB431" t="s">
        <v>4964</v>
      </c>
      <c r="AC431" t="s">
        <v>4965</v>
      </c>
      <c r="AD431" s="18">
        <v>46112</v>
      </c>
    </row>
    <row r="432" spans="1:30" ht="409.5" hidden="1">
      <c r="A432" s="1" t="s">
        <v>965</v>
      </c>
      <c r="B432" s="1">
        <v>1431</v>
      </c>
      <c r="C432" s="1">
        <v>8</v>
      </c>
      <c r="D432" s="1">
        <v>23</v>
      </c>
      <c r="E432" s="1" t="s">
        <v>4297</v>
      </c>
      <c r="F432" s="1" t="s">
        <v>4299</v>
      </c>
      <c r="G432" s="1" t="s">
        <v>20</v>
      </c>
      <c r="H432" s="1" t="s">
        <v>2106</v>
      </c>
      <c r="I432" s="1" t="s">
        <v>2108</v>
      </c>
      <c r="J432" s="1" t="s">
        <v>2109</v>
      </c>
      <c r="K432" s="1" t="s">
        <v>2110</v>
      </c>
      <c r="L432" s="1" t="s">
        <v>2107</v>
      </c>
      <c r="M432" s="1"/>
      <c r="N432" s="1"/>
      <c r="O432" s="1" t="s">
        <v>7</v>
      </c>
      <c r="P432" s="1" t="s">
        <v>3998</v>
      </c>
      <c r="Q432" s="1"/>
      <c r="R432" s="1"/>
      <c r="S432" s="1"/>
      <c r="T432" s="1"/>
      <c r="U432" s="1"/>
      <c r="V432" s="1"/>
      <c r="W432" s="1"/>
      <c r="Y432" t="s">
        <v>7</v>
      </c>
      <c r="Z432" t="s">
        <v>4316</v>
      </c>
      <c r="AA432" t="s">
        <v>4317</v>
      </c>
      <c r="AB432" t="s">
        <v>4966</v>
      </c>
      <c r="AD432" s="18">
        <v>46112</v>
      </c>
    </row>
    <row r="433" spans="1:30" ht="409.5" hidden="1">
      <c r="A433" s="1" t="s">
        <v>965</v>
      </c>
      <c r="B433" s="1">
        <v>1432</v>
      </c>
      <c r="C433" s="1">
        <v>8</v>
      </c>
      <c r="D433" s="1">
        <v>24</v>
      </c>
      <c r="E433" s="1" t="s">
        <v>4297</v>
      </c>
      <c r="F433" s="1" t="s">
        <v>4299</v>
      </c>
      <c r="G433" s="1" t="s">
        <v>20</v>
      </c>
      <c r="H433" s="1" t="s">
        <v>2106</v>
      </c>
      <c r="I433" s="1" t="s">
        <v>2107</v>
      </c>
      <c r="J433" s="1" t="s">
        <v>2110</v>
      </c>
      <c r="K433" s="1" t="s">
        <v>2109</v>
      </c>
      <c r="L433" s="1" t="s">
        <v>2108</v>
      </c>
      <c r="M433" s="1"/>
      <c r="N433" s="1"/>
      <c r="O433" s="1" t="s">
        <v>10</v>
      </c>
      <c r="P433" s="1" t="s">
        <v>3999</v>
      </c>
      <c r="Q433" s="1"/>
      <c r="R433" s="1"/>
      <c r="S433" s="1"/>
      <c r="T433" s="1"/>
      <c r="U433" s="1"/>
      <c r="V433" s="1"/>
      <c r="W433" s="1"/>
      <c r="Y433" t="s">
        <v>10</v>
      </c>
      <c r="Z433" t="s">
        <v>4316</v>
      </c>
      <c r="AA433" t="s">
        <v>4317</v>
      </c>
      <c r="AB433" t="s">
        <v>4967</v>
      </c>
      <c r="AD433" s="18">
        <v>46112</v>
      </c>
    </row>
    <row r="434" spans="1:30" ht="409.5" hidden="1">
      <c r="A434" s="1" t="s">
        <v>965</v>
      </c>
      <c r="B434" s="1">
        <v>1433</v>
      </c>
      <c r="C434" s="1">
        <v>8</v>
      </c>
      <c r="D434" s="1">
        <v>25</v>
      </c>
      <c r="E434" s="1" t="s">
        <v>4297</v>
      </c>
      <c r="F434" s="1" t="s">
        <v>4298</v>
      </c>
      <c r="G434" s="1" t="s">
        <v>40</v>
      </c>
      <c r="H434" s="1" t="s">
        <v>2113</v>
      </c>
      <c r="I434" s="1" t="s">
        <v>2114</v>
      </c>
      <c r="J434" s="1" t="s">
        <v>2115</v>
      </c>
      <c r="K434" s="1" t="s">
        <v>2116</v>
      </c>
      <c r="L434" s="1" t="s">
        <v>2117</v>
      </c>
      <c r="M434" s="1" t="s">
        <v>2118</v>
      </c>
      <c r="N434" s="1"/>
      <c r="O434" s="1" t="s">
        <v>11</v>
      </c>
      <c r="P434" s="1" t="s">
        <v>4000</v>
      </c>
      <c r="Q434" s="1"/>
      <c r="R434" s="1"/>
      <c r="S434" s="1"/>
      <c r="T434" s="1"/>
      <c r="U434" s="1"/>
      <c r="V434" s="1"/>
      <c r="W434" s="1"/>
      <c r="Y434" t="s">
        <v>11</v>
      </c>
      <c r="Z434" t="s">
        <v>4316</v>
      </c>
      <c r="AA434" t="s">
        <v>4317</v>
      </c>
      <c r="AB434" t="s">
        <v>4968</v>
      </c>
      <c r="AC434" t="s">
        <v>4865</v>
      </c>
      <c r="AD434" s="18">
        <v>46112</v>
      </c>
    </row>
    <row r="435" spans="1:30" ht="330">
      <c r="A435" s="1" t="s">
        <v>965</v>
      </c>
      <c r="B435" s="1">
        <v>1434</v>
      </c>
      <c r="C435" s="1">
        <v>8</v>
      </c>
      <c r="D435" s="1">
        <v>26</v>
      </c>
      <c r="E435" s="1" t="s">
        <v>4297</v>
      </c>
      <c r="F435" s="1" t="s">
        <v>4299</v>
      </c>
      <c r="G435" s="1" t="s">
        <v>4294</v>
      </c>
      <c r="H435" s="1" t="s">
        <v>3634</v>
      </c>
      <c r="I435" s="1" t="s">
        <v>3633</v>
      </c>
      <c r="J435" s="1">
        <v>4</v>
      </c>
      <c r="K435" s="1">
        <v>3</v>
      </c>
      <c r="L435" s="1">
        <v>2</v>
      </c>
      <c r="M435" s="1">
        <v>1</v>
      </c>
      <c r="N435" s="1"/>
      <c r="O435" s="1" t="s">
        <v>9</v>
      </c>
      <c r="P435" s="1" t="s">
        <v>4001</v>
      </c>
      <c r="Q435" s="1"/>
      <c r="R435" s="1"/>
      <c r="S435" s="1"/>
      <c r="T435" s="1">
        <v>1</v>
      </c>
      <c r="U435" s="1">
        <v>1</v>
      </c>
      <c r="V435" s="1"/>
      <c r="W435" s="1"/>
      <c r="Y435" t="s">
        <v>8</v>
      </c>
      <c r="Z435" t="s">
        <v>4331</v>
      </c>
      <c r="AA435" t="s">
        <v>4332</v>
      </c>
      <c r="AB435" t="s">
        <v>5132</v>
      </c>
      <c r="AC435" t="s">
        <v>5079</v>
      </c>
      <c r="AD435" s="18">
        <v>46113</v>
      </c>
    </row>
    <row r="436" spans="1:30" ht="409.5" hidden="1">
      <c r="A436" s="1" t="s">
        <v>965</v>
      </c>
      <c r="B436" s="1">
        <v>1435</v>
      </c>
      <c r="C436" s="1">
        <v>8</v>
      </c>
      <c r="D436" s="1">
        <v>27</v>
      </c>
      <c r="E436" s="1" t="s">
        <v>4297</v>
      </c>
      <c r="F436" s="1" t="s">
        <v>4298</v>
      </c>
      <c r="G436" s="1" t="s">
        <v>40</v>
      </c>
      <c r="H436" s="1" t="s">
        <v>2119</v>
      </c>
      <c r="I436" s="1" t="s">
        <v>2120</v>
      </c>
      <c r="J436" s="1" t="s">
        <v>2121</v>
      </c>
      <c r="K436" s="1" t="s">
        <v>2122</v>
      </c>
      <c r="L436" s="1" t="s">
        <v>2123</v>
      </c>
      <c r="M436" s="1" t="s">
        <v>2124</v>
      </c>
      <c r="N436" s="1"/>
      <c r="O436" s="1" t="s">
        <v>7</v>
      </c>
      <c r="P436" s="1" t="s">
        <v>4002</v>
      </c>
      <c r="Q436" s="1"/>
      <c r="R436" s="1"/>
      <c r="S436" s="1"/>
      <c r="T436" s="1">
        <v>1</v>
      </c>
      <c r="U436" s="1"/>
      <c r="V436" s="1"/>
      <c r="W436" s="1"/>
      <c r="Z436" t="s">
        <v>4386</v>
      </c>
      <c r="AB436" t="s">
        <v>4969</v>
      </c>
      <c r="AC436" t="s">
        <v>4502</v>
      </c>
      <c r="AD436" s="18">
        <v>46112</v>
      </c>
    </row>
    <row r="437" spans="1:30" ht="409.5" hidden="1">
      <c r="A437" s="1" t="s">
        <v>965</v>
      </c>
      <c r="B437" s="1">
        <v>1436</v>
      </c>
      <c r="C437" s="1">
        <v>8</v>
      </c>
      <c r="D437" s="1">
        <v>28</v>
      </c>
      <c r="E437" s="1" t="s">
        <v>4290</v>
      </c>
      <c r="F437" s="1" t="s">
        <v>4302</v>
      </c>
      <c r="G437" s="1" t="s">
        <v>20</v>
      </c>
      <c r="H437" s="1" t="s">
        <v>2125</v>
      </c>
      <c r="I437" s="1" t="s">
        <v>2126</v>
      </c>
      <c r="J437" s="1" t="s">
        <v>2127</v>
      </c>
      <c r="K437" s="1" t="s">
        <v>2128</v>
      </c>
      <c r="L437" s="1" t="s">
        <v>2129</v>
      </c>
      <c r="M437" s="1" t="s">
        <v>2130</v>
      </c>
      <c r="N437" s="1"/>
      <c r="O437" s="1" t="s">
        <v>9</v>
      </c>
      <c r="P437" s="1" t="s">
        <v>4003</v>
      </c>
      <c r="Q437" s="1"/>
      <c r="R437" s="1"/>
      <c r="S437" s="1"/>
      <c r="T437" s="1">
        <v>1</v>
      </c>
      <c r="U437" s="1">
        <v>1</v>
      </c>
      <c r="V437" s="1"/>
      <c r="W437" s="1"/>
      <c r="Y437" t="s">
        <v>9</v>
      </c>
      <c r="Z437" t="s">
        <v>4316</v>
      </c>
      <c r="AA437" t="s">
        <v>4317</v>
      </c>
      <c r="AB437" t="s">
        <v>4970</v>
      </c>
      <c r="AD437" s="18">
        <v>46112</v>
      </c>
    </row>
    <row r="438" spans="1:30" ht="225" hidden="1">
      <c r="A438" s="1" t="s">
        <v>965</v>
      </c>
      <c r="B438" s="1">
        <v>1437</v>
      </c>
      <c r="C438" s="1">
        <v>8</v>
      </c>
      <c r="D438" s="1">
        <v>29</v>
      </c>
      <c r="E438" s="1" t="s">
        <v>4305</v>
      </c>
      <c r="F438" s="1" t="s">
        <v>4307</v>
      </c>
      <c r="G438" s="1" t="s">
        <v>40</v>
      </c>
      <c r="H438" s="1" t="s">
        <v>2131</v>
      </c>
      <c r="I438" s="1" t="s">
        <v>2132</v>
      </c>
      <c r="J438" s="1" t="s">
        <v>2133</v>
      </c>
      <c r="K438" s="1" t="s">
        <v>2134</v>
      </c>
      <c r="L438" s="1" t="s">
        <v>2135</v>
      </c>
      <c r="M438" s="1" t="s">
        <v>2136</v>
      </c>
      <c r="N438" s="1"/>
      <c r="O438" s="1" t="s">
        <v>9</v>
      </c>
      <c r="P438" s="1" t="s">
        <v>5491</v>
      </c>
      <c r="Q438" s="1"/>
      <c r="R438" s="1"/>
      <c r="S438" s="1"/>
      <c r="T438" s="1">
        <v>1</v>
      </c>
      <c r="U438" s="1"/>
      <c r="V438" s="1"/>
      <c r="W438" s="1"/>
      <c r="Y438" t="s">
        <v>9</v>
      </c>
      <c r="Z438" t="s">
        <v>4316</v>
      </c>
      <c r="AA438" t="s">
        <v>4317</v>
      </c>
      <c r="AB438" t="s">
        <v>4971</v>
      </c>
      <c r="AC438" t="s">
        <v>4865</v>
      </c>
      <c r="AD438" s="18">
        <v>46112</v>
      </c>
    </row>
    <row r="439" spans="1:30" ht="255" hidden="1">
      <c r="A439" s="1" t="s">
        <v>965</v>
      </c>
      <c r="B439" s="1">
        <v>1438</v>
      </c>
      <c r="C439" s="1">
        <v>8</v>
      </c>
      <c r="D439" s="1">
        <v>30</v>
      </c>
      <c r="E439" s="1" t="s">
        <v>4290</v>
      </c>
      <c r="F439" s="1" t="s">
        <v>4291</v>
      </c>
      <c r="G439" s="1" t="s">
        <v>4294</v>
      </c>
      <c r="H439" s="1" t="s">
        <v>2137</v>
      </c>
      <c r="I439" s="1" t="s">
        <v>3733</v>
      </c>
      <c r="J439" s="1" t="s">
        <v>3734</v>
      </c>
      <c r="K439" s="1" t="s">
        <v>3735</v>
      </c>
      <c r="L439" s="1" t="s">
        <v>3736</v>
      </c>
      <c r="M439" s="1" t="s">
        <v>3737</v>
      </c>
      <c r="N439" s="1"/>
      <c r="O439" s="1" t="s">
        <v>10</v>
      </c>
      <c r="P439" s="1" t="s">
        <v>5492</v>
      </c>
      <c r="Q439" s="1"/>
      <c r="R439" s="1"/>
      <c r="S439" s="1"/>
      <c r="T439" s="1">
        <v>1</v>
      </c>
      <c r="U439" s="1">
        <v>1</v>
      </c>
      <c r="V439" s="1"/>
      <c r="W439" s="1"/>
      <c r="Y439" t="s">
        <v>10</v>
      </c>
      <c r="Z439" t="s">
        <v>4316</v>
      </c>
      <c r="AA439" t="s">
        <v>4317</v>
      </c>
      <c r="AB439" t="s">
        <v>4972</v>
      </c>
      <c r="AC439" t="s">
        <v>4364</v>
      </c>
      <c r="AD439" s="18">
        <v>46112</v>
      </c>
    </row>
    <row r="440" spans="1:30" ht="225" hidden="1">
      <c r="A440" s="1" t="s">
        <v>965</v>
      </c>
      <c r="B440" s="1">
        <v>1439</v>
      </c>
      <c r="C440" s="1">
        <v>8</v>
      </c>
      <c r="D440" s="1">
        <v>31</v>
      </c>
      <c r="E440" s="1" t="s">
        <v>4290</v>
      </c>
      <c r="F440" s="1" t="s">
        <v>4302</v>
      </c>
      <c r="G440" s="1" t="s">
        <v>4294</v>
      </c>
      <c r="H440" s="1" t="s">
        <v>2138</v>
      </c>
      <c r="I440" s="1" t="s">
        <v>3738</v>
      </c>
      <c r="J440" s="1" t="s">
        <v>3739</v>
      </c>
      <c r="K440" s="1" t="s">
        <v>3740</v>
      </c>
      <c r="L440" s="1" t="s">
        <v>3741</v>
      </c>
      <c r="M440" s="1" t="s">
        <v>3742</v>
      </c>
      <c r="N440" s="1"/>
      <c r="O440" s="1" t="s">
        <v>9</v>
      </c>
      <c r="P440" s="1" t="s">
        <v>4004</v>
      </c>
      <c r="Q440" s="1"/>
      <c r="R440" s="1"/>
      <c r="S440" s="1"/>
      <c r="T440" s="1">
        <v>1</v>
      </c>
      <c r="U440" s="1"/>
      <c r="V440" s="1"/>
      <c r="W440" s="1"/>
      <c r="Y440" t="s">
        <v>9</v>
      </c>
      <c r="Z440" t="s">
        <v>4316</v>
      </c>
      <c r="AA440" t="s">
        <v>4317</v>
      </c>
      <c r="AB440" t="s">
        <v>4973</v>
      </c>
      <c r="AD440" s="18">
        <v>46112</v>
      </c>
    </row>
    <row r="441" spans="1:30" ht="409.5" hidden="1">
      <c r="A441" s="1" t="s">
        <v>965</v>
      </c>
      <c r="B441" s="1">
        <v>1440</v>
      </c>
      <c r="C441" s="1">
        <v>8</v>
      </c>
      <c r="D441" s="1">
        <v>32</v>
      </c>
      <c r="E441" s="1" t="s">
        <v>4297</v>
      </c>
      <c r="F441" s="1" t="s">
        <v>4298</v>
      </c>
      <c r="G441" s="1" t="s">
        <v>20</v>
      </c>
      <c r="H441" s="1" t="s">
        <v>2139</v>
      </c>
      <c r="I441" s="1" t="s">
        <v>3743</v>
      </c>
      <c r="J441" s="1" t="s">
        <v>3744</v>
      </c>
      <c r="K441" s="1" t="s">
        <v>3745</v>
      </c>
      <c r="L441" s="1" t="s">
        <v>3746</v>
      </c>
      <c r="M441" s="1" t="s">
        <v>3747</v>
      </c>
      <c r="N441" s="1"/>
      <c r="O441" s="1" t="s">
        <v>7</v>
      </c>
      <c r="P441" s="1" t="s">
        <v>4005</v>
      </c>
      <c r="Q441" s="1"/>
      <c r="R441" s="1"/>
      <c r="S441" s="1"/>
      <c r="T441" s="1">
        <v>1</v>
      </c>
      <c r="U441" s="1"/>
      <c r="V441" s="1"/>
      <c r="W441" s="1"/>
      <c r="Y441" t="s">
        <v>7</v>
      </c>
      <c r="Z441" t="s">
        <v>4316</v>
      </c>
      <c r="AA441" t="s">
        <v>4317</v>
      </c>
      <c r="AB441" t="s">
        <v>4974</v>
      </c>
      <c r="AC441" t="s">
        <v>4911</v>
      </c>
      <c r="AD441" s="18">
        <v>46112</v>
      </c>
    </row>
    <row r="442" spans="1:30" ht="270" hidden="1">
      <c r="A442" s="1" t="s">
        <v>965</v>
      </c>
      <c r="B442" s="1">
        <v>1441</v>
      </c>
      <c r="C442" s="1">
        <v>8</v>
      </c>
      <c r="D442" s="1">
        <v>33</v>
      </c>
      <c r="E442" s="1" t="s">
        <v>4290</v>
      </c>
      <c r="F442" s="1" t="s">
        <v>4291</v>
      </c>
      <c r="G442" s="1" t="s">
        <v>4294</v>
      </c>
      <c r="H442" s="1" t="s">
        <v>2140</v>
      </c>
      <c r="I442" s="1" t="s">
        <v>3751</v>
      </c>
      <c r="J442" s="1" t="s">
        <v>3320</v>
      </c>
      <c r="K442" s="1" t="s">
        <v>3748</v>
      </c>
      <c r="L442" s="1" t="s">
        <v>3749</v>
      </c>
      <c r="M442" s="1" t="s">
        <v>92</v>
      </c>
      <c r="N442" s="1"/>
      <c r="O442" s="1" t="s">
        <v>9</v>
      </c>
      <c r="P442" s="1" t="s">
        <v>4006</v>
      </c>
      <c r="Q442" s="1"/>
      <c r="R442" s="1"/>
      <c r="S442" s="1"/>
      <c r="T442" s="1"/>
      <c r="U442" s="1"/>
      <c r="V442" s="1"/>
      <c r="W442" s="1"/>
      <c r="Y442" t="s">
        <v>9</v>
      </c>
      <c r="Z442" t="s">
        <v>4316</v>
      </c>
      <c r="AA442" t="s">
        <v>4317</v>
      </c>
      <c r="AB442" t="s">
        <v>4975</v>
      </c>
      <c r="AD442" s="18">
        <v>46112</v>
      </c>
    </row>
    <row r="443" spans="1:30" ht="315" hidden="1">
      <c r="A443" s="1" t="s">
        <v>965</v>
      </c>
      <c r="B443" s="1">
        <v>1442</v>
      </c>
      <c r="C443" s="1">
        <v>8</v>
      </c>
      <c r="D443" s="1">
        <v>34</v>
      </c>
      <c r="E443" s="1" t="s">
        <v>4297</v>
      </c>
      <c r="F443" s="1" t="s">
        <v>4300</v>
      </c>
      <c r="G443" s="1" t="s">
        <v>20</v>
      </c>
      <c r="H443" s="1" t="s">
        <v>2141</v>
      </c>
      <c r="I443" s="1" t="s">
        <v>114</v>
      </c>
      <c r="J443" s="1" t="s">
        <v>112</v>
      </c>
      <c r="K443" s="1" t="s">
        <v>110</v>
      </c>
      <c r="L443" s="1" t="s">
        <v>2142</v>
      </c>
      <c r="M443" s="1" t="s">
        <v>111</v>
      </c>
      <c r="N443" s="1"/>
      <c r="O443" s="1" t="s">
        <v>10</v>
      </c>
      <c r="P443" s="1" t="s">
        <v>5493</v>
      </c>
      <c r="Q443" s="1"/>
      <c r="R443" s="1"/>
      <c r="S443" s="1"/>
      <c r="T443" s="1"/>
      <c r="U443" s="1"/>
      <c r="V443" s="1"/>
      <c r="W443" s="1"/>
      <c r="Y443" t="s">
        <v>10</v>
      </c>
      <c r="Z443" t="s">
        <v>4316</v>
      </c>
      <c r="AA443" t="s">
        <v>4317</v>
      </c>
      <c r="AB443" t="s">
        <v>4976</v>
      </c>
      <c r="AC443" t="s">
        <v>4344</v>
      </c>
      <c r="AD443" s="18">
        <v>46112</v>
      </c>
    </row>
    <row r="444" spans="1:30" ht="300" hidden="1">
      <c r="A444" s="1" t="s">
        <v>965</v>
      </c>
      <c r="B444" s="1">
        <v>1443</v>
      </c>
      <c r="C444" s="1">
        <v>8</v>
      </c>
      <c r="D444" s="1">
        <v>35</v>
      </c>
      <c r="E444" s="1" t="s">
        <v>4297</v>
      </c>
      <c r="F444" s="1" t="s">
        <v>4298</v>
      </c>
      <c r="G444" s="1" t="s">
        <v>20</v>
      </c>
      <c r="H444" s="1" t="s">
        <v>2143</v>
      </c>
      <c r="I444" s="1" t="s">
        <v>2144</v>
      </c>
      <c r="J444" s="1" t="s">
        <v>2145</v>
      </c>
      <c r="K444" s="1" t="s">
        <v>2146</v>
      </c>
      <c r="L444" s="1" t="s">
        <v>2147</v>
      </c>
      <c r="M444" s="1" t="s">
        <v>1710</v>
      </c>
      <c r="N444" s="1"/>
      <c r="O444" s="1" t="s">
        <v>11</v>
      </c>
      <c r="P444" s="1" t="s">
        <v>4007</v>
      </c>
      <c r="Q444" s="1"/>
      <c r="R444" s="1"/>
      <c r="S444" s="1"/>
      <c r="T444" s="1">
        <v>1</v>
      </c>
      <c r="U444" s="1"/>
      <c r="V444" s="1"/>
      <c r="W444" s="1"/>
      <c r="Y444" t="s">
        <v>11</v>
      </c>
      <c r="Z444" t="s">
        <v>4316</v>
      </c>
      <c r="AA444" t="s">
        <v>4317</v>
      </c>
      <c r="AB444" t="s">
        <v>4977</v>
      </c>
      <c r="AC444" t="s">
        <v>4473</v>
      </c>
      <c r="AD444" s="18">
        <v>46112</v>
      </c>
    </row>
    <row r="445" spans="1:30" ht="345" hidden="1">
      <c r="A445" s="1" t="s">
        <v>965</v>
      </c>
      <c r="B445" s="1">
        <v>1444</v>
      </c>
      <c r="C445" s="1">
        <v>8</v>
      </c>
      <c r="D445" s="1">
        <v>36</v>
      </c>
      <c r="E445" s="1" t="s">
        <v>4297</v>
      </c>
      <c r="F445" s="1" t="s">
        <v>4301</v>
      </c>
      <c r="G445" s="1" t="s">
        <v>4294</v>
      </c>
      <c r="H445" s="1" t="s">
        <v>2148</v>
      </c>
      <c r="I445" s="1" t="s">
        <v>2149</v>
      </c>
      <c r="J445" s="1" t="s">
        <v>2150</v>
      </c>
      <c r="K445" s="1" t="s">
        <v>2151</v>
      </c>
      <c r="L445" s="1" t="s">
        <v>2152</v>
      </c>
      <c r="M445" s="1" t="s">
        <v>2153</v>
      </c>
      <c r="N445" s="1"/>
      <c r="O445" s="1" t="s">
        <v>9</v>
      </c>
      <c r="P445" s="1" t="s">
        <v>4008</v>
      </c>
      <c r="Q445" s="1"/>
      <c r="R445" s="1"/>
      <c r="S445" s="1"/>
      <c r="T445" s="1">
        <v>1</v>
      </c>
      <c r="U445" s="1">
        <v>1</v>
      </c>
      <c r="V445" s="1"/>
      <c r="W445" s="1"/>
      <c r="Y445" t="s">
        <v>9</v>
      </c>
      <c r="Z445" t="s">
        <v>4316</v>
      </c>
      <c r="AA445" t="s">
        <v>4317</v>
      </c>
      <c r="AB445" t="s">
        <v>4978</v>
      </c>
      <c r="AC445" t="s">
        <v>4979</v>
      </c>
      <c r="AD445" s="18">
        <v>46112</v>
      </c>
    </row>
    <row r="446" spans="1:30" ht="345" hidden="1">
      <c r="A446" s="1" t="s">
        <v>965</v>
      </c>
      <c r="B446" s="1">
        <v>1445</v>
      </c>
      <c r="C446" s="1">
        <v>8</v>
      </c>
      <c r="D446" s="1">
        <v>37</v>
      </c>
      <c r="E446" s="1" t="s">
        <v>4290</v>
      </c>
      <c r="F446" s="1" t="s">
        <v>4291</v>
      </c>
      <c r="G446" s="1" t="s">
        <v>20</v>
      </c>
      <c r="H446" s="1" t="s">
        <v>2154</v>
      </c>
      <c r="I446" s="1" t="s">
        <v>1477</v>
      </c>
      <c r="J446" s="1" t="s">
        <v>364</v>
      </c>
      <c r="K446" s="1" t="s">
        <v>3750</v>
      </c>
      <c r="L446" s="1" t="s">
        <v>92</v>
      </c>
      <c r="M446" s="1" t="s">
        <v>1476</v>
      </c>
      <c r="N446" s="1"/>
      <c r="O446" s="1" t="s">
        <v>11</v>
      </c>
      <c r="P446" s="1" t="s">
        <v>5494</v>
      </c>
      <c r="Q446" s="1"/>
      <c r="R446" s="1"/>
      <c r="S446" s="1"/>
      <c r="T446" s="1"/>
      <c r="U446" s="1"/>
      <c r="V446" s="1"/>
      <c r="W446" s="1"/>
      <c r="Y446" t="s">
        <v>11</v>
      </c>
      <c r="Z446" t="s">
        <v>4316</v>
      </c>
      <c r="AA446" t="s">
        <v>4317</v>
      </c>
      <c r="AB446" t="s">
        <v>4980</v>
      </c>
      <c r="AC446" t="s">
        <v>4481</v>
      </c>
      <c r="AD446" s="18">
        <v>46112</v>
      </c>
    </row>
    <row r="447" spans="1:30" ht="195" hidden="1">
      <c r="A447" s="1" t="s">
        <v>965</v>
      </c>
      <c r="B447" s="1">
        <v>1446</v>
      </c>
      <c r="C447" s="1">
        <v>8</v>
      </c>
      <c r="D447" s="1">
        <v>38</v>
      </c>
      <c r="E447" s="1" t="s">
        <v>4290</v>
      </c>
      <c r="F447" s="1" t="s">
        <v>4291</v>
      </c>
      <c r="G447" s="1" t="s">
        <v>40</v>
      </c>
      <c r="H447" s="1" t="s">
        <v>2155</v>
      </c>
      <c r="I447" s="1" t="s">
        <v>2156</v>
      </c>
      <c r="J447" s="1" t="s">
        <v>2157</v>
      </c>
      <c r="K447" s="1" t="s">
        <v>2158</v>
      </c>
      <c r="L447" s="1" t="s">
        <v>2159</v>
      </c>
      <c r="M447" s="1" t="s">
        <v>2160</v>
      </c>
      <c r="N447" s="1"/>
      <c r="O447" s="1" t="s">
        <v>9</v>
      </c>
      <c r="P447" s="1" t="s">
        <v>5495</v>
      </c>
      <c r="Q447" s="1"/>
      <c r="R447" s="1"/>
      <c r="S447" s="1"/>
      <c r="T447" s="1">
        <v>1</v>
      </c>
      <c r="U447" s="1">
        <v>1</v>
      </c>
      <c r="V447" s="1"/>
      <c r="W447" s="1"/>
      <c r="Y447" t="s">
        <v>9</v>
      </c>
      <c r="Z447" t="s">
        <v>4316</v>
      </c>
      <c r="AA447" t="s">
        <v>4317</v>
      </c>
      <c r="AB447" t="s">
        <v>4981</v>
      </c>
      <c r="AC447" t="s">
        <v>4982</v>
      </c>
      <c r="AD447" s="18">
        <v>46112</v>
      </c>
    </row>
    <row r="448" spans="1:30" ht="135" hidden="1">
      <c r="A448" s="1" t="s">
        <v>965</v>
      </c>
      <c r="B448" s="1">
        <v>1447</v>
      </c>
      <c r="C448" s="1">
        <v>8</v>
      </c>
      <c r="D448" s="1">
        <v>39</v>
      </c>
      <c r="E448" s="1" t="s">
        <v>4290</v>
      </c>
      <c r="F448" s="1" t="s">
        <v>4302</v>
      </c>
      <c r="G448" s="1" t="s">
        <v>4294</v>
      </c>
      <c r="H448" s="1" t="s">
        <v>2161</v>
      </c>
      <c r="I448" s="1" t="s">
        <v>2162</v>
      </c>
      <c r="J448" s="1" t="s">
        <v>2163</v>
      </c>
      <c r="K448" s="1" t="s">
        <v>138</v>
      </c>
      <c r="L448" s="1" t="s">
        <v>5478</v>
      </c>
      <c r="M448" s="1" t="s">
        <v>2164</v>
      </c>
      <c r="N448" s="1"/>
      <c r="O448" s="1" t="s">
        <v>11</v>
      </c>
      <c r="P448" s="1" t="s">
        <v>4009</v>
      </c>
      <c r="Q448" s="1"/>
      <c r="R448" s="1"/>
      <c r="S448" s="1"/>
      <c r="T448" s="1"/>
      <c r="U448" s="1"/>
      <c r="V448" s="1"/>
      <c r="W448" s="1"/>
      <c r="Y448" t="s">
        <v>11</v>
      </c>
      <c r="Z448" t="s">
        <v>4316</v>
      </c>
      <c r="AA448" t="s">
        <v>4317</v>
      </c>
      <c r="AB448" t="s">
        <v>4983</v>
      </c>
      <c r="AC448" t="s">
        <v>4817</v>
      </c>
      <c r="AD448" s="18">
        <v>46112</v>
      </c>
    </row>
    <row r="449" spans="1:30" ht="150" hidden="1">
      <c r="A449" s="1" t="s">
        <v>965</v>
      </c>
      <c r="B449" s="1">
        <v>1448</v>
      </c>
      <c r="C449" s="1">
        <v>8</v>
      </c>
      <c r="D449" s="1">
        <v>40</v>
      </c>
      <c r="E449" s="1" t="s">
        <v>4292</v>
      </c>
      <c r="F449" s="1" t="s">
        <v>4303</v>
      </c>
      <c r="G449" s="1" t="s">
        <v>20</v>
      </c>
      <c r="H449" s="1" t="s">
        <v>2165</v>
      </c>
      <c r="I449" s="1" t="s">
        <v>2166</v>
      </c>
      <c r="J449" s="1" t="s">
        <v>2167</v>
      </c>
      <c r="K449" s="1" t="s">
        <v>2168</v>
      </c>
      <c r="L449" s="1" t="s">
        <v>2169</v>
      </c>
      <c r="M449" s="1" t="s">
        <v>2170</v>
      </c>
      <c r="N449" s="1"/>
      <c r="O449" s="1" t="s">
        <v>9</v>
      </c>
      <c r="P449" s="1" t="s">
        <v>4010</v>
      </c>
      <c r="Q449" s="1"/>
      <c r="R449" s="1"/>
      <c r="S449" s="1"/>
      <c r="T449" s="1"/>
      <c r="U449" s="1">
        <v>1</v>
      </c>
      <c r="V449" s="1"/>
      <c r="W449" s="1"/>
      <c r="X449" t="s">
        <v>4011</v>
      </c>
      <c r="Y449" t="s">
        <v>9</v>
      </c>
      <c r="Z449" t="s">
        <v>4316</v>
      </c>
      <c r="AA449" t="s">
        <v>4317</v>
      </c>
      <c r="AB449" t="s">
        <v>4984</v>
      </c>
      <c r="AD449" s="18">
        <v>46112</v>
      </c>
    </row>
    <row r="450" spans="1:30" ht="405" hidden="1">
      <c r="A450" s="1" t="s">
        <v>965</v>
      </c>
      <c r="B450" s="1">
        <v>1449</v>
      </c>
      <c r="C450" s="1">
        <v>8</v>
      </c>
      <c r="D450" s="1">
        <v>41</v>
      </c>
      <c r="E450" s="1" t="s">
        <v>4305</v>
      </c>
      <c r="F450" s="1" t="s">
        <v>4307</v>
      </c>
      <c r="G450" s="1" t="s">
        <v>40</v>
      </c>
      <c r="H450" s="1" t="s">
        <v>2171</v>
      </c>
      <c r="I450" s="1" t="s">
        <v>2172</v>
      </c>
      <c r="J450" s="1" t="s">
        <v>2173</v>
      </c>
      <c r="K450" s="1" t="s">
        <v>2174</v>
      </c>
      <c r="L450" s="1" t="s">
        <v>2175</v>
      </c>
      <c r="M450" s="1" t="s">
        <v>2176</v>
      </c>
      <c r="N450" s="1"/>
      <c r="O450" s="1" t="s">
        <v>9</v>
      </c>
      <c r="P450" s="1" t="s">
        <v>4012</v>
      </c>
      <c r="Q450" s="1"/>
      <c r="R450" s="1"/>
      <c r="S450" s="1"/>
      <c r="T450" s="1"/>
      <c r="U450" s="1"/>
      <c r="V450" s="1"/>
      <c r="W450" s="1"/>
      <c r="Y450" t="s">
        <v>9</v>
      </c>
      <c r="Z450" t="s">
        <v>4316</v>
      </c>
      <c r="AA450" t="s">
        <v>4317</v>
      </c>
      <c r="AB450" t="s">
        <v>4985</v>
      </c>
      <c r="AC450" t="s">
        <v>4986</v>
      </c>
      <c r="AD450" s="18">
        <v>46112</v>
      </c>
    </row>
    <row r="451" spans="1:30" ht="409.5" hidden="1">
      <c r="A451" s="1" t="s">
        <v>965</v>
      </c>
      <c r="B451" s="1">
        <v>1450</v>
      </c>
      <c r="C451" s="1">
        <v>8</v>
      </c>
      <c r="D451" s="1">
        <v>42</v>
      </c>
      <c r="E451" s="1" t="s">
        <v>4297</v>
      </c>
      <c r="F451" s="1" t="s">
        <v>4298</v>
      </c>
      <c r="G451" s="1" t="s">
        <v>40</v>
      </c>
      <c r="H451" s="1" t="s">
        <v>3640</v>
      </c>
      <c r="I451" s="1" t="s">
        <v>3635</v>
      </c>
      <c r="J451" s="1" t="s">
        <v>3636</v>
      </c>
      <c r="K451" s="1" t="s">
        <v>3637</v>
      </c>
      <c r="L451" s="1" t="s">
        <v>3638</v>
      </c>
      <c r="M451" s="1" t="s">
        <v>3639</v>
      </c>
      <c r="N451" s="1"/>
      <c r="O451" s="1" t="s">
        <v>8</v>
      </c>
      <c r="P451" s="1" t="s">
        <v>4013</v>
      </c>
      <c r="Q451" s="1"/>
      <c r="R451" s="1"/>
      <c r="S451" s="1"/>
      <c r="T451" s="1"/>
      <c r="U451" s="1"/>
      <c r="V451" s="1"/>
      <c r="W451" s="1"/>
      <c r="Y451" t="s">
        <v>8</v>
      </c>
      <c r="Z451" t="s">
        <v>4316</v>
      </c>
      <c r="AA451" t="s">
        <v>4317</v>
      </c>
      <c r="AB451" t="s">
        <v>4987</v>
      </c>
      <c r="AC451" t="s">
        <v>4330</v>
      </c>
      <c r="AD451" s="18">
        <v>46112</v>
      </c>
    </row>
    <row r="452" spans="1:30" ht="409.5">
      <c r="A452" s="1" t="s">
        <v>965</v>
      </c>
      <c r="B452" s="1">
        <v>1451</v>
      </c>
      <c r="C452" s="1">
        <v>8</v>
      </c>
      <c r="D452" s="1">
        <v>43</v>
      </c>
      <c r="E452" s="1" t="s">
        <v>4292</v>
      </c>
      <c r="F452" s="1" t="s">
        <v>4293</v>
      </c>
      <c r="G452" s="1" t="s">
        <v>20</v>
      </c>
      <c r="H452" s="1" t="s">
        <v>2211</v>
      </c>
      <c r="I452" s="1" t="s">
        <v>1314</v>
      </c>
      <c r="J452" s="1" t="s">
        <v>2212</v>
      </c>
      <c r="K452" s="1" t="s">
        <v>2213</v>
      </c>
      <c r="L452" s="1" t="s">
        <v>2214</v>
      </c>
      <c r="M452" s="1" t="s">
        <v>147</v>
      </c>
      <c r="N452" s="1"/>
      <c r="O452" s="1" t="s">
        <v>8</v>
      </c>
      <c r="P452" s="1" t="s">
        <v>4017</v>
      </c>
      <c r="Q452" s="1"/>
      <c r="R452" s="1"/>
      <c r="S452" s="1"/>
      <c r="T452" s="1">
        <v>1</v>
      </c>
      <c r="U452" s="1">
        <v>1</v>
      </c>
      <c r="V452" s="1"/>
      <c r="W452" s="1">
        <v>1</v>
      </c>
      <c r="Y452" t="s">
        <v>7</v>
      </c>
      <c r="Z452" t="s">
        <v>4331</v>
      </c>
      <c r="AA452" t="s">
        <v>4332</v>
      </c>
      <c r="AB452" t="s">
        <v>4998</v>
      </c>
      <c r="AC452" t="s">
        <v>4999</v>
      </c>
      <c r="AD452" s="18">
        <v>46112</v>
      </c>
    </row>
    <row r="453" spans="1:30" ht="240" hidden="1">
      <c r="A453" s="1" t="s">
        <v>965</v>
      </c>
      <c r="B453" s="1">
        <v>1452</v>
      </c>
      <c r="C453" s="1">
        <v>8</v>
      </c>
      <c r="D453" s="1">
        <v>44</v>
      </c>
      <c r="E453" s="1" t="s">
        <v>4292</v>
      </c>
      <c r="F453" s="1" t="s">
        <v>4303</v>
      </c>
      <c r="G453" s="1" t="s">
        <v>20</v>
      </c>
      <c r="H453" s="1" t="s">
        <v>2177</v>
      </c>
      <c r="I453" s="1" t="s">
        <v>1314</v>
      </c>
      <c r="J453" s="1" t="s">
        <v>1879</v>
      </c>
      <c r="K453" s="1" t="s">
        <v>1878</v>
      </c>
      <c r="L453" s="1" t="s">
        <v>2178</v>
      </c>
      <c r="M453" s="1" t="s">
        <v>2179</v>
      </c>
      <c r="N453" s="1"/>
      <c r="O453" s="1" t="s">
        <v>11</v>
      </c>
      <c r="P453" s="1" t="s">
        <v>4014</v>
      </c>
      <c r="Q453" s="1"/>
      <c r="R453" s="1"/>
      <c r="S453" s="1"/>
      <c r="T453" s="1">
        <v>1</v>
      </c>
      <c r="U453" s="1">
        <v>1</v>
      </c>
      <c r="V453" s="1"/>
      <c r="W453" s="1"/>
      <c r="Y453" t="s">
        <v>11</v>
      </c>
      <c r="Z453" t="s">
        <v>4316</v>
      </c>
      <c r="AA453" t="s">
        <v>4317</v>
      </c>
      <c r="AB453" t="s">
        <v>5000</v>
      </c>
      <c r="AC453" t="s">
        <v>5001</v>
      </c>
      <c r="AD453" s="18">
        <v>46112</v>
      </c>
    </row>
    <row r="454" spans="1:30" ht="409.5" hidden="1">
      <c r="A454" s="1" t="s">
        <v>965</v>
      </c>
      <c r="B454" s="1">
        <v>1453</v>
      </c>
      <c r="C454" s="1">
        <v>8</v>
      </c>
      <c r="D454" s="1">
        <v>45</v>
      </c>
      <c r="E454" s="1" t="s">
        <v>4292</v>
      </c>
      <c r="F454" s="1" t="s">
        <v>4293</v>
      </c>
      <c r="G454" s="1" t="s">
        <v>4294</v>
      </c>
      <c r="H454" s="1" t="s">
        <v>2180</v>
      </c>
      <c r="I454" s="1" t="s">
        <v>2181</v>
      </c>
      <c r="J454" s="1" t="s">
        <v>2182</v>
      </c>
      <c r="K454" s="1" t="s">
        <v>2183</v>
      </c>
      <c r="L454" s="1" t="s">
        <v>2184</v>
      </c>
      <c r="M454" s="1" t="s">
        <v>2185</v>
      </c>
      <c r="N454" s="1"/>
      <c r="O454" s="1" t="s">
        <v>11</v>
      </c>
      <c r="P454" s="1" t="s">
        <v>4016</v>
      </c>
      <c r="Q454" s="1"/>
      <c r="R454" s="1"/>
      <c r="S454" s="1"/>
      <c r="T454" s="1"/>
      <c r="U454" s="1">
        <v>1</v>
      </c>
      <c r="V454" s="1"/>
      <c r="W454" s="1">
        <v>1</v>
      </c>
      <c r="Y454" t="s">
        <v>11</v>
      </c>
      <c r="Z454" t="s">
        <v>4316</v>
      </c>
      <c r="AA454" t="s">
        <v>4317</v>
      </c>
      <c r="AB454" t="s">
        <v>5002</v>
      </c>
      <c r="AC454" t="s">
        <v>4344</v>
      </c>
      <c r="AD454" s="18">
        <v>46112</v>
      </c>
    </row>
    <row r="455" spans="1:30" ht="409.5" hidden="1">
      <c r="A455" s="1" t="s">
        <v>965</v>
      </c>
      <c r="B455" s="1">
        <v>1454</v>
      </c>
      <c r="C455" s="1">
        <v>8</v>
      </c>
      <c r="D455" s="1">
        <v>46</v>
      </c>
      <c r="E455" s="1" t="s">
        <v>4297</v>
      </c>
      <c r="F455" s="1" t="s">
        <v>4301</v>
      </c>
      <c r="G455" s="1" t="s">
        <v>20</v>
      </c>
      <c r="H455" s="1" t="s">
        <v>2186</v>
      </c>
      <c r="I455" s="1" t="s">
        <v>2187</v>
      </c>
      <c r="J455" s="1" t="s">
        <v>2188</v>
      </c>
      <c r="K455" s="1" t="s">
        <v>2189</v>
      </c>
      <c r="L455" s="1" t="s">
        <v>2190</v>
      </c>
      <c r="M455" s="1" t="s">
        <v>2191</v>
      </c>
      <c r="N455" s="1"/>
      <c r="O455" s="1" t="s">
        <v>7</v>
      </c>
      <c r="P455" s="1" t="s">
        <v>4015</v>
      </c>
      <c r="Q455" s="1"/>
      <c r="R455" s="1"/>
      <c r="S455" s="1"/>
      <c r="T455" s="1">
        <v>1</v>
      </c>
      <c r="U455" s="1">
        <v>1</v>
      </c>
      <c r="V455" s="1"/>
      <c r="W455" s="1"/>
      <c r="Y455" t="s">
        <v>7</v>
      </c>
      <c r="Z455" t="s">
        <v>4316</v>
      </c>
      <c r="AA455" t="s">
        <v>4317</v>
      </c>
      <c r="AB455" t="s">
        <v>5003</v>
      </c>
      <c r="AC455" t="s">
        <v>5004</v>
      </c>
      <c r="AD455" s="18">
        <v>46112</v>
      </c>
    </row>
    <row r="456" spans="1:30" ht="409.5" hidden="1">
      <c r="A456" s="1" t="s">
        <v>965</v>
      </c>
      <c r="B456" s="1">
        <v>1455</v>
      </c>
      <c r="C456" s="1">
        <v>8</v>
      </c>
      <c r="D456" s="1">
        <v>47</v>
      </c>
      <c r="E456" s="1" t="s">
        <v>4292</v>
      </c>
      <c r="F456" s="1" t="s">
        <v>4293</v>
      </c>
      <c r="G456" s="1" t="s">
        <v>4294</v>
      </c>
      <c r="H456" s="1" t="s">
        <v>2192</v>
      </c>
      <c r="I456" s="1" t="s">
        <v>2193</v>
      </c>
      <c r="J456" s="1" t="s">
        <v>2194</v>
      </c>
      <c r="K456" s="1" t="s">
        <v>2195</v>
      </c>
      <c r="L456" s="1" t="s">
        <v>2196</v>
      </c>
      <c r="M456" s="1" t="s">
        <v>2197</v>
      </c>
      <c r="N456" s="1"/>
      <c r="O456" s="1" t="s">
        <v>10</v>
      </c>
      <c r="P456" s="1" t="s">
        <v>4018</v>
      </c>
      <c r="Q456" s="1"/>
      <c r="R456" s="1"/>
      <c r="S456" s="1"/>
      <c r="T456" s="1"/>
      <c r="U456" s="1">
        <v>1</v>
      </c>
      <c r="V456" s="1"/>
      <c r="W456" s="1">
        <v>1</v>
      </c>
      <c r="Y456" t="s">
        <v>10</v>
      </c>
      <c r="Z456" t="s">
        <v>4316</v>
      </c>
      <c r="AA456" t="s">
        <v>4317</v>
      </c>
      <c r="AB456" t="s">
        <v>5005</v>
      </c>
      <c r="AC456" t="s">
        <v>5006</v>
      </c>
      <c r="AD456" s="18">
        <v>46112</v>
      </c>
    </row>
    <row r="457" spans="1:30" ht="60" hidden="1">
      <c r="A457" s="1" t="s">
        <v>965</v>
      </c>
      <c r="B457" s="1">
        <v>1456</v>
      </c>
      <c r="C457" s="1">
        <v>8</v>
      </c>
      <c r="D457" s="1">
        <v>48</v>
      </c>
      <c r="E457" s="1" t="s">
        <v>4295</v>
      </c>
      <c r="F457" s="1" t="s">
        <v>4296</v>
      </c>
      <c r="G457" s="1" t="s">
        <v>4294</v>
      </c>
      <c r="H457" s="1" t="s">
        <v>2198</v>
      </c>
      <c r="I457" s="1" t="s">
        <v>5496</v>
      </c>
      <c r="J457" s="1" t="s">
        <v>3752</v>
      </c>
      <c r="K457" s="1" t="s">
        <v>3753</v>
      </c>
      <c r="L457" s="1" t="s">
        <v>5497</v>
      </c>
      <c r="M457" s="1" t="s">
        <v>3754</v>
      </c>
      <c r="N457" s="1"/>
      <c r="O457" s="1" t="s">
        <v>10</v>
      </c>
      <c r="P457" s="1" t="s">
        <v>4019</v>
      </c>
      <c r="Q457" s="1"/>
      <c r="R457" s="1"/>
      <c r="S457" s="1"/>
      <c r="T457" s="1">
        <v>1</v>
      </c>
      <c r="U457" s="1">
        <v>1</v>
      </c>
      <c r="V457" s="1"/>
      <c r="W457" s="1">
        <v>1</v>
      </c>
      <c r="Y457" t="s">
        <v>10</v>
      </c>
      <c r="Z457" t="s">
        <v>4316</v>
      </c>
      <c r="AA457" t="s">
        <v>4317</v>
      </c>
      <c r="AB457" t="s">
        <v>5007</v>
      </c>
      <c r="AC457" t="s">
        <v>5008</v>
      </c>
      <c r="AD457" s="18">
        <v>46112</v>
      </c>
    </row>
    <row r="458" spans="1:30" ht="409.5" hidden="1">
      <c r="A458" s="1" t="s">
        <v>965</v>
      </c>
      <c r="B458" s="1">
        <v>1457</v>
      </c>
      <c r="C458" s="1">
        <v>8</v>
      </c>
      <c r="D458" s="1">
        <v>49</v>
      </c>
      <c r="E458" s="1" t="s">
        <v>4290</v>
      </c>
      <c r="F458" s="1" t="s">
        <v>4291</v>
      </c>
      <c r="G458" s="1" t="s">
        <v>40</v>
      </c>
      <c r="H458" s="1" t="s">
        <v>2199</v>
      </c>
      <c r="I458" s="1" t="s">
        <v>2200</v>
      </c>
      <c r="J458" s="1" t="s">
        <v>2201</v>
      </c>
      <c r="K458" s="1" t="s">
        <v>2202</v>
      </c>
      <c r="L458" s="1" t="s">
        <v>2203</v>
      </c>
      <c r="M458" s="1" t="s">
        <v>2204</v>
      </c>
      <c r="N458" s="1"/>
      <c r="O458" s="1" t="s">
        <v>9</v>
      </c>
      <c r="P458" s="1" t="s">
        <v>4020</v>
      </c>
      <c r="Q458" s="1"/>
      <c r="R458" s="1"/>
      <c r="S458" s="1"/>
      <c r="T458" s="1">
        <v>1</v>
      </c>
      <c r="U458" s="1">
        <v>1</v>
      </c>
      <c r="W458" s="1">
        <v>1</v>
      </c>
      <c r="Y458" t="s">
        <v>9</v>
      </c>
      <c r="Z458" t="s">
        <v>4316</v>
      </c>
      <c r="AA458" t="s">
        <v>4317</v>
      </c>
      <c r="AB458" t="s">
        <v>5009</v>
      </c>
      <c r="AC458" t="s">
        <v>4407</v>
      </c>
      <c r="AD458" s="18">
        <v>46112</v>
      </c>
    </row>
    <row r="459" spans="1:30" ht="409.5" hidden="1">
      <c r="A459" s="1" t="s">
        <v>965</v>
      </c>
      <c r="B459" s="1">
        <v>1458</v>
      </c>
      <c r="C459" s="1">
        <v>8</v>
      </c>
      <c r="D459" s="1">
        <v>50</v>
      </c>
      <c r="E459" s="1" t="s">
        <v>4295</v>
      </c>
      <c r="F459" s="1" t="s">
        <v>4296</v>
      </c>
      <c r="G459" s="1" t="s">
        <v>40</v>
      </c>
      <c r="H459" s="1" t="s">
        <v>2205</v>
      </c>
      <c r="I459" s="1" t="s">
        <v>2206</v>
      </c>
      <c r="J459" s="1" t="s">
        <v>2207</v>
      </c>
      <c r="K459" s="1" t="s">
        <v>2208</v>
      </c>
      <c r="L459" s="1" t="s">
        <v>2209</v>
      </c>
      <c r="M459" s="1" t="s">
        <v>2210</v>
      </c>
      <c r="N459" s="1"/>
      <c r="O459" s="1" t="s">
        <v>9</v>
      </c>
      <c r="P459" s="1" t="s">
        <v>4021</v>
      </c>
      <c r="Q459" s="1"/>
      <c r="R459" s="1"/>
      <c r="S459" s="1"/>
      <c r="T459" s="1">
        <v>1</v>
      </c>
      <c r="U459" s="1"/>
      <c r="V459" s="1"/>
      <c r="W459" s="1">
        <v>1</v>
      </c>
      <c r="Y459" t="s">
        <v>9</v>
      </c>
      <c r="Z459" t="s">
        <v>4316</v>
      </c>
      <c r="AA459" t="s">
        <v>4317</v>
      </c>
      <c r="AB459" t="s">
        <v>5010</v>
      </c>
      <c r="AC459" t="s">
        <v>4402</v>
      </c>
      <c r="AD459" s="18">
        <v>46112</v>
      </c>
    </row>
    <row r="460" spans="1:30" ht="255">
      <c r="A460" s="1" t="s">
        <v>965</v>
      </c>
      <c r="B460" s="1">
        <v>1459</v>
      </c>
      <c r="C460" s="1">
        <v>8</v>
      </c>
      <c r="D460" s="1">
        <v>51</v>
      </c>
      <c r="E460" s="1" t="s">
        <v>4292</v>
      </c>
      <c r="F460" s="1" t="s">
        <v>4293</v>
      </c>
      <c r="G460" s="1" t="s">
        <v>20</v>
      </c>
      <c r="H460" s="1" t="s">
        <v>2211</v>
      </c>
      <c r="I460" s="1" t="s">
        <v>1314</v>
      </c>
      <c r="J460" s="1" t="s">
        <v>2212</v>
      </c>
      <c r="K460" s="1" t="s">
        <v>2213</v>
      </c>
      <c r="L460" s="1" t="s">
        <v>2214</v>
      </c>
      <c r="M460" s="1" t="s">
        <v>147</v>
      </c>
      <c r="N460" s="1"/>
      <c r="O460" s="1" t="s">
        <v>11</v>
      </c>
      <c r="P460" s="1" t="s">
        <v>4022</v>
      </c>
      <c r="Q460" s="1"/>
      <c r="R460" s="1"/>
      <c r="S460" s="1"/>
      <c r="T460" s="1">
        <v>1</v>
      </c>
      <c r="U460" s="1"/>
      <c r="V460" s="1"/>
      <c r="W460" s="1"/>
      <c r="Y460" t="s">
        <v>7</v>
      </c>
      <c r="Z460" t="s">
        <v>4331</v>
      </c>
      <c r="AA460" t="s">
        <v>4332</v>
      </c>
      <c r="AB460" t="s">
        <v>5011</v>
      </c>
      <c r="AC460" t="s">
        <v>4999</v>
      </c>
      <c r="AD460" s="18">
        <v>46112</v>
      </c>
    </row>
    <row r="461" spans="1:30" ht="409.5" hidden="1">
      <c r="A461" s="1" t="s">
        <v>965</v>
      </c>
      <c r="B461" s="1">
        <v>1460</v>
      </c>
      <c r="C461" s="1">
        <v>8</v>
      </c>
      <c r="D461" s="1">
        <v>52</v>
      </c>
      <c r="E461" s="1" t="s">
        <v>4305</v>
      </c>
      <c r="F461" s="1" t="s">
        <v>4307</v>
      </c>
      <c r="G461" s="1" t="s">
        <v>4294</v>
      </c>
      <c r="H461" s="1" t="s">
        <v>2215</v>
      </c>
      <c r="I461" s="1" t="s">
        <v>2216</v>
      </c>
      <c r="J461" s="1" t="s">
        <v>2217</v>
      </c>
      <c r="K461" s="1" t="s">
        <v>2218</v>
      </c>
      <c r="L461" s="1" t="s">
        <v>2219</v>
      </c>
      <c r="M461" s="1" t="s">
        <v>2220</v>
      </c>
      <c r="N461" s="1"/>
      <c r="O461" s="1" t="s">
        <v>7</v>
      </c>
      <c r="P461" s="1" t="s">
        <v>4023</v>
      </c>
      <c r="Q461" s="1"/>
      <c r="R461" s="1"/>
      <c r="S461" s="1"/>
      <c r="T461" s="1"/>
      <c r="U461" s="1">
        <v>1</v>
      </c>
      <c r="V461" s="1"/>
      <c r="W461" s="1"/>
      <c r="Y461" t="s">
        <v>7</v>
      </c>
      <c r="Z461" t="s">
        <v>4316</v>
      </c>
      <c r="AA461" t="s">
        <v>4317</v>
      </c>
      <c r="AB461" t="s">
        <v>5012</v>
      </c>
      <c r="AC461" t="s">
        <v>4865</v>
      </c>
      <c r="AD461" s="18">
        <v>46112</v>
      </c>
    </row>
    <row r="462" spans="1:30" ht="409.5" hidden="1">
      <c r="A462" s="1" t="s">
        <v>965</v>
      </c>
      <c r="B462" s="1">
        <v>1461</v>
      </c>
      <c r="C462" s="1">
        <v>8</v>
      </c>
      <c r="D462" s="1">
        <v>53</v>
      </c>
      <c r="E462" s="1" t="s">
        <v>4305</v>
      </c>
      <c r="F462" s="1" t="s">
        <v>4307</v>
      </c>
      <c r="G462" s="1" t="s">
        <v>4294</v>
      </c>
      <c r="H462" s="1" t="s">
        <v>2221</v>
      </c>
      <c r="I462" s="1" t="s">
        <v>1442</v>
      </c>
      <c r="J462" s="1" t="s">
        <v>573</v>
      </c>
      <c r="K462" s="1" t="s">
        <v>1901</v>
      </c>
      <c r="L462" s="1" t="s">
        <v>1478</v>
      </c>
      <c r="M462" s="1" t="s">
        <v>365</v>
      </c>
      <c r="N462" s="1"/>
      <c r="O462" s="1" t="s">
        <v>11</v>
      </c>
      <c r="P462" s="1" t="s">
        <v>4024</v>
      </c>
      <c r="Q462" s="1"/>
      <c r="R462" s="1"/>
      <c r="S462" s="1"/>
      <c r="T462" s="1"/>
      <c r="U462" s="1">
        <v>1</v>
      </c>
      <c r="V462" s="1"/>
      <c r="W462" s="1">
        <v>1</v>
      </c>
      <c r="Z462" t="s">
        <v>4386</v>
      </c>
      <c r="AB462" t="s">
        <v>5013</v>
      </c>
      <c r="AC462" t="s">
        <v>4871</v>
      </c>
      <c r="AD462" s="18">
        <v>46112</v>
      </c>
    </row>
    <row r="463" spans="1:30" ht="409.5" hidden="1">
      <c r="A463" s="1" t="s">
        <v>965</v>
      </c>
      <c r="B463" s="1">
        <v>1462</v>
      </c>
      <c r="C463" s="1">
        <v>8</v>
      </c>
      <c r="D463" s="1">
        <v>54</v>
      </c>
      <c r="E463" s="1" t="s">
        <v>4305</v>
      </c>
      <c r="F463" s="1" t="s">
        <v>4307</v>
      </c>
      <c r="G463" s="1" t="s">
        <v>20</v>
      </c>
      <c r="H463" s="1" t="s">
        <v>2222</v>
      </c>
      <c r="I463" s="1" t="s">
        <v>2068</v>
      </c>
      <c r="J463" s="1" t="s">
        <v>1441</v>
      </c>
      <c r="K463" s="1" t="s">
        <v>1440</v>
      </c>
      <c r="L463" s="1" t="s">
        <v>1443</v>
      </c>
      <c r="M463" s="1" t="s">
        <v>152</v>
      </c>
      <c r="N463" s="1"/>
      <c r="O463" s="1" t="s">
        <v>9</v>
      </c>
      <c r="P463" s="1" t="s">
        <v>4025</v>
      </c>
      <c r="Q463" s="1"/>
      <c r="R463" s="1"/>
      <c r="S463" s="1"/>
      <c r="T463" s="1"/>
      <c r="U463" s="1">
        <v>1</v>
      </c>
      <c r="V463" s="1"/>
      <c r="W463" s="1">
        <v>1</v>
      </c>
      <c r="Y463" t="s">
        <v>9</v>
      </c>
      <c r="Z463" t="s">
        <v>4316</v>
      </c>
      <c r="AA463" t="s">
        <v>4317</v>
      </c>
      <c r="AB463" t="s">
        <v>5014</v>
      </c>
      <c r="AC463" t="s">
        <v>4792</v>
      </c>
      <c r="AD463" s="18">
        <v>46112</v>
      </c>
    </row>
    <row r="464" spans="1:30" ht="409.5" hidden="1">
      <c r="A464" s="1" t="s">
        <v>965</v>
      </c>
      <c r="B464" s="1">
        <v>1463</v>
      </c>
      <c r="C464" s="1">
        <v>8</v>
      </c>
      <c r="D464" s="1">
        <v>55</v>
      </c>
      <c r="E464" s="1" t="s">
        <v>4295</v>
      </c>
      <c r="F464" s="1" t="s">
        <v>4296</v>
      </c>
      <c r="G464" s="1" t="s">
        <v>40</v>
      </c>
      <c r="H464" s="1" t="s">
        <v>2223</v>
      </c>
      <c r="I464" s="1" t="s">
        <v>2224</v>
      </c>
      <c r="J464" s="1" t="s">
        <v>2225</v>
      </c>
      <c r="K464" s="1" t="s">
        <v>2226</v>
      </c>
      <c r="L464" s="1" t="s">
        <v>2227</v>
      </c>
      <c r="M464" s="1" t="s">
        <v>2228</v>
      </c>
      <c r="N464" s="1"/>
      <c r="O464" s="1" t="s">
        <v>9</v>
      </c>
      <c r="P464" s="1" t="s">
        <v>4026</v>
      </c>
      <c r="Q464" s="1"/>
      <c r="R464" s="1"/>
      <c r="S464" s="1"/>
      <c r="T464" s="1">
        <v>1</v>
      </c>
      <c r="U464" s="1"/>
      <c r="V464" s="1"/>
      <c r="W464" s="1">
        <v>1</v>
      </c>
      <c r="Y464" t="s">
        <v>9</v>
      </c>
      <c r="Z464" t="s">
        <v>4316</v>
      </c>
      <c r="AA464" t="s">
        <v>4317</v>
      </c>
      <c r="AB464" t="s">
        <v>5015</v>
      </c>
      <c r="AC464" t="s">
        <v>4820</v>
      </c>
      <c r="AD464" s="18">
        <v>46112</v>
      </c>
    </row>
    <row r="465" spans="1:30" ht="409.5">
      <c r="A465" s="1" t="s">
        <v>965</v>
      </c>
      <c r="B465" s="1">
        <v>1464</v>
      </c>
      <c r="C465" s="1">
        <v>8</v>
      </c>
      <c r="D465" s="1">
        <v>56</v>
      </c>
      <c r="E465" s="1" t="s">
        <v>4295</v>
      </c>
      <c r="F465" s="1" t="s">
        <v>4296</v>
      </c>
      <c r="G465" s="1" t="s">
        <v>40</v>
      </c>
      <c r="H465" s="1" t="s">
        <v>3641</v>
      </c>
      <c r="I465" s="1" t="s">
        <v>3642</v>
      </c>
      <c r="J465" s="1" t="s">
        <v>3643</v>
      </c>
      <c r="K465" s="1" t="s">
        <v>3644</v>
      </c>
      <c r="L465" s="1" t="s">
        <v>3645</v>
      </c>
      <c r="M465" s="1" t="s">
        <v>3646</v>
      </c>
      <c r="N465" s="1"/>
      <c r="O465" s="1" t="s">
        <v>9</v>
      </c>
      <c r="P465" s="1" t="s">
        <v>4027</v>
      </c>
      <c r="Q465" s="1"/>
      <c r="R465" s="1"/>
      <c r="S465" s="1"/>
      <c r="T465" s="1"/>
      <c r="U465" s="1">
        <v>1</v>
      </c>
      <c r="V465" s="1"/>
      <c r="W465" s="1"/>
      <c r="Y465" t="s">
        <v>11</v>
      </c>
      <c r="Z465" t="s">
        <v>4331</v>
      </c>
      <c r="AA465" t="s">
        <v>4332</v>
      </c>
      <c r="AB465" t="s">
        <v>5016</v>
      </c>
      <c r="AD465" s="18">
        <v>46112</v>
      </c>
    </row>
    <row r="466" spans="1:30" ht="225" hidden="1">
      <c r="A466" s="1" t="s">
        <v>965</v>
      </c>
      <c r="B466" s="1">
        <v>1465</v>
      </c>
      <c r="C466" s="1">
        <v>8</v>
      </c>
      <c r="D466" s="1">
        <v>57</v>
      </c>
      <c r="E466" s="1" t="s">
        <v>4292</v>
      </c>
      <c r="F466" s="1" t="s">
        <v>4303</v>
      </c>
      <c r="G466" s="1" t="s">
        <v>20</v>
      </c>
      <c r="H466" s="1" t="s">
        <v>2229</v>
      </c>
      <c r="I466" s="1">
        <v>1</v>
      </c>
      <c r="J466" s="1">
        <v>2</v>
      </c>
      <c r="K466" s="1">
        <v>3</v>
      </c>
      <c r="L466" s="1">
        <v>4</v>
      </c>
      <c r="M466" s="1">
        <v>5</v>
      </c>
      <c r="N466" s="1"/>
      <c r="O466" s="1" t="s">
        <v>9</v>
      </c>
      <c r="P466" s="1" t="s">
        <v>4028</v>
      </c>
      <c r="Q466" s="1"/>
      <c r="R466" s="1"/>
      <c r="S466" s="1"/>
      <c r="T466" s="1">
        <v>1</v>
      </c>
      <c r="U466" s="1"/>
      <c r="V466" s="1"/>
      <c r="W466" s="1"/>
      <c r="Y466" t="s">
        <v>9</v>
      </c>
      <c r="Z466" t="s">
        <v>4316</v>
      </c>
      <c r="AA466" t="s">
        <v>4317</v>
      </c>
      <c r="AB466" t="s">
        <v>5017</v>
      </c>
      <c r="AD466" s="18">
        <v>46112</v>
      </c>
    </row>
    <row r="467" spans="1:30" ht="409.5" hidden="1">
      <c r="A467" s="1" t="s">
        <v>965</v>
      </c>
      <c r="B467" s="1">
        <v>1466</v>
      </c>
      <c r="C467" s="1">
        <v>8</v>
      </c>
      <c r="D467" s="1">
        <v>58</v>
      </c>
      <c r="E467" s="1" t="s">
        <v>4295</v>
      </c>
      <c r="F467" s="1" t="s">
        <v>4296</v>
      </c>
      <c r="G467" s="1" t="s">
        <v>4294</v>
      </c>
      <c r="H467" s="1" t="s">
        <v>2230</v>
      </c>
      <c r="I467" s="1" t="s">
        <v>2231</v>
      </c>
      <c r="J467" s="1" t="s">
        <v>2232</v>
      </c>
      <c r="K467" s="1" t="s">
        <v>2233</v>
      </c>
      <c r="L467" s="1" t="s">
        <v>2234</v>
      </c>
      <c r="M467" s="1" t="s">
        <v>2235</v>
      </c>
      <c r="N467" s="1"/>
      <c r="O467" s="1" t="s">
        <v>9</v>
      </c>
      <c r="P467" s="1" t="s">
        <v>4029</v>
      </c>
      <c r="Q467" s="1"/>
      <c r="R467" s="1"/>
      <c r="S467" s="1"/>
      <c r="T467" s="1"/>
      <c r="U467" s="1"/>
      <c r="V467" s="1"/>
      <c r="W467" s="1"/>
      <c r="Y467" t="s">
        <v>9</v>
      </c>
      <c r="Z467" t="s">
        <v>4316</v>
      </c>
      <c r="AA467" t="s">
        <v>4317</v>
      </c>
      <c r="AB467" t="s">
        <v>5018</v>
      </c>
      <c r="AC467" t="s">
        <v>4823</v>
      </c>
      <c r="AD467" s="18">
        <v>46112</v>
      </c>
    </row>
    <row r="468" spans="1:30" ht="360" hidden="1">
      <c r="A468" s="1" t="s">
        <v>965</v>
      </c>
      <c r="B468" s="1">
        <v>1467</v>
      </c>
      <c r="C468" s="1">
        <v>8</v>
      </c>
      <c r="D468" s="1">
        <v>59</v>
      </c>
      <c r="E468" s="1" t="s">
        <v>4290</v>
      </c>
      <c r="F468" s="1" t="s">
        <v>4302</v>
      </c>
      <c r="G468" s="1" t="s">
        <v>20</v>
      </c>
      <c r="H468" s="1" t="s">
        <v>2236</v>
      </c>
      <c r="I468" s="1">
        <v>1</v>
      </c>
      <c r="J468" s="1">
        <v>2</v>
      </c>
      <c r="K468" s="1">
        <v>3</v>
      </c>
      <c r="L468" s="1">
        <v>4</v>
      </c>
      <c r="M468" s="1">
        <v>5</v>
      </c>
      <c r="N468" s="1"/>
      <c r="O468" s="1" t="s">
        <v>9</v>
      </c>
      <c r="P468" s="1" t="s">
        <v>4030</v>
      </c>
      <c r="Q468" s="1"/>
      <c r="R468" s="1"/>
      <c r="S468" s="1"/>
      <c r="T468" s="1"/>
      <c r="U468" s="1"/>
      <c r="V468" s="1"/>
      <c r="W468" s="1"/>
      <c r="Y468" t="s">
        <v>9</v>
      </c>
      <c r="Z468" t="s">
        <v>4316</v>
      </c>
      <c r="AA468" t="s">
        <v>4317</v>
      </c>
      <c r="AB468" t="s">
        <v>5019</v>
      </c>
      <c r="AD468" s="18">
        <v>46112</v>
      </c>
    </row>
    <row r="469" spans="1:30" ht="409.5" hidden="1">
      <c r="A469" s="1" t="s">
        <v>965</v>
      </c>
      <c r="B469" s="1">
        <v>1468</v>
      </c>
      <c r="C469" s="1">
        <v>9</v>
      </c>
      <c r="D469" s="1">
        <v>1</v>
      </c>
      <c r="E469" s="1" t="s">
        <v>4297</v>
      </c>
      <c r="F469" s="1" t="s">
        <v>4298</v>
      </c>
      <c r="G469" s="1" t="s">
        <v>40</v>
      </c>
      <c r="H469" s="1" t="s">
        <v>2269</v>
      </c>
      <c r="I469" s="1" t="s">
        <v>3760</v>
      </c>
      <c r="J469" s="1" t="s">
        <v>4031</v>
      </c>
      <c r="K469" s="1" t="s">
        <v>3761</v>
      </c>
      <c r="L469" s="1" t="s">
        <v>3762</v>
      </c>
      <c r="M469" s="1"/>
      <c r="N469" s="1"/>
      <c r="O469" s="1" t="s">
        <v>8</v>
      </c>
      <c r="P469" s="1" t="s">
        <v>4032</v>
      </c>
      <c r="Q469" s="1"/>
      <c r="R469" s="1"/>
      <c r="S469" s="1"/>
      <c r="T469" s="1"/>
      <c r="U469" s="1"/>
      <c r="V469" s="1"/>
      <c r="W469" s="1"/>
      <c r="Y469" t="s">
        <v>8</v>
      </c>
      <c r="Z469" t="s">
        <v>4316</v>
      </c>
      <c r="AA469" t="s">
        <v>4317</v>
      </c>
      <c r="AB469" t="s">
        <v>5020</v>
      </c>
      <c r="AC469" t="s">
        <v>4325</v>
      </c>
      <c r="AD469" s="18">
        <v>46112</v>
      </c>
    </row>
    <row r="470" spans="1:30" ht="409.5" hidden="1">
      <c r="A470" s="1" t="s">
        <v>965</v>
      </c>
      <c r="B470" s="1">
        <v>1469</v>
      </c>
      <c r="C470" s="1">
        <v>9</v>
      </c>
      <c r="D470" s="1">
        <v>2</v>
      </c>
      <c r="E470" s="1" t="s">
        <v>4305</v>
      </c>
      <c r="F470" s="1" t="s">
        <v>4307</v>
      </c>
      <c r="G470" s="1" t="s">
        <v>20</v>
      </c>
      <c r="H470" s="1" t="s">
        <v>2241</v>
      </c>
      <c r="I470" s="1" t="s">
        <v>2242</v>
      </c>
      <c r="J470" s="1" t="s">
        <v>2243</v>
      </c>
      <c r="K470" s="1" t="s">
        <v>2244</v>
      </c>
      <c r="L470" s="1" t="s">
        <v>2245</v>
      </c>
      <c r="M470" s="1"/>
      <c r="N470" s="1"/>
      <c r="O470" s="1" t="s">
        <v>9</v>
      </c>
      <c r="P470" s="1" t="s">
        <v>4033</v>
      </c>
      <c r="Q470" s="1"/>
      <c r="R470" s="1"/>
      <c r="S470" s="1"/>
      <c r="T470" s="1"/>
      <c r="U470" s="1"/>
      <c r="V470" s="1"/>
      <c r="W470" s="1"/>
      <c r="Y470" t="s">
        <v>9</v>
      </c>
      <c r="Z470" t="s">
        <v>4316</v>
      </c>
      <c r="AA470" t="s">
        <v>4317</v>
      </c>
      <c r="AB470" t="s">
        <v>5021</v>
      </c>
      <c r="AC470" t="s">
        <v>4792</v>
      </c>
      <c r="AD470" s="18">
        <v>46112</v>
      </c>
    </row>
    <row r="471" spans="1:30" ht="409.5" hidden="1">
      <c r="A471" s="1" t="s">
        <v>965</v>
      </c>
      <c r="B471" s="1">
        <v>1470</v>
      </c>
      <c r="C471" s="1">
        <v>9</v>
      </c>
      <c r="D471" s="1">
        <v>3</v>
      </c>
      <c r="E471" s="1" t="s">
        <v>4297</v>
      </c>
      <c r="F471" s="1" t="s">
        <v>4301</v>
      </c>
      <c r="G471" s="1" t="s">
        <v>4294</v>
      </c>
      <c r="H471" s="1" t="s">
        <v>2246</v>
      </c>
      <c r="I471" s="1" t="s">
        <v>2247</v>
      </c>
      <c r="J471" s="1" t="s">
        <v>2248</v>
      </c>
      <c r="K471" s="1" t="s">
        <v>2249</v>
      </c>
      <c r="L471" s="1" t="s">
        <v>2250</v>
      </c>
      <c r="M471" s="1" t="s">
        <v>2251</v>
      </c>
      <c r="N471" s="1"/>
      <c r="O471" s="1" t="s">
        <v>9</v>
      </c>
      <c r="P471" s="1" t="s">
        <v>4034</v>
      </c>
      <c r="Q471" s="1"/>
      <c r="R471" s="1"/>
      <c r="S471" s="1"/>
      <c r="T471" s="1">
        <v>1</v>
      </c>
      <c r="U471" s="1"/>
      <c r="V471" s="1"/>
      <c r="W471" s="1"/>
      <c r="Y471" t="s">
        <v>9</v>
      </c>
      <c r="Z471" t="s">
        <v>4316</v>
      </c>
      <c r="AA471" t="s">
        <v>4317</v>
      </c>
      <c r="AB471" t="s">
        <v>5022</v>
      </c>
      <c r="AC471" t="s">
        <v>4346</v>
      </c>
      <c r="AD471" s="18">
        <v>46112</v>
      </c>
    </row>
    <row r="472" spans="1:30" ht="405" hidden="1">
      <c r="A472" s="1" t="s">
        <v>965</v>
      </c>
      <c r="B472" s="1">
        <v>1471</v>
      </c>
      <c r="C472" s="1">
        <v>9</v>
      </c>
      <c r="D472" s="1">
        <v>4</v>
      </c>
      <c r="E472" s="1" t="s">
        <v>4297</v>
      </c>
      <c r="F472" s="1" t="s">
        <v>4298</v>
      </c>
      <c r="G472" s="1" t="s">
        <v>40</v>
      </c>
      <c r="H472" s="1" t="s">
        <v>2252</v>
      </c>
      <c r="I472" s="1" t="s">
        <v>527</v>
      </c>
      <c r="J472" s="1" t="s">
        <v>529</v>
      </c>
      <c r="K472" s="1" t="s">
        <v>526</v>
      </c>
      <c r="L472" s="1" t="s">
        <v>525</v>
      </c>
      <c r="M472" s="1" t="s">
        <v>528</v>
      </c>
      <c r="N472" s="1"/>
      <c r="O472" s="1" t="s">
        <v>7</v>
      </c>
      <c r="P472" s="1" t="s">
        <v>4035</v>
      </c>
      <c r="Q472" s="1"/>
      <c r="R472" s="1"/>
      <c r="S472" s="1"/>
      <c r="T472" s="1">
        <v>1</v>
      </c>
      <c r="U472" s="1"/>
      <c r="V472" s="1"/>
      <c r="W472" s="1"/>
      <c r="Y472" t="s">
        <v>7</v>
      </c>
      <c r="Z472" t="s">
        <v>4316</v>
      </c>
      <c r="AA472" t="s">
        <v>4317</v>
      </c>
      <c r="AB472" t="s">
        <v>5023</v>
      </c>
      <c r="AC472" t="s">
        <v>4330</v>
      </c>
      <c r="AD472" s="18">
        <v>46112</v>
      </c>
    </row>
    <row r="473" spans="1:30" ht="409.5" hidden="1">
      <c r="A473" s="1" t="s">
        <v>965</v>
      </c>
      <c r="B473" s="1">
        <v>1472</v>
      </c>
      <c r="C473" s="1">
        <v>9</v>
      </c>
      <c r="D473" s="1">
        <v>5</v>
      </c>
      <c r="E473" s="1" t="s">
        <v>4295</v>
      </c>
      <c r="F473" s="1" t="s">
        <v>4296</v>
      </c>
      <c r="G473" s="1" t="s">
        <v>4294</v>
      </c>
      <c r="H473" s="1" t="s">
        <v>2246</v>
      </c>
      <c r="I473" s="1" t="s">
        <v>2249</v>
      </c>
      <c r="J473" s="1" t="s">
        <v>2248</v>
      </c>
      <c r="K473" s="1" t="s">
        <v>2247</v>
      </c>
      <c r="L473" s="1" t="s">
        <v>2250</v>
      </c>
      <c r="M473" s="1" t="s">
        <v>2251</v>
      </c>
      <c r="N473" s="1"/>
      <c r="O473" s="1" t="s">
        <v>7</v>
      </c>
      <c r="P473" s="1" t="s">
        <v>4036</v>
      </c>
      <c r="Q473" s="1"/>
      <c r="R473" s="1"/>
      <c r="S473" s="1"/>
      <c r="T473" s="1">
        <v>1</v>
      </c>
      <c r="U473" s="1"/>
      <c r="V473" s="1"/>
      <c r="W473" s="1"/>
      <c r="Y473" t="s">
        <v>7</v>
      </c>
      <c r="Z473" t="s">
        <v>4316</v>
      </c>
      <c r="AA473" t="s">
        <v>4317</v>
      </c>
      <c r="AB473" t="s">
        <v>5024</v>
      </c>
      <c r="AC473" t="s">
        <v>4346</v>
      </c>
      <c r="AD473" s="18">
        <v>46112</v>
      </c>
    </row>
    <row r="474" spans="1:30" ht="409.5">
      <c r="A474" s="1" t="s">
        <v>965</v>
      </c>
      <c r="B474" s="1">
        <v>1473</v>
      </c>
      <c r="C474" s="1">
        <v>9</v>
      </c>
      <c r="D474" s="1">
        <v>6</v>
      </c>
      <c r="E474" s="1" t="s">
        <v>4297</v>
      </c>
      <c r="F474" s="1" t="s">
        <v>4299</v>
      </c>
      <c r="G474" s="1" t="s">
        <v>20</v>
      </c>
      <c r="H474" s="1" t="s">
        <v>2254</v>
      </c>
      <c r="I474" s="1" t="s">
        <v>2255</v>
      </c>
      <c r="J474" s="1" t="s">
        <v>2256</v>
      </c>
      <c r="K474" s="1" t="s">
        <v>2257</v>
      </c>
      <c r="L474" s="1" t="s">
        <v>2258</v>
      </c>
      <c r="M474" s="1"/>
      <c r="N474" s="1"/>
      <c r="O474" s="1" t="s">
        <v>9</v>
      </c>
      <c r="P474" s="1" t="s">
        <v>4037</v>
      </c>
      <c r="Q474" s="1"/>
      <c r="R474" s="1"/>
      <c r="S474" s="1"/>
      <c r="T474" s="1"/>
      <c r="U474" s="1"/>
      <c r="V474" s="1"/>
      <c r="W474" s="1"/>
      <c r="Y474" t="s">
        <v>8</v>
      </c>
      <c r="Z474" t="s">
        <v>4331</v>
      </c>
      <c r="AA474" t="s">
        <v>4332</v>
      </c>
      <c r="AB474" t="s">
        <v>5025</v>
      </c>
      <c r="AC474" t="s">
        <v>4887</v>
      </c>
      <c r="AD474" s="18">
        <v>46112</v>
      </c>
    </row>
    <row r="475" spans="1:30" ht="409.5" hidden="1">
      <c r="A475" s="1" t="s">
        <v>965</v>
      </c>
      <c r="B475" s="1">
        <v>1474</v>
      </c>
      <c r="C475" s="1">
        <v>9</v>
      </c>
      <c r="D475" s="1">
        <v>7</v>
      </c>
      <c r="E475" s="1" t="s">
        <v>4297</v>
      </c>
      <c r="F475" s="1" t="s">
        <v>4298</v>
      </c>
      <c r="G475" s="1" t="s">
        <v>20</v>
      </c>
      <c r="H475" s="1" t="s">
        <v>2259</v>
      </c>
      <c r="I475" s="1" t="s">
        <v>2260</v>
      </c>
      <c r="J475" s="1" t="s">
        <v>2261</v>
      </c>
      <c r="K475" s="1" t="s">
        <v>2262</v>
      </c>
      <c r="L475" s="1" t="s">
        <v>393</v>
      </c>
      <c r="M475" s="1"/>
      <c r="N475" s="1"/>
      <c r="O475" s="1" t="s">
        <v>9</v>
      </c>
      <c r="P475" s="1" t="s">
        <v>4038</v>
      </c>
      <c r="Q475" s="1"/>
      <c r="R475" s="1"/>
      <c r="S475" s="1"/>
      <c r="T475" s="1"/>
      <c r="U475" s="1"/>
      <c r="V475" s="1"/>
      <c r="W475" s="1"/>
      <c r="Y475" t="s">
        <v>9</v>
      </c>
      <c r="Z475" t="s">
        <v>4316</v>
      </c>
      <c r="AA475" t="s">
        <v>4317</v>
      </c>
      <c r="AB475" t="s">
        <v>5026</v>
      </c>
      <c r="AD475" s="18">
        <v>46112</v>
      </c>
    </row>
    <row r="476" spans="1:30" ht="390" hidden="1">
      <c r="A476" s="1" t="s">
        <v>965</v>
      </c>
      <c r="B476" s="1">
        <v>1475</v>
      </c>
      <c r="C476" s="1">
        <v>9</v>
      </c>
      <c r="D476" s="1">
        <v>8</v>
      </c>
      <c r="E476" s="1" t="s">
        <v>4297</v>
      </c>
      <c r="F476" s="1" t="s">
        <v>4298</v>
      </c>
      <c r="G476" s="1" t="s">
        <v>20</v>
      </c>
      <c r="H476" s="1" t="s">
        <v>2259</v>
      </c>
      <c r="I476" s="1" t="s">
        <v>2261</v>
      </c>
      <c r="J476" s="1" t="s">
        <v>393</v>
      </c>
      <c r="K476" s="1" t="s">
        <v>2260</v>
      </c>
      <c r="L476" s="1" t="s">
        <v>2262</v>
      </c>
      <c r="M476" s="1"/>
      <c r="N476" s="1"/>
      <c r="O476" s="1" t="s">
        <v>10</v>
      </c>
      <c r="P476" s="1" t="s">
        <v>4039</v>
      </c>
      <c r="Q476" s="1"/>
      <c r="R476" s="1"/>
      <c r="S476" s="1"/>
      <c r="T476" s="1"/>
      <c r="U476" s="1"/>
      <c r="V476" s="1"/>
      <c r="W476" s="1"/>
      <c r="Y476" t="s">
        <v>10</v>
      </c>
      <c r="Z476" t="s">
        <v>4316</v>
      </c>
      <c r="AA476" t="s">
        <v>4317</v>
      </c>
      <c r="AB476" t="s">
        <v>5027</v>
      </c>
      <c r="AD476" s="18">
        <v>46112</v>
      </c>
    </row>
    <row r="477" spans="1:30" ht="409.5" hidden="1">
      <c r="A477" s="1" t="s">
        <v>965</v>
      </c>
      <c r="B477" s="1">
        <v>1476</v>
      </c>
      <c r="C477" s="1">
        <v>9</v>
      </c>
      <c r="D477" s="1">
        <v>9</v>
      </c>
      <c r="E477" s="1" t="s">
        <v>4297</v>
      </c>
      <c r="F477" s="1" t="s">
        <v>4298</v>
      </c>
      <c r="G477" s="1" t="s">
        <v>4294</v>
      </c>
      <c r="H477" s="1" t="s">
        <v>2237</v>
      </c>
      <c r="I477" s="1" t="s">
        <v>4040</v>
      </c>
      <c r="J477" s="1" t="s">
        <v>2238</v>
      </c>
      <c r="K477" s="1" t="s">
        <v>2239</v>
      </c>
      <c r="L477" s="1" t="s">
        <v>2240</v>
      </c>
      <c r="M477" s="1"/>
      <c r="N477" s="1"/>
      <c r="O477" s="1" t="s">
        <v>7</v>
      </c>
      <c r="P477" s="1" t="s">
        <v>4041</v>
      </c>
      <c r="Q477" s="1"/>
      <c r="R477" s="1"/>
      <c r="S477" s="1"/>
      <c r="T477" s="1">
        <v>1</v>
      </c>
      <c r="U477" s="1"/>
      <c r="V477" s="1"/>
      <c r="W477" s="1"/>
      <c r="Y477" t="s">
        <v>7</v>
      </c>
      <c r="Z477" t="s">
        <v>4316</v>
      </c>
      <c r="AA477" t="s">
        <v>4317</v>
      </c>
      <c r="AB477" t="s">
        <v>5028</v>
      </c>
      <c r="AC477" t="s">
        <v>4567</v>
      </c>
      <c r="AD477" s="18">
        <v>46112</v>
      </c>
    </row>
    <row r="478" spans="1:30" ht="255" hidden="1">
      <c r="A478" s="1" t="s">
        <v>965</v>
      </c>
      <c r="B478" s="1">
        <v>1477</v>
      </c>
      <c r="C478" s="1">
        <v>9</v>
      </c>
      <c r="D478" s="1">
        <v>10</v>
      </c>
      <c r="E478" s="1" t="s">
        <v>4297</v>
      </c>
      <c r="F478" s="1" t="s">
        <v>4298</v>
      </c>
      <c r="G478" s="1" t="s">
        <v>4294</v>
      </c>
      <c r="H478" s="1" t="s">
        <v>2263</v>
      </c>
      <c r="I478" s="1" t="s">
        <v>2264</v>
      </c>
      <c r="J478" s="1" t="s">
        <v>2265</v>
      </c>
      <c r="K478" s="1" t="s">
        <v>2266</v>
      </c>
      <c r="L478" s="1" t="s">
        <v>2267</v>
      </c>
      <c r="M478" s="1" t="s">
        <v>2268</v>
      </c>
      <c r="N478" s="1"/>
      <c r="O478" s="1" t="s">
        <v>9</v>
      </c>
      <c r="P478" s="1" t="s">
        <v>4042</v>
      </c>
      <c r="Q478" s="1"/>
      <c r="R478" s="1"/>
      <c r="S478" s="1"/>
      <c r="T478" s="1">
        <v>1</v>
      </c>
      <c r="U478" s="1"/>
      <c r="V478" s="1"/>
      <c r="W478" s="1"/>
      <c r="Y478" t="s">
        <v>9</v>
      </c>
      <c r="Z478" t="s">
        <v>4316</v>
      </c>
      <c r="AA478" t="s">
        <v>4317</v>
      </c>
      <c r="AB478" t="s">
        <v>5029</v>
      </c>
      <c r="AC478" t="s">
        <v>4790</v>
      </c>
      <c r="AD478" s="18">
        <v>46112</v>
      </c>
    </row>
    <row r="479" spans="1:30" ht="409.5" hidden="1">
      <c r="A479" s="1" t="s">
        <v>965</v>
      </c>
      <c r="B479" s="1">
        <v>1478</v>
      </c>
      <c r="C479" s="1">
        <v>9</v>
      </c>
      <c r="D479" s="1">
        <v>11</v>
      </c>
      <c r="E479" s="1" t="s">
        <v>4305</v>
      </c>
      <c r="F479" s="1" t="s">
        <v>4306</v>
      </c>
      <c r="G479" s="1" t="s">
        <v>4294</v>
      </c>
      <c r="H479" s="1" t="s">
        <v>4045</v>
      </c>
      <c r="I479" s="1" t="s">
        <v>2270</v>
      </c>
      <c r="J479" s="1" t="s">
        <v>1170</v>
      </c>
      <c r="K479" s="1" t="s">
        <v>2271</v>
      </c>
      <c r="L479" s="1" t="s">
        <v>130</v>
      </c>
      <c r="M479" s="1" t="s">
        <v>4046</v>
      </c>
      <c r="N479" s="1"/>
      <c r="O479" s="1" t="s">
        <v>10</v>
      </c>
      <c r="P479" s="1" t="s">
        <v>4047</v>
      </c>
      <c r="Q479" s="1"/>
      <c r="R479" s="1"/>
      <c r="S479" s="1"/>
      <c r="T479" s="1">
        <v>1</v>
      </c>
      <c r="U479" s="1"/>
      <c r="V479" s="1"/>
      <c r="W479" s="1"/>
      <c r="X479" s="1"/>
      <c r="Y479" t="s">
        <v>10</v>
      </c>
      <c r="Z479" t="s">
        <v>4316</v>
      </c>
      <c r="AA479" t="s">
        <v>4317</v>
      </c>
      <c r="AB479" t="s">
        <v>5030</v>
      </c>
      <c r="AC479" t="s">
        <v>4350</v>
      </c>
      <c r="AD479" s="18">
        <v>46112</v>
      </c>
    </row>
    <row r="480" spans="1:30" ht="390" hidden="1">
      <c r="A480" s="1" t="s">
        <v>965</v>
      </c>
      <c r="B480" s="1">
        <v>1479</v>
      </c>
      <c r="C480" s="1">
        <v>9</v>
      </c>
      <c r="D480" s="1">
        <v>12</v>
      </c>
      <c r="E480" s="1" t="s">
        <v>4297</v>
      </c>
      <c r="F480" s="1" t="s">
        <v>4298</v>
      </c>
      <c r="G480" s="1" t="s">
        <v>4294</v>
      </c>
      <c r="H480" s="1" t="s">
        <v>2272</v>
      </c>
      <c r="I480" s="1" t="s">
        <v>2273</v>
      </c>
      <c r="J480" s="1" t="s">
        <v>5485</v>
      </c>
      <c r="K480" s="1" t="s">
        <v>1421</v>
      </c>
      <c r="L480" s="1" t="s">
        <v>2010</v>
      </c>
      <c r="M480" s="1" t="s">
        <v>708</v>
      </c>
      <c r="N480" s="1"/>
      <c r="O480" s="1" t="s">
        <v>8</v>
      </c>
      <c r="P480" s="1" t="s">
        <v>4043</v>
      </c>
      <c r="Q480" s="1"/>
      <c r="R480" s="1"/>
      <c r="S480" s="1"/>
      <c r="T480" s="1">
        <v>1</v>
      </c>
      <c r="U480" s="1">
        <v>1</v>
      </c>
      <c r="V480" s="1"/>
      <c r="W480" s="1"/>
      <c r="X480" s="1"/>
      <c r="Y480" t="s">
        <v>8</v>
      </c>
      <c r="Z480" t="s">
        <v>4316</v>
      </c>
      <c r="AA480" t="s">
        <v>4317</v>
      </c>
      <c r="AB480" t="s">
        <v>5031</v>
      </c>
      <c r="AC480" t="s">
        <v>4444</v>
      </c>
      <c r="AD480" s="18">
        <v>46112</v>
      </c>
    </row>
    <row r="481" spans="1:30" ht="375" hidden="1">
      <c r="A481" s="1" t="s">
        <v>965</v>
      </c>
      <c r="B481" s="1">
        <v>1480</v>
      </c>
      <c r="C481" s="1">
        <v>9</v>
      </c>
      <c r="D481" s="1">
        <v>13</v>
      </c>
      <c r="E481" s="1" t="s">
        <v>4297</v>
      </c>
      <c r="F481" s="1" t="s">
        <v>4298</v>
      </c>
      <c r="G481" s="1" t="s">
        <v>4294</v>
      </c>
      <c r="H481" s="1" t="s">
        <v>2274</v>
      </c>
      <c r="I481" s="1" t="s">
        <v>3763</v>
      </c>
      <c r="J481" s="1" t="s">
        <v>4048</v>
      </c>
      <c r="K481" s="1" t="s">
        <v>3764</v>
      </c>
      <c r="L481" s="1" t="s">
        <v>3765</v>
      </c>
      <c r="M481" s="1"/>
      <c r="N481" s="1"/>
      <c r="O481" s="1" t="s">
        <v>8</v>
      </c>
      <c r="P481" s="1" t="s">
        <v>4049</v>
      </c>
      <c r="Q481" s="1"/>
      <c r="R481" s="1"/>
      <c r="S481" s="1"/>
      <c r="T481" s="1">
        <v>1</v>
      </c>
      <c r="U481" s="1"/>
      <c r="V481" s="1"/>
      <c r="W481" s="1"/>
      <c r="X481" s="1"/>
      <c r="Z481" t="s">
        <v>4386</v>
      </c>
      <c r="AB481" t="s">
        <v>5032</v>
      </c>
      <c r="AC481" t="s">
        <v>5033</v>
      </c>
      <c r="AD481" s="18">
        <v>46112</v>
      </c>
    </row>
    <row r="482" spans="1:30" ht="409.5" hidden="1">
      <c r="A482" s="1" t="s">
        <v>965</v>
      </c>
      <c r="B482" s="1">
        <v>1481</v>
      </c>
      <c r="C482" s="1">
        <v>9</v>
      </c>
      <c r="D482" s="1">
        <v>14</v>
      </c>
      <c r="E482" s="1" t="s">
        <v>4297</v>
      </c>
      <c r="F482" s="1" t="s">
        <v>4298</v>
      </c>
      <c r="G482" s="1" t="s">
        <v>20</v>
      </c>
      <c r="H482" s="1" t="s">
        <v>2275</v>
      </c>
      <c r="I482" s="1" t="s">
        <v>2276</v>
      </c>
      <c r="J482" s="1" t="s">
        <v>2277</v>
      </c>
      <c r="K482" s="1" t="s">
        <v>493</v>
      </c>
      <c r="L482" s="1" t="s">
        <v>477</v>
      </c>
      <c r="M482" s="1" t="s">
        <v>220</v>
      </c>
      <c r="N482" s="1"/>
      <c r="O482" s="1" t="s">
        <v>8</v>
      </c>
      <c r="P482" s="1" t="s">
        <v>4044</v>
      </c>
      <c r="Q482" s="1"/>
      <c r="R482" s="1"/>
      <c r="S482" s="1"/>
      <c r="T482" s="1"/>
      <c r="U482" s="1">
        <v>1</v>
      </c>
      <c r="V482" s="1"/>
      <c r="W482" s="1"/>
      <c r="X482" s="1"/>
      <c r="Z482" t="s">
        <v>4386</v>
      </c>
      <c r="AB482" t="s">
        <v>5034</v>
      </c>
      <c r="AC482" t="s">
        <v>5035</v>
      </c>
      <c r="AD482" s="18">
        <v>46112</v>
      </c>
    </row>
    <row r="483" spans="1:30" ht="409.5" hidden="1">
      <c r="A483" s="1" t="s">
        <v>965</v>
      </c>
      <c r="B483" s="1">
        <v>1482</v>
      </c>
      <c r="C483" s="1">
        <v>9</v>
      </c>
      <c r="D483" s="1">
        <v>15</v>
      </c>
      <c r="E483" s="1" t="s">
        <v>4292</v>
      </c>
      <c r="F483" s="1" t="s">
        <v>4303</v>
      </c>
      <c r="G483" s="1" t="s">
        <v>4294</v>
      </c>
      <c r="H483" s="1" t="s">
        <v>4054</v>
      </c>
      <c r="I483" s="1" t="s">
        <v>3585</v>
      </c>
      <c r="J483" s="1" t="s">
        <v>3586</v>
      </c>
      <c r="K483" s="1" t="s">
        <v>3587</v>
      </c>
      <c r="L483" s="1" t="s">
        <v>3588</v>
      </c>
      <c r="M483" s="1" t="s">
        <v>4050</v>
      </c>
      <c r="N483" s="1"/>
      <c r="O483" s="1" t="s">
        <v>8</v>
      </c>
      <c r="P483" s="1" t="s">
        <v>4051</v>
      </c>
      <c r="Q483" s="1"/>
      <c r="R483" s="1"/>
      <c r="S483" s="1"/>
      <c r="T483" s="1">
        <v>1</v>
      </c>
      <c r="U483" s="1"/>
      <c r="V483" s="1"/>
      <c r="W483" s="1"/>
      <c r="X483" s="1"/>
      <c r="Z483" t="s">
        <v>4386</v>
      </c>
      <c r="AB483" t="s">
        <v>5036</v>
      </c>
      <c r="AC483" t="s">
        <v>5033</v>
      </c>
      <c r="AD483" s="18">
        <v>46112</v>
      </c>
    </row>
    <row r="484" spans="1:30" ht="409.5">
      <c r="A484" s="1" t="s">
        <v>965</v>
      </c>
      <c r="B484" s="1">
        <v>1483</v>
      </c>
      <c r="C484" s="1">
        <v>9</v>
      </c>
      <c r="D484" s="1">
        <v>16</v>
      </c>
      <c r="E484" s="1" t="s">
        <v>4297</v>
      </c>
      <c r="F484" s="1" t="s">
        <v>4298</v>
      </c>
      <c r="G484" s="1" t="s">
        <v>20</v>
      </c>
      <c r="H484" s="1" t="s">
        <v>2278</v>
      </c>
      <c r="I484" s="1" t="s">
        <v>549</v>
      </c>
      <c r="J484" s="1" t="s">
        <v>551</v>
      </c>
      <c r="K484" s="1" t="s">
        <v>550</v>
      </c>
      <c r="L484" s="1" t="s">
        <v>956</v>
      </c>
      <c r="M484" s="1"/>
      <c r="N484" s="1"/>
      <c r="O484" s="1" t="s">
        <v>10</v>
      </c>
      <c r="P484" s="1" t="s">
        <v>4052</v>
      </c>
      <c r="Q484" s="1"/>
      <c r="R484" s="1"/>
      <c r="S484" s="1"/>
      <c r="T484" s="1"/>
      <c r="U484" s="1"/>
      <c r="V484" s="1"/>
      <c r="W484" s="1"/>
      <c r="X484" s="1"/>
      <c r="Y484" t="s">
        <v>8</v>
      </c>
      <c r="Z484" t="s">
        <v>4331</v>
      </c>
      <c r="AA484" t="s">
        <v>4332</v>
      </c>
      <c r="AB484" t="s">
        <v>5037</v>
      </c>
      <c r="AC484" t="s">
        <v>5033</v>
      </c>
      <c r="AD484" s="18">
        <v>46112</v>
      </c>
    </row>
    <row r="485" spans="1:30" ht="409.5" hidden="1">
      <c r="A485" s="1" t="s">
        <v>965</v>
      </c>
      <c r="B485" s="1">
        <v>1484</v>
      </c>
      <c r="C485" s="1">
        <v>9</v>
      </c>
      <c r="D485" s="1">
        <v>17</v>
      </c>
      <c r="E485" s="1" t="s">
        <v>4305</v>
      </c>
      <c r="F485" s="1" t="s">
        <v>4306</v>
      </c>
      <c r="G485" s="1" t="s">
        <v>4294</v>
      </c>
      <c r="H485" s="1" t="s">
        <v>2279</v>
      </c>
      <c r="I485" s="1" t="s">
        <v>2280</v>
      </c>
      <c r="J485" s="1" t="s">
        <v>2281</v>
      </c>
      <c r="K485" s="1" t="s">
        <v>2282</v>
      </c>
      <c r="L485" s="1" t="s">
        <v>2283</v>
      </c>
      <c r="M485" s="1"/>
      <c r="N485" s="1"/>
      <c r="O485" s="1" t="s">
        <v>10</v>
      </c>
      <c r="P485" s="1" t="s">
        <v>4053</v>
      </c>
      <c r="Q485" s="1"/>
      <c r="R485" s="1"/>
      <c r="S485" s="1"/>
      <c r="T485" s="1">
        <v>1</v>
      </c>
      <c r="U485" s="1"/>
      <c r="V485" s="1"/>
      <c r="W485" s="1"/>
      <c r="X485" s="1"/>
      <c r="Y485" t="s">
        <v>10</v>
      </c>
      <c r="Z485" t="s">
        <v>4316</v>
      </c>
      <c r="AA485" t="s">
        <v>4317</v>
      </c>
      <c r="AB485" t="s">
        <v>5038</v>
      </c>
      <c r="AC485" t="s">
        <v>4551</v>
      </c>
      <c r="AD485" s="18">
        <v>46112</v>
      </c>
    </row>
    <row r="486" spans="1:30" ht="409.5" hidden="1">
      <c r="A486" s="1" t="s">
        <v>965</v>
      </c>
      <c r="B486" s="1">
        <v>1485</v>
      </c>
      <c r="C486" s="1">
        <v>9</v>
      </c>
      <c r="D486" s="1">
        <v>18</v>
      </c>
      <c r="E486" s="1" t="s">
        <v>4305</v>
      </c>
      <c r="F486" s="1" t="s">
        <v>4307</v>
      </c>
      <c r="G486" s="1" t="s">
        <v>4294</v>
      </c>
      <c r="H486" s="1" t="s">
        <v>2253</v>
      </c>
      <c r="I486" s="1" t="s">
        <v>3755</v>
      </c>
      <c r="J486" s="1" t="s">
        <v>3756</v>
      </c>
      <c r="K486" s="1" t="s">
        <v>3757</v>
      </c>
      <c r="L486" s="1" t="s">
        <v>3758</v>
      </c>
      <c r="M486" s="1" t="s">
        <v>3759</v>
      </c>
      <c r="N486" s="1"/>
      <c r="O486" s="1" t="s">
        <v>9</v>
      </c>
      <c r="P486" s="1" t="s">
        <v>4055</v>
      </c>
      <c r="Q486" s="1"/>
      <c r="R486" s="1"/>
      <c r="S486" s="1"/>
      <c r="T486" s="1"/>
      <c r="U486" s="1"/>
      <c r="V486" s="1"/>
      <c r="W486" s="1"/>
      <c r="X486" s="1"/>
      <c r="Y486" t="s">
        <v>9</v>
      </c>
      <c r="Z486" t="s">
        <v>4316</v>
      </c>
      <c r="AA486" t="s">
        <v>4317</v>
      </c>
      <c r="AB486" t="s">
        <v>5039</v>
      </c>
      <c r="AC486" t="s">
        <v>4865</v>
      </c>
      <c r="AD486" s="18">
        <v>46112</v>
      </c>
    </row>
    <row r="487" spans="1:30" ht="409.5" hidden="1">
      <c r="A487" s="1" t="s">
        <v>965</v>
      </c>
      <c r="B487" s="1">
        <v>1486</v>
      </c>
      <c r="C487" s="1">
        <v>9</v>
      </c>
      <c r="D487" s="1">
        <v>19</v>
      </c>
      <c r="E487" s="1" t="s">
        <v>4290</v>
      </c>
      <c r="F487" s="1" t="s">
        <v>4302</v>
      </c>
      <c r="G487" s="1" t="s">
        <v>20</v>
      </c>
      <c r="H487" s="1" t="s">
        <v>2289</v>
      </c>
      <c r="I487" s="1" t="s">
        <v>2290</v>
      </c>
      <c r="J487" s="1" t="s">
        <v>2291</v>
      </c>
      <c r="K487" s="1" t="s">
        <v>2292</v>
      </c>
      <c r="L487" s="1" t="s">
        <v>2293</v>
      </c>
      <c r="M487" s="1" t="s">
        <v>2294</v>
      </c>
      <c r="N487" s="1"/>
      <c r="O487" s="1" t="s">
        <v>10</v>
      </c>
      <c r="P487" s="1" t="s">
        <v>4056</v>
      </c>
      <c r="Q487" s="1"/>
      <c r="R487" s="1"/>
      <c r="S487" s="1"/>
      <c r="T487" s="1">
        <v>1</v>
      </c>
      <c r="U487" s="1"/>
      <c r="V487" s="1"/>
      <c r="W487" s="1"/>
      <c r="X487" s="1"/>
      <c r="Y487" t="s">
        <v>10</v>
      </c>
      <c r="Z487" t="s">
        <v>4316</v>
      </c>
      <c r="AA487" t="s">
        <v>4317</v>
      </c>
      <c r="AB487" t="s">
        <v>5040</v>
      </c>
      <c r="AC487" t="s">
        <v>4567</v>
      </c>
      <c r="AD487" s="18">
        <v>46112</v>
      </c>
    </row>
    <row r="488" spans="1:30" ht="330" hidden="1">
      <c r="A488" s="1" t="s">
        <v>965</v>
      </c>
      <c r="B488" s="1">
        <v>1487</v>
      </c>
      <c r="C488" s="1">
        <v>9</v>
      </c>
      <c r="D488" s="1">
        <v>20</v>
      </c>
      <c r="E488" s="1" t="s">
        <v>4290</v>
      </c>
      <c r="F488" s="1" t="s">
        <v>4302</v>
      </c>
      <c r="G488" s="1" t="s">
        <v>4294</v>
      </c>
      <c r="H488" s="1" t="s">
        <v>805</v>
      </c>
      <c r="I488" s="1" t="s">
        <v>808</v>
      </c>
      <c r="J488" s="1" t="s">
        <v>810</v>
      </c>
      <c r="K488" s="1" t="s">
        <v>807</v>
      </c>
      <c r="L488" s="1" t="s">
        <v>809</v>
      </c>
      <c r="M488" s="1" t="s">
        <v>806</v>
      </c>
      <c r="N488" s="1"/>
      <c r="O488" s="1" t="s">
        <v>10</v>
      </c>
      <c r="P488" s="1" t="s">
        <v>4057</v>
      </c>
      <c r="Q488" s="1"/>
      <c r="R488" s="1"/>
      <c r="S488" s="1"/>
      <c r="T488" s="1"/>
      <c r="U488" s="1"/>
      <c r="V488" s="1"/>
      <c r="W488" s="1"/>
      <c r="X488" s="1" t="s">
        <v>4058</v>
      </c>
      <c r="Y488" t="s">
        <v>10</v>
      </c>
      <c r="Z488" t="s">
        <v>4316</v>
      </c>
      <c r="AA488" t="s">
        <v>4317</v>
      </c>
      <c r="AB488" t="s">
        <v>5041</v>
      </c>
      <c r="AD488" s="18">
        <v>46112</v>
      </c>
    </row>
    <row r="489" spans="1:30" ht="409.5" hidden="1">
      <c r="A489" s="1" t="s">
        <v>965</v>
      </c>
      <c r="B489" s="1">
        <v>1488</v>
      </c>
      <c r="C489" s="1">
        <v>9</v>
      </c>
      <c r="D489" s="1">
        <v>21</v>
      </c>
      <c r="E489" s="1" t="s">
        <v>4297</v>
      </c>
      <c r="F489" s="1" t="s">
        <v>4298</v>
      </c>
      <c r="G489" s="1" t="s">
        <v>20</v>
      </c>
      <c r="H489" s="1" t="s">
        <v>476</v>
      </c>
      <c r="I489" s="1" t="s">
        <v>153</v>
      </c>
      <c r="J489" s="1" t="s">
        <v>152</v>
      </c>
      <c r="K489" s="1" t="s">
        <v>154</v>
      </c>
      <c r="L489" s="1" t="s">
        <v>1441</v>
      </c>
      <c r="M489" s="1" t="s">
        <v>1437</v>
      </c>
      <c r="N489" s="1"/>
      <c r="O489" s="1" t="s">
        <v>10</v>
      </c>
      <c r="P489" s="1" t="s">
        <v>4059</v>
      </c>
      <c r="Q489" s="1"/>
      <c r="R489" s="1"/>
      <c r="S489" s="1"/>
      <c r="T489" s="1"/>
      <c r="U489" s="1"/>
      <c r="V489" s="1"/>
      <c r="W489" s="1"/>
      <c r="X489" s="1"/>
      <c r="Z489" t="s">
        <v>4386</v>
      </c>
      <c r="AB489" t="s">
        <v>5042</v>
      </c>
      <c r="AD489" s="18">
        <v>46112</v>
      </c>
    </row>
    <row r="490" spans="1:30" ht="405" hidden="1">
      <c r="A490" s="1" t="s">
        <v>965</v>
      </c>
      <c r="B490" s="1">
        <v>1489</v>
      </c>
      <c r="C490" s="1">
        <v>9</v>
      </c>
      <c r="D490" s="1">
        <v>22</v>
      </c>
      <c r="E490" s="1" t="s">
        <v>4297</v>
      </c>
      <c r="F490" s="1" t="s">
        <v>4300</v>
      </c>
      <c r="G490" s="1" t="s">
        <v>20</v>
      </c>
      <c r="H490" s="1" t="s">
        <v>746</v>
      </c>
      <c r="I490" s="1" t="s">
        <v>750</v>
      </c>
      <c r="J490" s="1" t="s">
        <v>748</v>
      </c>
      <c r="K490" s="1" t="s">
        <v>747</v>
      </c>
      <c r="L490" s="1" t="s">
        <v>749</v>
      </c>
      <c r="M490" s="1" t="s">
        <v>751</v>
      </c>
      <c r="N490" s="1"/>
      <c r="O490" s="1" t="s">
        <v>10</v>
      </c>
      <c r="P490" s="1" t="s">
        <v>4060</v>
      </c>
      <c r="Q490" s="1"/>
      <c r="R490" s="1"/>
      <c r="S490" s="1"/>
      <c r="T490" s="1"/>
      <c r="U490" s="1"/>
      <c r="V490" s="1"/>
      <c r="W490" s="1"/>
      <c r="X490" s="1"/>
      <c r="Y490" t="s">
        <v>10</v>
      </c>
      <c r="Z490" t="s">
        <v>4316</v>
      </c>
      <c r="AA490" t="s">
        <v>4317</v>
      </c>
      <c r="AB490" t="s">
        <v>5043</v>
      </c>
      <c r="AC490" t="s">
        <v>4344</v>
      </c>
      <c r="AD490" s="18">
        <v>46112</v>
      </c>
    </row>
    <row r="491" spans="1:30" ht="409.5">
      <c r="A491" s="1" t="s">
        <v>965</v>
      </c>
      <c r="B491" s="1">
        <v>1490</v>
      </c>
      <c r="C491" s="1">
        <v>9</v>
      </c>
      <c r="D491" s="1">
        <v>23</v>
      </c>
      <c r="E491" s="1" t="s">
        <v>4290</v>
      </c>
      <c r="F491" s="1" t="s">
        <v>4302</v>
      </c>
      <c r="G491" s="1" t="s">
        <v>20</v>
      </c>
      <c r="H491" s="1" t="s">
        <v>2284</v>
      </c>
      <c r="I491" s="1" t="s">
        <v>2285</v>
      </c>
      <c r="J491" s="1" t="s">
        <v>2286</v>
      </c>
      <c r="K491" s="1" t="s">
        <v>2287</v>
      </c>
      <c r="L491" s="1" t="s">
        <v>2288</v>
      </c>
      <c r="M491" s="1"/>
      <c r="N491" s="1"/>
      <c r="O491" s="1" t="s">
        <v>11</v>
      </c>
      <c r="P491" s="1" t="s">
        <v>4061</v>
      </c>
      <c r="Q491" s="1"/>
      <c r="R491" s="1"/>
      <c r="S491" s="1"/>
      <c r="T491" s="1">
        <v>1</v>
      </c>
      <c r="U491" s="1"/>
      <c r="V491" s="1"/>
      <c r="W491" s="1"/>
      <c r="X491" s="1"/>
      <c r="Y491" t="s">
        <v>8</v>
      </c>
      <c r="Z491" t="s">
        <v>4331</v>
      </c>
      <c r="AA491" t="s">
        <v>4332</v>
      </c>
      <c r="AB491" t="s">
        <v>5044</v>
      </c>
      <c r="AC491" t="s">
        <v>4844</v>
      </c>
      <c r="AD491" s="18">
        <v>46112</v>
      </c>
    </row>
    <row r="492" spans="1:30" ht="255" hidden="1">
      <c r="A492" s="1" t="s">
        <v>965</v>
      </c>
      <c r="B492" s="1">
        <v>1491</v>
      </c>
      <c r="C492" s="1">
        <v>9</v>
      </c>
      <c r="D492" s="1">
        <v>24</v>
      </c>
      <c r="E492" s="1" t="s">
        <v>4292</v>
      </c>
      <c r="F492" s="1" t="s">
        <v>4293</v>
      </c>
      <c r="G492" s="1" t="s">
        <v>20</v>
      </c>
      <c r="H492" s="1" t="s">
        <v>2289</v>
      </c>
      <c r="I492" s="1" t="s">
        <v>2290</v>
      </c>
      <c r="J492" s="1" t="s">
        <v>2291</v>
      </c>
      <c r="K492" s="1" t="s">
        <v>2292</v>
      </c>
      <c r="L492" s="1" t="s">
        <v>2293</v>
      </c>
      <c r="M492" s="1" t="s">
        <v>2294</v>
      </c>
      <c r="N492" s="1"/>
      <c r="O492" s="1" t="s">
        <v>10</v>
      </c>
      <c r="P492" s="1" t="s">
        <v>4062</v>
      </c>
      <c r="Q492" s="1"/>
      <c r="R492" s="1"/>
      <c r="S492" s="1"/>
      <c r="T492" s="1"/>
      <c r="U492" s="1">
        <v>1</v>
      </c>
      <c r="V492" s="1"/>
      <c r="W492" s="1"/>
      <c r="X492" s="1"/>
      <c r="Y492" t="s">
        <v>10</v>
      </c>
      <c r="Z492" t="s">
        <v>4316</v>
      </c>
      <c r="AA492" t="s">
        <v>4317</v>
      </c>
      <c r="AB492" t="s">
        <v>5133</v>
      </c>
      <c r="AC492" t="s">
        <v>5108</v>
      </c>
      <c r="AD492" s="18">
        <v>46113</v>
      </c>
    </row>
    <row r="493" spans="1:30" ht="375">
      <c r="A493" s="1" t="s">
        <v>965</v>
      </c>
      <c r="B493" s="1">
        <v>1492</v>
      </c>
      <c r="C493" s="1">
        <v>9</v>
      </c>
      <c r="D493" s="1">
        <v>25</v>
      </c>
      <c r="E493" s="1" t="s">
        <v>4292</v>
      </c>
      <c r="F493" s="1" t="s">
        <v>4293</v>
      </c>
      <c r="G493" s="1" t="s">
        <v>20</v>
      </c>
      <c r="H493" s="1" t="s">
        <v>2295</v>
      </c>
      <c r="I493" s="1" t="s">
        <v>2296</v>
      </c>
      <c r="J493" s="1" t="s">
        <v>2297</v>
      </c>
      <c r="K493" s="1" t="s">
        <v>2298</v>
      </c>
      <c r="L493" s="1" t="s">
        <v>2299</v>
      </c>
      <c r="M493" s="1" t="s">
        <v>2300</v>
      </c>
      <c r="N493" s="1"/>
      <c r="O493" s="1" t="s">
        <v>8</v>
      </c>
      <c r="P493" s="1" t="s">
        <v>4063</v>
      </c>
      <c r="Q493" s="1"/>
      <c r="R493" s="1"/>
      <c r="S493" s="1"/>
      <c r="T493" s="1">
        <v>1</v>
      </c>
      <c r="U493" s="1"/>
      <c r="V493" s="1"/>
      <c r="W493" s="1"/>
      <c r="X493" s="1"/>
      <c r="Y493" t="s">
        <v>10</v>
      </c>
      <c r="Z493" t="s">
        <v>4331</v>
      </c>
      <c r="AA493" t="s">
        <v>4332</v>
      </c>
      <c r="AB493" t="s">
        <v>5045</v>
      </c>
      <c r="AC493" t="s">
        <v>4823</v>
      </c>
      <c r="AD493" s="18">
        <v>46112</v>
      </c>
    </row>
    <row r="494" spans="1:30" ht="270">
      <c r="A494" s="1" t="s">
        <v>965</v>
      </c>
      <c r="B494" s="1">
        <v>1493</v>
      </c>
      <c r="C494" s="1">
        <v>9</v>
      </c>
      <c r="D494" s="1">
        <v>26</v>
      </c>
      <c r="E494" s="1" t="s">
        <v>4290</v>
      </c>
      <c r="F494" s="1" t="s">
        <v>4302</v>
      </c>
      <c r="G494" s="1" t="s">
        <v>4294</v>
      </c>
      <c r="H494" s="1" t="s">
        <v>2301</v>
      </c>
      <c r="I494" s="1" t="s">
        <v>2302</v>
      </c>
      <c r="J494" s="1" t="s">
        <v>2303</v>
      </c>
      <c r="K494" s="1" t="s">
        <v>2304</v>
      </c>
      <c r="L494" s="1" t="s">
        <v>2305</v>
      </c>
      <c r="M494" s="1" t="s">
        <v>2306</v>
      </c>
      <c r="N494" s="1"/>
      <c r="O494" s="1" t="s">
        <v>7</v>
      </c>
      <c r="P494" s="1" t="s">
        <v>4064</v>
      </c>
      <c r="Q494" s="1"/>
      <c r="R494" s="1"/>
      <c r="S494" s="1"/>
      <c r="T494" s="1"/>
      <c r="U494" s="1">
        <v>1</v>
      </c>
      <c r="V494" s="1"/>
      <c r="W494" s="1"/>
      <c r="X494" s="1"/>
      <c r="Y494" t="s">
        <v>11</v>
      </c>
      <c r="Z494" t="s">
        <v>4331</v>
      </c>
      <c r="AA494" t="s">
        <v>4332</v>
      </c>
      <c r="AB494" t="s">
        <v>5046</v>
      </c>
      <c r="AC494" t="s">
        <v>4817</v>
      </c>
      <c r="AD494" s="18">
        <v>46112</v>
      </c>
    </row>
    <row r="495" spans="1:30" ht="270" hidden="1">
      <c r="A495" s="1" t="s">
        <v>965</v>
      </c>
      <c r="B495" s="1">
        <v>1494</v>
      </c>
      <c r="C495" s="1">
        <v>9</v>
      </c>
      <c r="D495" s="1">
        <v>27</v>
      </c>
      <c r="E495" s="1" t="s">
        <v>4297</v>
      </c>
      <c r="F495" s="1" t="s">
        <v>4298</v>
      </c>
      <c r="G495" s="1" t="s">
        <v>40</v>
      </c>
      <c r="H495" s="1" t="s">
        <v>2307</v>
      </c>
      <c r="I495" s="1" t="s">
        <v>2308</v>
      </c>
      <c r="J495" s="1" t="s">
        <v>2309</v>
      </c>
      <c r="K495" s="1" t="s">
        <v>2310</v>
      </c>
      <c r="L495" s="1" t="s">
        <v>2311</v>
      </c>
      <c r="M495" s="1" t="s">
        <v>2312</v>
      </c>
      <c r="N495" s="1"/>
      <c r="O495" s="1" t="s">
        <v>8</v>
      </c>
      <c r="P495" s="1" t="s">
        <v>4065</v>
      </c>
      <c r="Q495" s="1"/>
      <c r="R495" s="1"/>
      <c r="S495" s="1"/>
      <c r="T495" s="1"/>
      <c r="U495" s="1">
        <v>1</v>
      </c>
      <c r="V495" s="1"/>
      <c r="W495" s="1"/>
      <c r="X495" s="1"/>
      <c r="Y495" t="s">
        <v>8</v>
      </c>
      <c r="Z495" t="s">
        <v>4316</v>
      </c>
      <c r="AA495" t="s">
        <v>4317</v>
      </c>
      <c r="AB495" t="s">
        <v>5047</v>
      </c>
      <c r="AC495" t="s">
        <v>4330</v>
      </c>
      <c r="AD495" s="18">
        <v>46112</v>
      </c>
    </row>
    <row r="496" spans="1:30" ht="409.5" hidden="1">
      <c r="A496" s="1" t="s">
        <v>965</v>
      </c>
      <c r="B496" s="1">
        <v>1495</v>
      </c>
      <c r="C496" s="1">
        <v>9</v>
      </c>
      <c r="D496" s="1">
        <v>28</v>
      </c>
      <c r="E496" s="1" t="s">
        <v>4292</v>
      </c>
      <c r="F496" s="1" t="s">
        <v>4303</v>
      </c>
      <c r="G496" s="1" t="s">
        <v>4294</v>
      </c>
      <c r="H496" s="1" t="s">
        <v>2313</v>
      </c>
      <c r="I496" s="1" t="s">
        <v>2314</v>
      </c>
      <c r="J496" s="1" t="s">
        <v>2315</v>
      </c>
      <c r="K496" s="1" t="s">
        <v>2316</v>
      </c>
      <c r="L496" s="1" t="s">
        <v>2317</v>
      </c>
      <c r="M496" s="1" t="s">
        <v>2318</v>
      </c>
      <c r="N496" s="1"/>
      <c r="O496" s="1" t="s">
        <v>7</v>
      </c>
      <c r="P496" s="1" t="s">
        <v>4066</v>
      </c>
      <c r="Q496" s="1"/>
      <c r="R496" s="1"/>
      <c r="S496" s="1"/>
      <c r="T496" s="1"/>
      <c r="U496" s="1">
        <v>1</v>
      </c>
      <c r="V496" s="1"/>
      <c r="W496" s="1"/>
      <c r="X496" s="1"/>
      <c r="Y496" t="s">
        <v>7</v>
      </c>
      <c r="Z496" t="s">
        <v>4316</v>
      </c>
      <c r="AA496" t="s">
        <v>4317</v>
      </c>
      <c r="AB496" t="s">
        <v>5048</v>
      </c>
      <c r="AC496" t="s">
        <v>4344</v>
      </c>
      <c r="AD496" s="18">
        <v>46112</v>
      </c>
    </row>
    <row r="497" spans="1:30" ht="409.5" hidden="1">
      <c r="A497" s="1" t="s">
        <v>965</v>
      </c>
      <c r="B497" s="1">
        <v>1496</v>
      </c>
      <c r="C497" s="1">
        <v>9</v>
      </c>
      <c r="D497" s="1">
        <v>29</v>
      </c>
      <c r="E497" s="1" t="s">
        <v>4305</v>
      </c>
      <c r="F497" s="1" t="s">
        <v>4307</v>
      </c>
      <c r="G497" s="1" t="s">
        <v>40</v>
      </c>
      <c r="H497" s="1" t="s">
        <v>2319</v>
      </c>
      <c r="I497" s="1" t="s">
        <v>2320</v>
      </c>
      <c r="J497" s="1" t="s">
        <v>2321</v>
      </c>
      <c r="K497" s="1" t="s">
        <v>2322</v>
      </c>
      <c r="L497" s="1" t="s">
        <v>2323</v>
      </c>
      <c r="M497" s="1" t="s">
        <v>2324</v>
      </c>
      <c r="N497" s="1"/>
      <c r="O497" s="1" t="s">
        <v>9</v>
      </c>
      <c r="P497" s="1" t="s">
        <v>4067</v>
      </c>
      <c r="Q497" s="1"/>
      <c r="R497" s="1"/>
      <c r="S497" s="1"/>
      <c r="T497" s="1">
        <v>1</v>
      </c>
      <c r="U497" s="1">
        <v>1</v>
      </c>
      <c r="V497" s="1"/>
      <c r="W497" s="1"/>
      <c r="X497" s="1"/>
      <c r="Y497" t="s">
        <v>9</v>
      </c>
      <c r="Z497" t="s">
        <v>4316</v>
      </c>
      <c r="AA497" t="s">
        <v>4317</v>
      </c>
      <c r="AB497" t="s">
        <v>5049</v>
      </c>
      <c r="AC497" t="s">
        <v>4865</v>
      </c>
      <c r="AD497" s="18">
        <v>46112</v>
      </c>
    </row>
    <row r="498" spans="1:30" ht="409.5" hidden="1">
      <c r="A498" s="1" t="s">
        <v>965</v>
      </c>
      <c r="B498" s="1">
        <v>1497</v>
      </c>
      <c r="C498" s="1">
        <v>9</v>
      </c>
      <c r="D498" s="1">
        <v>30</v>
      </c>
      <c r="E498" s="1" t="s">
        <v>4292</v>
      </c>
      <c r="F498" s="1" t="s">
        <v>4293</v>
      </c>
      <c r="G498" s="1" t="s">
        <v>20</v>
      </c>
      <c r="H498" s="1" t="s">
        <v>2325</v>
      </c>
      <c r="I498" s="1" t="s">
        <v>2326</v>
      </c>
      <c r="J498" s="1" t="s">
        <v>2327</v>
      </c>
      <c r="K498" s="1" t="s">
        <v>2328</v>
      </c>
      <c r="L498" s="1" t="s">
        <v>2329</v>
      </c>
      <c r="M498" s="1" t="s">
        <v>2330</v>
      </c>
      <c r="N498" s="1"/>
      <c r="O498" s="1" t="s">
        <v>9</v>
      </c>
      <c r="P498" s="1" t="s">
        <v>4068</v>
      </c>
      <c r="Q498" s="1"/>
      <c r="R498" s="1"/>
      <c r="S498" s="1"/>
      <c r="T498" s="1">
        <v>1</v>
      </c>
      <c r="U498" s="1">
        <v>1</v>
      </c>
      <c r="V498" s="1"/>
      <c r="W498" s="1"/>
      <c r="X498" s="1"/>
      <c r="Y498" t="s">
        <v>9</v>
      </c>
      <c r="Z498" t="s">
        <v>4316</v>
      </c>
      <c r="AA498" t="s">
        <v>4317</v>
      </c>
      <c r="AB498" t="s">
        <v>5050</v>
      </c>
      <c r="AC498" t="s">
        <v>4359</v>
      </c>
      <c r="AD498" s="18">
        <v>46112</v>
      </c>
    </row>
    <row r="499" spans="1:30" ht="409.5" hidden="1">
      <c r="A499" s="1" t="s">
        <v>965</v>
      </c>
      <c r="B499" s="1">
        <v>1498</v>
      </c>
      <c r="C499" s="1">
        <v>9</v>
      </c>
      <c r="D499" s="1">
        <v>31</v>
      </c>
      <c r="E499" s="1" t="s">
        <v>4292</v>
      </c>
      <c r="F499" s="1" t="s">
        <v>4293</v>
      </c>
      <c r="G499" s="1" t="s">
        <v>20</v>
      </c>
      <c r="H499" s="1" t="s">
        <v>2331</v>
      </c>
      <c r="I499" s="1" t="s">
        <v>2332</v>
      </c>
      <c r="J499" s="1" t="s">
        <v>2333</v>
      </c>
      <c r="K499" s="1" t="s">
        <v>2334</v>
      </c>
      <c r="L499" s="1" t="s">
        <v>2335</v>
      </c>
      <c r="M499" s="1" t="s">
        <v>2336</v>
      </c>
      <c r="N499" s="1"/>
      <c r="O499" s="1" t="s">
        <v>11</v>
      </c>
      <c r="P499" s="1" t="s">
        <v>4069</v>
      </c>
      <c r="Q499" s="1"/>
      <c r="R499" s="1"/>
      <c r="S499" s="1"/>
      <c r="T499" s="1"/>
      <c r="U499" s="1">
        <v>1</v>
      </c>
      <c r="V499" s="1"/>
      <c r="W499" s="1"/>
      <c r="X499" s="1"/>
      <c r="Y499" t="s">
        <v>11</v>
      </c>
      <c r="Z499" t="s">
        <v>4316</v>
      </c>
      <c r="AA499" t="s">
        <v>4317</v>
      </c>
      <c r="AB499" t="s">
        <v>5051</v>
      </c>
      <c r="AC499" t="s">
        <v>4999</v>
      </c>
      <c r="AD499" s="18">
        <v>46112</v>
      </c>
    </row>
    <row r="500" spans="1:30" ht="409.5" hidden="1">
      <c r="A500" s="1" t="s">
        <v>965</v>
      </c>
      <c r="B500" s="1">
        <v>1499</v>
      </c>
      <c r="C500" s="1">
        <v>9</v>
      </c>
      <c r="D500" s="1">
        <v>32</v>
      </c>
      <c r="E500" s="1" t="s">
        <v>4292</v>
      </c>
      <c r="F500" s="1" t="s">
        <v>4304</v>
      </c>
      <c r="G500" s="1" t="s">
        <v>40</v>
      </c>
      <c r="H500" s="1" t="s">
        <v>2337</v>
      </c>
      <c r="I500" s="1" t="s">
        <v>2338</v>
      </c>
      <c r="J500" s="1" t="s">
        <v>2339</v>
      </c>
      <c r="K500" s="1" t="s">
        <v>2340</v>
      </c>
      <c r="L500" s="1" t="s">
        <v>2341</v>
      </c>
      <c r="M500" s="1" t="s">
        <v>2342</v>
      </c>
      <c r="N500" s="1"/>
      <c r="O500" s="1" t="s">
        <v>8</v>
      </c>
      <c r="P500" s="1" t="s">
        <v>4070</v>
      </c>
      <c r="Q500" s="1"/>
      <c r="R500" s="1"/>
      <c r="S500" s="1"/>
      <c r="T500" s="1">
        <v>1</v>
      </c>
      <c r="U500" s="1"/>
      <c r="V500" s="1"/>
      <c r="W500" s="1"/>
      <c r="X500" s="1"/>
      <c r="Y500" t="s">
        <v>8</v>
      </c>
      <c r="Z500" t="s">
        <v>4316</v>
      </c>
      <c r="AA500" t="s">
        <v>4317</v>
      </c>
      <c r="AB500" t="s">
        <v>5052</v>
      </c>
      <c r="AC500" t="s">
        <v>5053</v>
      </c>
      <c r="AD500" s="18">
        <v>46112</v>
      </c>
    </row>
    <row r="501" spans="1:30" ht="409.5" hidden="1">
      <c r="A501" s="1" t="s">
        <v>965</v>
      </c>
      <c r="B501" s="1">
        <v>1500</v>
      </c>
      <c r="C501" s="1">
        <v>9</v>
      </c>
      <c r="D501" s="1">
        <v>33</v>
      </c>
      <c r="E501" s="1" t="s">
        <v>4290</v>
      </c>
      <c r="F501" s="1" t="s">
        <v>4302</v>
      </c>
      <c r="G501" s="1" t="s">
        <v>4294</v>
      </c>
      <c r="H501" s="1" t="s">
        <v>2343</v>
      </c>
      <c r="I501" s="1" t="s">
        <v>1715</v>
      </c>
      <c r="J501" s="1" t="s">
        <v>2344</v>
      </c>
      <c r="K501" s="1" t="s">
        <v>1802</v>
      </c>
      <c r="L501" s="1" t="s">
        <v>1716</v>
      </c>
      <c r="M501" s="1" t="s">
        <v>1717</v>
      </c>
      <c r="N501" s="1"/>
      <c r="O501" s="1" t="s">
        <v>9</v>
      </c>
      <c r="P501" s="1" t="s">
        <v>4071</v>
      </c>
      <c r="Q501" s="1"/>
      <c r="R501" s="1"/>
      <c r="S501" s="1"/>
      <c r="T501" s="1"/>
      <c r="U501" s="1">
        <v>1</v>
      </c>
      <c r="V501" s="1"/>
      <c r="W501" s="1"/>
      <c r="X501" s="1"/>
      <c r="Y501" t="s">
        <v>9</v>
      </c>
      <c r="Z501" t="s">
        <v>4316</v>
      </c>
      <c r="AA501" t="s">
        <v>4317</v>
      </c>
      <c r="AB501" t="s">
        <v>5054</v>
      </c>
      <c r="AC501" t="s">
        <v>4567</v>
      </c>
      <c r="AD501" s="18">
        <v>46112</v>
      </c>
    </row>
    <row r="502" spans="1:30" ht="409.5" hidden="1">
      <c r="A502" s="1" t="s">
        <v>965</v>
      </c>
      <c r="B502" s="1">
        <v>1501</v>
      </c>
      <c r="C502" s="1">
        <v>9</v>
      </c>
      <c r="D502" s="1">
        <v>34</v>
      </c>
      <c r="E502" s="1" t="s">
        <v>4305</v>
      </c>
      <c r="F502" s="1" t="s">
        <v>4306</v>
      </c>
      <c r="G502" s="1" t="s">
        <v>40</v>
      </c>
      <c r="H502" s="1" t="s">
        <v>2345</v>
      </c>
      <c r="I502" s="1" t="s">
        <v>2346</v>
      </c>
      <c r="J502" s="1" t="s">
        <v>2347</v>
      </c>
      <c r="K502" s="1" t="s">
        <v>2348</v>
      </c>
      <c r="L502" s="1" t="s">
        <v>2349</v>
      </c>
      <c r="M502" s="1" t="s">
        <v>2350</v>
      </c>
      <c r="N502" s="1"/>
      <c r="O502" s="1" t="s">
        <v>9</v>
      </c>
      <c r="P502" s="1" t="s">
        <v>4072</v>
      </c>
      <c r="Q502" s="1"/>
      <c r="R502" s="1"/>
      <c r="S502" s="1"/>
      <c r="T502" s="1"/>
      <c r="U502" s="1">
        <v>1</v>
      </c>
      <c r="V502" s="1"/>
      <c r="W502" s="1"/>
      <c r="X502" s="1"/>
      <c r="Y502" t="s">
        <v>9</v>
      </c>
      <c r="Z502" t="s">
        <v>4316</v>
      </c>
      <c r="AA502" t="s">
        <v>4317</v>
      </c>
      <c r="AB502" t="s">
        <v>5072</v>
      </c>
      <c r="AC502" t="s">
        <v>4392</v>
      </c>
      <c r="AD502" s="18">
        <v>46113</v>
      </c>
    </row>
    <row r="503" spans="1:30" ht="120" hidden="1">
      <c r="A503" s="1" t="s">
        <v>965</v>
      </c>
      <c r="B503" s="1">
        <v>1502</v>
      </c>
      <c r="C503" s="1">
        <v>9</v>
      </c>
      <c r="D503" s="1">
        <v>35</v>
      </c>
      <c r="E503" s="1" t="s">
        <v>4297</v>
      </c>
      <c r="F503" s="1" t="s">
        <v>4299</v>
      </c>
      <c r="G503" s="1" t="s">
        <v>20</v>
      </c>
      <c r="H503" s="1" t="s">
        <v>2351</v>
      </c>
      <c r="I503" s="1" t="s">
        <v>2352</v>
      </c>
      <c r="J503" s="1" t="s">
        <v>2353</v>
      </c>
      <c r="K503" s="1" t="s">
        <v>2354</v>
      </c>
      <c r="L503" s="1" t="s">
        <v>2355</v>
      </c>
      <c r="M503" s="1" t="s">
        <v>2356</v>
      </c>
      <c r="N503" s="1"/>
      <c r="O503" s="1" t="s">
        <v>9</v>
      </c>
      <c r="P503" s="1" t="s">
        <v>4073</v>
      </c>
      <c r="Q503" s="1"/>
      <c r="R503" s="1"/>
      <c r="S503" s="1"/>
      <c r="T503" s="1">
        <v>1</v>
      </c>
      <c r="U503" s="1"/>
      <c r="V503" s="1"/>
      <c r="W503" s="1"/>
      <c r="X503" s="1"/>
      <c r="Y503" t="s">
        <v>9</v>
      </c>
      <c r="Z503" t="s">
        <v>4316</v>
      </c>
      <c r="AA503" t="s">
        <v>4317</v>
      </c>
      <c r="AB503" t="s">
        <v>5073</v>
      </c>
      <c r="AC503" t="s">
        <v>4336</v>
      </c>
      <c r="AD503" s="18">
        <v>46113</v>
      </c>
    </row>
    <row r="504" spans="1:30" ht="285" hidden="1">
      <c r="A504" s="1" t="s">
        <v>965</v>
      </c>
      <c r="B504" s="1">
        <v>1503</v>
      </c>
      <c r="C504" s="1">
        <v>9</v>
      </c>
      <c r="D504" s="1">
        <v>36</v>
      </c>
      <c r="E504" s="1" t="s">
        <v>4297</v>
      </c>
      <c r="F504" s="1" t="s">
        <v>4298</v>
      </c>
      <c r="G504" s="1" t="s">
        <v>20</v>
      </c>
      <c r="H504" s="1" t="s">
        <v>2357</v>
      </c>
      <c r="I504" s="1" t="s">
        <v>2358</v>
      </c>
      <c r="J504" s="1" t="s">
        <v>2359</v>
      </c>
      <c r="K504" s="1" t="s">
        <v>2360</v>
      </c>
      <c r="L504" s="1" t="s">
        <v>2361</v>
      </c>
      <c r="M504" s="1" t="s">
        <v>2362</v>
      </c>
      <c r="N504" s="1"/>
      <c r="O504" s="1" t="s">
        <v>10</v>
      </c>
      <c r="P504" s="1" t="s">
        <v>4074</v>
      </c>
      <c r="Q504" s="1"/>
      <c r="R504" s="1"/>
      <c r="S504" s="1"/>
      <c r="T504" s="1">
        <v>1</v>
      </c>
      <c r="U504" s="1"/>
      <c r="V504" s="1"/>
      <c r="W504" s="1">
        <v>1</v>
      </c>
      <c r="X504" s="1"/>
      <c r="Y504" t="s">
        <v>10</v>
      </c>
      <c r="Z504" t="s">
        <v>4316</v>
      </c>
      <c r="AA504" t="s">
        <v>4317</v>
      </c>
      <c r="AB504" t="s">
        <v>5074</v>
      </c>
      <c r="AC504" t="s">
        <v>4844</v>
      </c>
      <c r="AD504" s="18">
        <v>46113</v>
      </c>
    </row>
    <row r="505" spans="1:30" ht="409.5" hidden="1">
      <c r="A505" s="1" t="s">
        <v>965</v>
      </c>
      <c r="B505" s="1">
        <v>1504</v>
      </c>
      <c r="C505" s="1">
        <v>9</v>
      </c>
      <c r="D505" s="1">
        <v>37</v>
      </c>
      <c r="E505" s="1" t="s">
        <v>4290</v>
      </c>
      <c r="F505" s="1" t="s">
        <v>4302</v>
      </c>
      <c r="G505" s="1" t="s">
        <v>20</v>
      </c>
      <c r="H505" s="1" t="s">
        <v>2363</v>
      </c>
      <c r="I505" s="1" t="s">
        <v>3766</v>
      </c>
      <c r="J505" s="1" t="s">
        <v>3767</v>
      </c>
      <c r="K505" s="1" t="s">
        <v>3768</v>
      </c>
      <c r="L505" s="1" t="s">
        <v>3769</v>
      </c>
      <c r="M505" s="1" t="s">
        <v>3770</v>
      </c>
      <c r="N505" s="1"/>
      <c r="O505" s="1" t="s">
        <v>9</v>
      </c>
      <c r="P505" s="1" t="s">
        <v>4075</v>
      </c>
      <c r="Q505" s="1"/>
      <c r="R505" s="1"/>
      <c r="S505" s="1"/>
      <c r="T505" s="1"/>
      <c r="U505" s="1">
        <v>1</v>
      </c>
      <c r="V505" s="1"/>
      <c r="W505" s="1"/>
      <c r="X505" s="1"/>
      <c r="Y505" t="s">
        <v>9</v>
      </c>
      <c r="Z505" t="s">
        <v>4316</v>
      </c>
      <c r="AA505" t="s">
        <v>4317</v>
      </c>
      <c r="AB505" t="s">
        <v>5075</v>
      </c>
      <c r="AC505" t="s">
        <v>4371</v>
      </c>
      <c r="AD505" s="18">
        <v>46113</v>
      </c>
    </row>
    <row r="506" spans="1:30" ht="75">
      <c r="A506" s="1" t="s">
        <v>965</v>
      </c>
      <c r="B506" s="1">
        <v>1505</v>
      </c>
      <c r="C506" s="1">
        <v>9</v>
      </c>
      <c r="D506" s="1">
        <v>38</v>
      </c>
      <c r="E506" s="1" t="s">
        <v>4292</v>
      </c>
      <c r="F506" s="1" t="s">
        <v>4303</v>
      </c>
      <c r="G506" s="1" t="s">
        <v>20</v>
      </c>
      <c r="H506" s="1" t="s">
        <v>2364</v>
      </c>
      <c r="I506" s="1" t="s">
        <v>2365</v>
      </c>
      <c r="J506" s="1" t="s">
        <v>2366</v>
      </c>
      <c r="K506" s="1" t="s">
        <v>2367</v>
      </c>
      <c r="L506" s="1" t="s">
        <v>2368</v>
      </c>
      <c r="M506" s="1" t="s">
        <v>2369</v>
      </c>
      <c r="N506" s="1"/>
      <c r="O506" s="1" t="s">
        <v>9</v>
      </c>
      <c r="P506" s="1" t="s">
        <v>4076</v>
      </c>
      <c r="Q506" s="1"/>
      <c r="R506" s="1"/>
      <c r="S506" s="1"/>
      <c r="T506" s="1">
        <v>1</v>
      </c>
      <c r="U506" s="1"/>
      <c r="V506" s="1"/>
      <c r="W506" s="1">
        <v>1</v>
      </c>
      <c r="X506" s="1"/>
      <c r="Y506" t="s">
        <v>10</v>
      </c>
      <c r="Z506" t="s">
        <v>4331</v>
      </c>
      <c r="AA506" t="s">
        <v>4332</v>
      </c>
      <c r="AB506" t="s">
        <v>5076</v>
      </c>
      <c r="AC506" t="s">
        <v>5077</v>
      </c>
      <c r="AD506" s="18">
        <v>46113</v>
      </c>
    </row>
    <row r="507" spans="1:30" ht="409.5">
      <c r="A507" s="1" t="s">
        <v>965</v>
      </c>
      <c r="B507" s="1">
        <v>1506</v>
      </c>
      <c r="C507" s="1">
        <v>9</v>
      </c>
      <c r="D507" s="1">
        <v>39</v>
      </c>
      <c r="E507" s="1" t="s">
        <v>4297</v>
      </c>
      <c r="F507" s="1" t="s">
        <v>4298</v>
      </c>
      <c r="G507" s="1" t="s">
        <v>4294</v>
      </c>
      <c r="H507" s="1" t="s">
        <v>3589</v>
      </c>
      <c r="I507" s="1">
        <v>3</v>
      </c>
      <c r="J507" s="1">
        <v>2</v>
      </c>
      <c r="K507" s="1">
        <v>1</v>
      </c>
      <c r="L507" s="1" t="s">
        <v>3590</v>
      </c>
      <c r="M507" s="1"/>
      <c r="N507" s="1"/>
      <c r="O507" s="1" t="s">
        <v>10</v>
      </c>
      <c r="P507" s="1" t="s">
        <v>4077</v>
      </c>
      <c r="Q507" s="1"/>
      <c r="R507" s="1"/>
      <c r="S507" s="1"/>
      <c r="T507" s="1">
        <v>1</v>
      </c>
      <c r="U507" s="1"/>
      <c r="V507" s="1"/>
      <c r="W507" s="1"/>
      <c r="X507" s="1"/>
      <c r="Y507" t="s">
        <v>7</v>
      </c>
      <c r="Z507" t="s">
        <v>4331</v>
      </c>
      <c r="AA507" t="s">
        <v>4332</v>
      </c>
      <c r="AB507" t="s">
        <v>5078</v>
      </c>
      <c r="AC507" t="s">
        <v>5079</v>
      </c>
      <c r="AD507" s="18">
        <v>46113</v>
      </c>
    </row>
    <row r="508" spans="1:30" ht="409.5">
      <c r="A508" s="1" t="s">
        <v>965</v>
      </c>
      <c r="B508" s="1">
        <v>1507</v>
      </c>
      <c r="C508" s="1">
        <v>9</v>
      </c>
      <c r="D508" s="1">
        <v>40</v>
      </c>
      <c r="E508" s="1" t="s">
        <v>4297</v>
      </c>
      <c r="F508" s="1" t="s">
        <v>4298</v>
      </c>
      <c r="G508" s="1" t="s">
        <v>4294</v>
      </c>
      <c r="H508" s="1" t="s">
        <v>3596</v>
      </c>
      <c r="I508" s="1" t="s">
        <v>3591</v>
      </c>
      <c r="J508" s="1" t="s">
        <v>3592</v>
      </c>
      <c r="K508" s="1" t="s">
        <v>3593</v>
      </c>
      <c r="L508" s="1" t="s">
        <v>3594</v>
      </c>
      <c r="M508" s="1" t="s">
        <v>3595</v>
      </c>
      <c r="N508" s="1"/>
      <c r="O508" s="1" t="s">
        <v>7</v>
      </c>
      <c r="P508" s="1" t="s">
        <v>4078</v>
      </c>
      <c r="Q508" s="1"/>
      <c r="R508" s="1"/>
      <c r="S508" s="1"/>
      <c r="T508" s="1"/>
      <c r="U508" s="1">
        <v>1</v>
      </c>
      <c r="V508" s="1"/>
      <c r="W508" s="1"/>
      <c r="X508" s="1"/>
      <c r="Y508" t="s">
        <v>11</v>
      </c>
      <c r="Z508" t="s">
        <v>4331</v>
      </c>
      <c r="AA508" t="s">
        <v>4332</v>
      </c>
      <c r="AB508" t="s">
        <v>5080</v>
      </c>
      <c r="AC508" t="s">
        <v>5081</v>
      </c>
      <c r="AD508" s="18">
        <v>46113</v>
      </c>
    </row>
    <row r="509" spans="1:30" ht="409.5" hidden="1">
      <c r="A509" s="1" t="s">
        <v>965</v>
      </c>
      <c r="B509" s="1">
        <v>1508</v>
      </c>
      <c r="C509" s="1">
        <v>9</v>
      </c>
      <c r="D509" s="1">
        <v>41</v>
      </c>
      <c r="E509" s="1" t="s">
        <v>4297</v>
      </c>
      <c r="F509" s="1" t="s">
        <v>4298</v>
      </c>
      <c r="G509" s="1" t="s">
        <v>20</v>
      </c>
      <c r="H509" s="1" t="s">
        <v>2370</v>
      </c>
      <c r="I509" s="1" t="s">
        <v>2371</v>
      </c>
      <c r="J509" s="1" t="s">
        <v>2372</v>
      </c>
      <c r="K509" s="1" t="s">
        <v>2373</v>
      </c>
      <c r="L509" s="1" t="s">
        <v>2374</v>
      </c>
      <c r="M509" s="1" t="s">
        <v>2375</v>
      </c>
      <c r="N509" s="1"/>
      <c r="O509" s="1" t="s">
        <v>9</v>
      </c>
      <c r="P509" s="1" t="s">
        <v>4079</v>
      </c>
      <c r="Q509" s="1"/>
      <c r="R509" s="1"/>
      <c r="S509" s="1"/>
      <c r="T509" s="1">
        <v>1</v>
      </c>
      <c r="U509" s="1"/>
      <c r="V509" s="1"/>
      <c r="W509" s="1"/>
      <c r="X509" s="1"/>
      <c r="Y509" t="s">
        <v>9</v>
      </c>
      <c r="Z509" t="s">
        <v>4316</v>
      </c>
      <c r="AA509" t="s">
        <v>4317</v>
      </c>
      <c r="AB509" t="s">
        <v>5082</v>
      </c>
      <c r="AC509" t="s">
        <v>4327</v>
      </c>
      <c r="AD509" s="18">
        <v>46113</v>
      </c>
    </row>
    <row r="510" spans="1:30" ht="409.5" hidden="1">
      <c r="A510" s="1" t="s">
        <v>965</v>
      </c>
      <c r="B510" s="1">
        <v>1509</v>
      </c>
      <c r="C510" s="1">
        <v>9</v>
      </c>
      <c r="D510" s="1">
        <v>42</v>
      </c>
      <c r="E510" s="1" t="s">
        <v>4297</v>
      </c>
      <c r="F510" s="1" t="s">
        <v>4300</v>
      </c>
      <c r="G510" s="1" t="s">
        <v>20</v>
      </c>
      <c r="H510" s="1" t="s">
        <v>2376</v>
      </c>
      <c r="I510" s="1" t="s">
        <v>3771</v>
      </c>
      <c r="J510" s="1" t="s">
        <v>3772</v>
      </c>
      <c r="K510" s="1" t="s">
        <v>3773</v>
      </c>
      <c r="L510" s="1" t="s">
        <v>3774</v>
      </c>
      <c r="M510" s="1"/>
      <c r="N510" s="1"/>
      <c r="O510" s="1" t="s">
        <v>9</v>
      </c>
      <c r="P510" s="1" t="s">
        <v>4080</v>
      </c>
      <c r="Q510" s="1"/>
      <c r="R510" s="1"/>
      <c r="S510" s="1"/>
      <c r="T510" s="1"/>
      <c r="U510" s="1">
        <v>1</v>
      </c>
      <c r="V510" s="1"/>
      <c r="W510" s="1"/>
      <c r="X510" s="1"/>
      <c r="Y510" t="s">
        <v>9</v>
      </c>
      <c r="Z510" t="s">
        <v>4316</v>
      </c>
      <c r="AA510" t="s">
        <v>4317</v>
      </c>
      <c r="AB510" t="s">
        <v>5083</v>
      </c>
      <c r="AD510" s="18">
        <v>46113</v>
      </c>
    </row>
    <row r="511" spans="1:30" ht="390" hidden="1">
      <c r="A511" s="1" t="s">
        <v>965</v>
      </c>
      <c r="B511" s="1">
        <v>1510</v>
      </c>
      <c r="C511" s="1">
        <v>9</v>
      </c>
      <c r="D511" s="1">
        <v>43</v>
      </c>
      <c r="E511" s="1" t="s">
        <v>4292</v>
      </c>
      <c r="F511" s="1" t="s">
        <v>4303</v>
      </c>
      <c r="G511" s="1" t="s">
        <v>20</v>
      </c>
      <c r="H511" s="1" t="s">
        <v>2377</v>
      </c>
      <c r="I511" s="1" t="s">
        <v>2378</v>
      </c>
      <c r="J511" s="1" t="s">
        <v>2379</v>
      </c>
      <c r="K511" s="1" t="s">
        <v>2380</v>
      </c>
      <c r="L511" s="1" t="s">
        <v>2381</v>
      </c>
      <c r="M511" s="1" t="s">
        <v>2382</v>
      </c>
      <c r="N511" s="1"/>
      <c r="O511" s="1" t="s">
        <v>11</v>
      </c>
      <c r="P511" s="1" t="s">
        <v>4081</v>
      </c>
      <c r="Q511" s="1"/>
      <c r="R511" s="1"/>
      <c r="S511" s="1"/>
      <c r="T511" s="1">
        <v>1</v>
      </c>
      <c r="U511" s="1"/>
      <c r="V511" s="1"/>
      <c r="W511" s="1"/>
      <c r="X511" s="1" t="s">
        <v>4082</v>
      </c>
      <c r="Y511" t="s">
        <v>11</v>
      </c>
      <c r="Z511" t="s">
        <v>4316</v>
      </c>
      <c r="AA511" t="s">
        <v>4317</v>
      </c>
      <c r="AB511" t="s">
        <v>5084</v>
      </c>
      <c r="AD511" s="18">
        <v>46113</v>
      </c>
    </row>
    <row r="512" spans="1:30" ht="409.5" hidden="1">
      <c r="A512" s="1" t="s">
        <v>965</v>
      </c>
      <c r="B512" s="1">
        <v>1511</v>
      </c>
      <c r="C512" s="1">
        <v>9</v>
      </c>
      <c r="D512" s="1">
        <v>44</v>
      </c>
      <c r="E512" s="1" t="s">
        <v>4295</v>
      </c>
      <c r="F512" s="1" t="s">
        <v>4296</v>
      </c>
      <c r="G512" s="1" t="s">
        <v>20</v>
      </c>
      <c r="H512" s="1" t="s">
        <v>2383</v>
      </c>
      <c r="I512" s="1" t="s">
        <v>2384</v>
      </c>
      <c r="J512" s="1" t="s">
        <v>2385</v>
      </c>
      <c r="K512" s="1" t="s">
        <v>2386</v>
      </c>
      <c r="L512" s="1" t="s">
        <v>2387</v>
      </c>
      <c r="M512" s="1" t="s">
        <v>2388</v>
      </c>
      <c r="N512" s="1" t="s">
        <v>2389</v>
      </c>
      <c r="O512" s="1" t="s">
        <v>9</v>
      </c>
      <c r="P512" s="1" t="s">
        <v>4083</v>
      </c>
      <c r="Q512" s="1"/>
      <c r="R512" s="1"/>
      <c r="S512" s="1"/>
      <c r="T512" s="1">
        <v>1</v>
      </c>
      <c r="U512" s="1">
        <v>1</v>
      </c>
      <c r="V512" s="1"/>
      <c r="W512" s="1"/>
      <c r="X512" s="1"/>
      <c r="Y512" t="s">
        <v>9</v>
      </c>
      <c r="Z512" t="s">
        <v>4316</v>
      </c>
      <c r="AA512" t="s">
        <v>4317</v>
      </c>
      <c r="AB512" t="s">
        <v>5085</v>
      </c>
      <c r="AC512" t="s">
        <v>4346</v>
      </c>
      <c r="AD512" s="18">
        <v>46113</v>
      </c>
    </row>
    <row r="513" spans="1:30" ht="360" hidden="1">
      <c r="A513" s="1" t="s">
        <v>965</v>
      </c>
      <c r="B513" s="1">
        <v>1512</v>
      </c>
      <c r="C513" s="1">
        <v>9</v>
      </c>
      <c r="D513" s="1">
        <v>45</v>
      </c>
      <c r="E513" s="1" t="s">
        <v>4290</v>
      </c>
      <c r="F513" s="1" t="s">
        <v>4302</v>
      </c>
      <c r="G513" s="1" t="s">
        <v>20</v>
      </c>
      <c r="H513" s="1" t="s">
        <v>2390</v>
      </c>
      <c r="I513" s="1" t="s">
        <v>3775</v>
      </c>
      <c r="J513" s="1" t="s">
        <v>3776</v>
      </c>
      <c r="K513" s="1" t="s">
        <v>3777</v>
      </c>
      <c r="L513" s="1" t="s">
        <v>3778</v>
      </c>
      <c r="M513" s="1" t="s">
        <v>3779</v>
      </c>
      <c r="N513" s="1"/>
      <c r="O513" s="1" t="s">
        <v>10</v>
      </c>
      <c r="P513" s="1" t="s">
        <v>4084</v>
      </c>
      <c r="Q513" s="1"/>
      <c r="R513" s="1"/>
      <c r="S513" s="1"/>
      <c r="T513" s="1"/>
      <c r="U513" s="1">
        <v>1</v>
      </c>
      <c r="V513" s="1"/>
      <c r="W513" s="1"/>
      <c r="X513" s="1"/>
      <c r="Y513" t="s">
        <v>10</v>
      </c>
      <c r="Z513" t="s">
        <v>4316</v>
      </c>
      <c r="AA513" t="s">
        <v>4317</v>
      </c>
      <c r="AB513" t="s">
        <v>5086</v>
      </c>
      <c r="AC513" t="s">
        <v>4875</v>
      </c>
      <c r="AD513" s="18">
        <v>46113</v>
      </c>
    </row>
    <row r="514" spans="1:30" ht="409.5">
      <c r="A514" s="1" t="s">
        <v>965</v>
      </c>
      <c r="B514" s="1">
        <v>1513</v>
      </c>
      <c r="C514" s="1">
        <v>9</v>
      </c>
      <c r="D514" s="1">
        <v>46</v>
      </c>
      <c r="E514" s="1" t="s">
        <v>4295</v>
      </c>
      <c r="F514" s="1" t="s">
        <v>4296</v>
      </c>
      <c r="G514" s="1" t="s">
        <v>4294</v>
      </c>
      <c r="H514" s="1" t="s">
        <v>2391</v>
      </c>
      <c r="I514" s="1" t="s">
        <v>2392</v>
      </c>
      <c r="J514" s="1" t="s">
        <v>2393</v>
      </c>
      <c r="K514" s="1" t="s">
        <v>2394</v>
      </c>
      <c r="L514" s="1" t="s">
        <v>2395</v>
      </c>
      <c r="M514" s="1" t="s">
        <v>2396</v>
      </c>
      <c r="N514" s="1"/>
      <c r="O514" s="1" t="s">
        <v>10</v>
      </c>
      <c r="P514" s="1" t="s">
        <v>4085</v>
      </c>
      <c r="Q514" s="1"/>
      <c r="R514" s="1"/>
      <c r="S514" s="1"/>
      <c r="T514" s="1">
        <v>1</v>
      </c>
      <c r="U514" s="1"/>
      <c r="V514" s="1"/>
      <c r="W514" s="1"/>
      <c r="X514" s="1"/>
      <c r="Y514" t="s">
        <v>7</v>
      </c>
      <c r="Z514" t="s">
        <v>4331</v>
      </c>
      <c r="AA514" t="s">
        <v>4332</v>
      </c>
      <c r="AB514" t="s">
        <v>5087</v>
      </c>
      <c r="AC514" t="s">
        <v>4875</v>
      </c>
      <c r="AD514" s="18">
        <v>46113</v>
      </c>
    </row>
    <row r="515" spans="1:30" ht="409.5" hidden="1">
      <c r="A515" s="1" t="s">
        <v>965</v>
      </c>
      <c r="B515" s="1">
        <v>1514</v>
      </c>
      <c r="C515" s="1">
        <v>9</v>
      </c>
      <c r="D515" s="1">
        <v>47</v>
      </c>
      <c r="E515" s="1" t="s">
        <v>4290</v>
      </c>
      <c r="F515" s="1" t="s">
        <v>4291</v>
      </c>
      <c r="G515" s="1" t="s">
        <v>4294</v>
      </c>
      <c r="H515" s="1" t="s">
        <v>2397</v>
      </c>
      <c r="I515" s="1" t="s">
        <v>1744</v>
      </c>
      <c r="J515" s="1" t="s">
        <v>1745</v>
      </c>
      <c r="K515" s="1" t="s">
        <v>1746</v>
      </c>
      <c r="L515" s="1" t="s">
        <v>1748</v>
      </c>
      <c r="M515" s="1" t="s">
        <v>1747</v>
      </c>
      <c r="N515" s="1"/>
      <c r="O515" s="1" t="s">
        <v>7</v>
      </c>
      <c r="P515" s="1" t="s">
        <v>4086</v>
      </c>
      <c r="Q515" s="1"/>
      <c r="R515" s="1"/>
      <c r="S515" s="1"/>
      <c r="T515" s="1"/>
      <c r="U515" s="1"/>
      <c r="V515" s="1"/>
      <c r="W515" s="1"/>
      <c r="X515" s="1"/>
      <c r="Y515" t="s">
        <v>9</v>
      </c>
      <c r="Z515" t="s">
        <v>4316</v>
      </c>
      <c r="AA515" t="s">
        <v>4332</v>
      </c>
      <c r="AB515" t="s">
        <v>5088</v>
      </c>
      <c r="AC515" t="s">
        <v>4811</v>
      </c>
      <c r="AD515" s="18">
        <v>46113</v>
      </c>
    </row>
    <row r="516" spans="1:30" ht="409.5">
      <c r="A516" s="1" t="s">
        <v>965</v>
      </c>
      <c r="B516" s="1">
        <v>1515</v>
      </c>
      <c r="C516" s="1">
        <v>9</v>
      </c>
      <c r="D516" s="1">
        <v>48</v>
      </c>
      <c r="E516" s="1" t="s">
        <v>4290</v>
      </c>
      <c r="F516" s="1" t="s">
        <v>4291</v>
      </c>
      <c r="G516" s="1" t="s">
        <v>20</v>
      </c>
      <c r="H516" s="1" t="s">
        <v>2398</v>
      </c>
      <c r="I516" s="1" t="s">
        <v>2399</v>
      </c>
      <c r="J516" s="1" t="s">
        <v>2400</v>
      </c>
      <c r="K516" s="1" t="s">
        <v>2401</v>
      </c>
      <c r="L516" s="1" t="s">
        <v>2402</v>
      </c>
      <c r="M516" s="1" t="s">
        <v>2403</v>
      </c>
      <c r="N516" s="1"/>
      <c r="O516" s="1" t="s">
        <v>9</v>
      </c>
      <c r="P516" s="1" t="s">
        <v>4087</v>
      </c>
      <c r="Q516" s="1"/>
      <c r="R516" s="1"/>
      <c r="S516" s="1"/>
      <c r="T516" s="1"/>
      <c r="U516" s="1">
        <v>1</v>
      </c>
      <c r="V516" s="1"/>
      <c r="W516" s="1"/>
      <c r="X516" s="1"/>
      <c r="Y516" t="s">
        <v>10</v>
      </c>
      <c r="Z516" t="s">
        <v>4331</v>
      </c>
      <c r="AA516" t="s">
        <v>4332</v>
      </c>
      <c r="AB516" t="s">
        <v>5089</v>
      </c>
      <c r="AC516" t="s">
        <v>4402</v>
      </c>
      <c r="AD516" s="18">
        <v>46113</v>
      </c>
    </row>
    <row r="517" spans="1:30" ht="409.5" hidden="1">
      <c r="A517" s="1" t="s">
        <v>965</v>
      </c>
      <c r="B517" s="1">
        <v>1516</v>
      </c>
      <c r="C517" s="1">
        <v>9</v>
      </c>
      <c r="D517" s="1">
        <v>49</v>
      </c>
      <c r="E517" s="1" t="s">
        <v>4297</v>
      </c>
      <c r="F517" s="1" t="s">
        <v>4301</v>
      </c>
      <c r="G517" s="1" t="s">
        <v>4294</v>
      </c>
      <c r="H517" s="1" t="s">
        <v>2404</v>
      </c>
      <c r="I517" s="1" t="s">
        <v>2405</v>
      </c>
      <c r="J517" s="1" t="s">
        <v>2406</v>
      </c>
      <c r="K517" s="1" t="s">
        <v>2407</v>
      </c>
      <c r="L517" s="1" t="s">
        <v>2408</v>
      </c>
      <c r="M517" s="1" t="s">
        <v>2409</v>
      </c>
      <c r="N517" s="1"/>
      <c r="O517" s="1" t="s">
        <v>9</v>
      </c>
      <c r="P517" s="1" t="s">
        <v>4088</v>
      </c>
      <c r="Q517" s="1"/>
      <c r="R517" s="1"/>
      <c r="S517" s="1"/>
      <c r="T517" s="1">
        <v>1</v>
      </c>
      <c r="U517" s="1"/>
      <c r="V517" s="1"/>
      <c r="W517" s="1"/>
      <c r="X517" s="1"/>
      <c r="Z517" t="s">
        <v>4386</v>
      </c>
      <c r="AB517" t="s">
        <v>5090</v>
      </c>
      <c r="AC517" t="s">
        <v>4346</v>
      </c>
      <c r="AD517" s="18">
        <v>46113</v>
      </c>
    </row>
    <row r="518" spans="1:30" ht="409.5" hidden="1">
      <c r="A518" s="1" t="s">
        <v>965</v>
      </c>
      <c r="B518" s="1">
        <v>1517</v>
      </c>
      <c r="C518" s="1">
        <v>9</v>
      </c>
      <c r="D518" s="1">
        <v>50</v>
      </c>
      <c r="E518" s="1" t="s">
        <v>4290</v>
      </c>
      <c r="F518" s="1" t="s">
        <v>4291</v>
      </c>
      <c r="G518" s="1" t="s">
        <v>4294</v>
      </c>
      <c r="H518" s="1" t="s">
        <v>2410</v>
      </c>
      <c r="I518" s="1" t="s">
        <v>2411</v>
      </c>
      <c r="J518" s="1" t="s">
        <v>2412</v>
      </c>
      <c r="K518" s="1" t="s">
        <v>2413</v>
      </c>
      <c r="L518" s="1" t="s">
        <v>2414</v>
      </c>
      <c r="M518" s="1" t="s">
        <v>2415</v>
      </c>
      <c r="N518" s="1"/>
      <c r="O518" s="1" t="s">
        <v>9</v>
      </c>
      <c r="P518" s="1" t="s">
        <v>4089</v>
      </c>
      <c r="Q518" s="1"/>
      <c r="R518" s="1"/>
      <c r="S518" s="1"/>
      <c r="T518" s="1"/>
      <c r="U518" s="1">
        <v>1</v>
      </c>
      <c r="V518" s="1"/>
      <c r="W518" s="1">
        <v>1</v>
      </c>
      <c r="X518" s="1"/>
      <c r="Y518" t="s">
        <v>9</v>
      </c>
      <c r="Z518" t="s">
        <v>4316</v>
      </c>
      <c r="AA518" t="s">
        <v>4317</v>
      </c>
      <c r="AB518" t="s">
        <v>5091</v>
      </c>
      <c r="AC518" t="s">
        <v>4453</v>
      </c>
      <c r="AD518" s="18">
        <v>46113</v>
      </c>
    </row>
    <row r="519" spans="1:30" ht="315">
      <c r="A519" s="1" t="s">
        <v>965</v>
      </c>
      <c r="B519" s="1">
        <v>1518</v>
      </c>
      <c r="C519" s="1">
        <v>9</v>
      </c>
      <c r="D519" s="1">
        <v>51</v>
      </c>
      <c r="E519" s="1" t="s">
        <v>4290</v>
      </c>
      <c r="F519" s="1" t="s">
        <v>4291</v>
      </c>
      <c r="G519" s="1" t="s">
        <v>20</v>
      </c>
      <c r="H519" s="1" t="s">
        <v>2416</v>
      </c>
      <c r="I519" s="1" t="s">
        <v>2417</v>
      </c>
      <c r="J519" s="1" t="s">
        <v>2418</v>
      </c>
      <c r="K519" s="1" t="s">
        <v>2419</v>
      </c>
      <c r="L519" s="1" t="s">
        <v>2420</v>
      </c>
      <c r="M519" s="1" t="s">
        <v>2421</v>
      </c>
      <c r="N519" s="1"/>
      <c r="O519" s="1" t="s">
        <v>4199</v>
      </c>
      <c r="P519" s="1" t="s">
        <v>4090</v>
      </c>
      <c r="Q519" s="1"/>
      <c r="R519" s="1"/>
      <c r="S519" s="1"/>
      <c r="T519" s="1"/>
      <c r="U519" s="1"/>
      <c r="V519" s="1"/>
      <c r="W519" s="1"/>
      <c r="X519" s="1"/>
      <c r="Y519" t="s">
        <v>7</v>
      </c>
      <c r="Z519" t="s">
        <v>4331</v>
      </c>
      <c r="AA519" t="s">
        <v>4332</v>
      </c>
      <c r="AB519" t="s">
        <v>5092</v>
      </c>
      <c r="AC519" t="s">
        <v>4481</v>
      </c>
      <c r="AD519" s="18">
        <v>46113</v>
      </c>
    </row>
    <row r="520" spans="1:30" ht="409.5" hidden="1">
      <c r="A520" s="1" t="s">
        <v>965</v>
      </c>
      <c r="B520" s="1">
        <v>1519</v>
      </c>
      <c r="C520" s="1">
        <v>9</v>
      </c>
      <c r="D520" s="1">
        <v>52</v>
      </c>
      <c r="E520" s="1" t="s">
        <v>4297</v>
      </c>
      <c r="F520" s="1" t="s">
        <v>4300</v>
      </c>
      <c r="G520" s="1" t="s">
        <v>20</v>
      </c>
      <c r="H520" s="1" t="s">
        <v>2422</v>
      </c>
      <c r="I520" s="1" t="s">
        <v>1756</v>
      </c>
      <c r="J520" s="1" t="s">
        <v>2423</v>
      </c>
      <c r="K520" s="1" t="s">
        <v>2424</v>
      </c>
      <c r="L520" s="1" t="s">
        <v>1759</v>
      </c>
      <c r="M520" s="1" t="s">
        <v>1760</v>
      </c>
      <c r="N520" s="1"/>
      <c r="O520" s="1" t="s">
        <v>9</v>
      </c>
      <c r="P520" s="1" t="s">
        <v>4091</v>
      </c>
      <c r="Q520" s="1"/>
      <c r="R520" s="1"/>
      <c r="S520" s="1"/>
      <c r="T520" s="1"/>
      <c r="U520" s="1"/>
      <c r="V520" s="1"/>
      <c r="W520" s="1"/>
      <c r="X520" s="1"/>
      <c r="Y520" t="s">
        <v>9</v>
      </c>
      <c r="Z520" t="s">
        <v>4316</v>
      </c>
      <c r="AA520" t="s">
        <v>4317</v>
      </c>
      <c r="AB520" t="s">
        <v>5093</v>
      </c>
      <c r="AC520" t="s">
        <v>4344</v>
      </c>
      <c r="AD520" s="18">
        <v>46113</v>
      </c>
    </row>
    <row r="521" spans="1:30" ht="409.5" hidden="1">
      <c r="A521" s="1" t="s">
        <v>965</v>
      </c>
      <c r="B521" s="1">
        <v>1520</v>
      </c>
      <c r="C521" s="1">
        <v>9</v>
      </c>
      <c r="D521" s="1">
        <v>53</v>
      </c>
      <c r="E521" s="1" t="s">
        <v>4292</v>
      </c>
      <c r="F521" s="1" t="s">
        <v>4293</v>
      </c>
      <c r="G521" s="1" t="s">
        <v>4294</v>
      </c>
      <c r="H521" s="1" t="s">
        <v>2425</v>
      </c>
      <c r="I521" s="1" t="s">
        <v>2426</v>
      </c>
      <c r="J521" s="1" t="s">
        <v>2427</v>
      </c>
      <c r="K521" s="1" t="s">
        <v>2428</v>
      </c>
      <c r="L521" s="1" t="s">
        <v>2429</v>
      </c>
      <c r="M521" s="1" t="s">
        <v>2430</v>
      </c>
      <c r="N521" s="1"/>
      <c r="O521" s="1" t="s">
        <v>9</v>
      </c>
      <c r="P521" s="1" t="s">
        <v>4092</v>
      </c>
      <c r="Q521" s="1"/>
      <c r="R521" s="1"/>
      <c r="S521" s="1"/>
      <c r="T521" s="1">
        <v>1</v>
      </c>
      <c r="U521" s="1"/>
      <c r="V521" s="1"/>
      <c r="W521" s="1"/>
      <c r="X521" s="1"/>
      <c r="Y521" t="s">
        <v>10</v>
      </c>
      <c r="Z521" t="s">
        <v>4316</v>
      </c>
      <c r="AA521" t="s">
        <v>4332</v>
      </c>
      <c r="AB521" t="s">
        <v>5094</v>
      </c>
      <c r="AC521" t="s">
        <v>4979</v>
      </c>
      <c r="AD521" s="18">
        <v>46113</v>
      </c>
    </row>
    <row r="522" spans="1:30" ht="409.5" hidden="1">
      <c r="A522" s="1" t="s">
        <v>965</v>
      </c>
      <c r="B522" s="1">
        <v>1521</v>
      </c>
      <c r="C522" s="1">
        <v>9</v>
      </c>
      <c r="D522" s="1">
        <v>54</v>
      </c>
      <c r="E522" s="1" t="s">
        <v>4292</v>
      </c>
      <c r="F522" s="1" t="s">
        <v>4293</v>
      </c>
      <c r="G522" s="1" t="s">
        <v>4294</v>
      </c>
      <c r="H522" s="1" t="s">
        <v>2431</v>
      </c>
      <c r="I522" s="1" t="s">
        <v>2426</v>
      </c>
      <c r="J522" s="1" t="s">
        <v>2427</v>
      </c>
      <c r="K522" s="1" t="s">
        <v>2432</v>
      </c>
      <c r="L522" s="1" t="s">
        <v>2433</v>
      </c>
      <c r="M522" s="1" t="s">
        <v>2430</v>
      </c>
      <c r="N522" s="1"/>
      <c r="O522" s="1" t="s">
        <v>8</v>
      </c>
      <c r="P522" s="1" t="s">
        <v>4093</v>
      </c>
      <c r="Q522" s="1"/>
      <c r="R522" s="1"/>
      <c r="S522" s="1"/>
      <c r="T522" s="1">
        <v>1</v>
      </c>
      <c r="U522" s="1"/>
      <c r="V522" s="1"/>
      <c r="W522" s="1"/>
      <c r="X522" s="1"/>
      <c r="Y522" t="s">
        <v>8</v>
      </c>
      <c r="Z522" t="s">
        <v>4316</v>
      </c>
      <c r="AA522" t="s">
        <v>4317</v>
      </c>
      <c r="AB522" t="s">
        <v>5095</v>
      </c>
      <c r="AC522" t="s">
        <v>4857</v>
      </c>
      <c r="AD522" s="18">
        <v>46113</v>
      </c>
    </row>
    <row r="523" spans="1:30" ht="409.5" hidden="1">
      <c r="A523" s="1" t="s">
        <v>965</v>
      </c>
      <c r="B523" s="1">
        <v>1522</v>
      </c>
      <c r="C523" s="1">
        <v>9</v>
      </c>
      <c r="D523" s="1">
        <v>55</v>
      </c>
      <c r="E523" s="1" t="s">
        <v>4295</v>
      </c>
      <c r="F523" s="1" t="s">
        <v>4296</v>
      </c>
      <c r="G523" s="1" t="s">
        <v>20</v>
      </c>
      <c r="H523" s="1" t="s">
        <v>2434</v>
      </c>
      <c r="I523" s="1" t="s">
        <v>2435</v>
      </c>
      <c r="J523" s="1" t="s">
        <v>2436</v>
      </c>
      <c r="K523" s="1" t="s">
        <v>2437</v>
      </c>
      <c r="L523" s="1" t="s">
        <v>2438</v>
      </c>
      <c r="M523" s="1" t="s">
        <v>2439</v>
      </c>
      <c r="N523" s="1"/>
      <c r="O523" s="1" t="s">
        <v>9</v>
      </c>
      <c r="P523" s="1" t="s">
        <v>4094</v>
      </c>
      <c r="Q523" s="1"/>
      <c r="R523" s="1"/>
      <c r="S523" s="1"/>
      <c r="T523" s="1">
        <v>1</v>
      </c>
      <c r="U523" s="1"/>
      <c r="V523" s="1"/>
      <c r="W523" s="1"/>
      <c r="X523" s="1"/>
      <c r="Z523" t="s">
        <v>4386</v>
      </c>
      <c r="AB523" t="s">
        <v>5096</v>
      </c>
      <c r="AC523" t="s">
        <v>5097</v>
      </c>
      <c r="AD523" s="18">
        <v>46113</v>
      </c>
    </row>
    <row r="524" spans="1:30" ht="409.5" hidden="1">
      <c r="A524" s="1" t="s">
        <v>965</v>
      </c>
      <c r="B524" s="1">
        <v>1523</v>
      </c>
      <c r="C524" s="1">
        <v>9</v>
      </c>
      <c r="D524" s="1">
        <v>56</v>
      </c>
      <c r="E524" s="1" t="s">
        <v>4292</v>
      </c>
      <c r="F524" s="1" t="s">
        <v>4293</v>
      </c>
      <c r="G524" s="1" t="s">
        <v>4294</v>
      </c>
      <c r="H524" s="1" t="s">
        <v>2440</v>
      </c>
      <c r="I524" s="1" t="s">
        <v>2441</v>
      </c>
      <c r="J524" s="1" t="s">
        <v>2442</v>
      </c>
      <c r="K524" s="1" t="s">
        <v>2443</v>
      </c>
      <c r="L524" s="1" t="s">
        <v>2444</v>
      </c>
      <c r="M524" s="1" t="s">
        <v>2445</v>
      </c>
      <c r="N524" s="1"/>
      <c r="O524" s="1" t="s">
        <v>9</v>
      </c>
      <c r="P524" s="1" t="s">
        <v>4095</v>
      </c>
      <c r="Q524" s="1"/>
      <c r="R524" s="1"/>
      <c r="S524" s="1"/>
      <c r="T524" s="1">
        <v>1</v>
      </c>
      <c r="U524" s="1"/>
      <c r="V524" s="1"/>
      <c r="W524" s="1"/>
      <c r="X524" s="1"/>
      <c r="Y524" t="s">
        <v>9</v>
      </c>
      <c r="Z524" t="s">
        <v>4316</v>
      </c>
      <c r="AA524" t="s">
        <v>4317</v>
      </c>
      <c r="AB524" t="s">
        <v>5098</v>
      </c>
      <c r="AC524" t="s">
        <v>4817</v>
      </c>
      <c r="AD524" s="18">
        <v>46113</v>
      </c>
    </row>
    <row r="525" spans="1:30" ht="409.5">
      <c r="A525" s="1" t="s">
        <v>965</v>
      </c>
      <c r="B525" s="1">
        <v>1524</v>
      </c>
      <c r="C525" s="1">
        <v>9</v>
      </c>
      <c r="D525" s="1">
        <v>57</v>
      </c>
      <c r="E525" s="1" t="s">
        <v>4305</v>
      </c>
      <c r="F525" s="1" t="s">
        <v>4307</v>
      </c>
      <c r="G525" s="1" t="s">
        <v>40</v>
      </c>
      <c r="H525" s="1" t="s">
        <v>2446</v>
      </c>
      <c r="I525" s="1" t="s">
        <v>2321</v>
      </c>
      <c r="J525" s="1" t="s">
        <v>2447</v>
      </c>
      <c r="K525" s="1" t="s">
        <v>2448</v>
      </c>
      <c r="L525" s="1" t="s">
        <v>2324</v>
      </c>
      <c r="M525" s="1" t="s">
        <v>2322</v>
      </c>
      <c r="N525" s="1"/>
      <c r="O525" s="1" t="s">
        <v>8</v>
      </c>
      <c r="P525" s="1" t="s">
        <v>4096</v>
      </c>
      <c r="Q525" s="1"/>
      <c r="R525" s="1"/>
      <c r="S525" s="1"/>
      <c r="T525" s="1">
        <v>1</v>
      </c>
      <c r="U525" s="1"/>
      <c r="V525" s="1"/>
      <c r="W525" s="1"/>
      <c r="X525" s="1"/>
      <c r="Y525" t="s">
        <v>11</v>
      </c>
      <c r="Z525" t="s">
        <v>4331</v>
      </c>
      <c r="AA525" t="s">
        <v>4332</v>
      </c>
      <c r="AB525" t="s">
        <v>5099</v>
      </c>
      <c r="AC525" t="s">
        <v>4865</v>
      </c>
      <c r="AD525" s="18">
        <v>46113</v>
      </c>
    </row>
    <row r="526" spans="1:30" ht="409.5" hidden="1">
      <c r="A526" s="1" t="s">
        <v>965</v>
      </c>
      <c r="B526" s="1">
        <v>1525</v>
      </c>
      <c r="C526" s="1">
        <v>9</v>
      </c>
      <c r="D526" s="1">
        <v>58</v>
      </c>
      <c r="E526" s="1" t="s">
        <v>4305</v>
      </c>
      <c r="F526" s="1" t="s">
        <v>4307</v>
      </c>
      <c r="G526" s="1" t="s">
        <v>40</v>
      </c>
      <c r="H526" s="1" t="s">
        <v>2449</v>
      </c>
      <c r="I526" s="1" t="s">
        <v>3780</v>
      </c>
      <c r="J526" s="1" t="s">
        <v>3781</v>
      </c>
      <c r="K526" s="1" t="s">
        <v>3782</v>
      </c>
      <c r="L526" s="1" t="s">
        <v>3783</v>
      </c>
      <c r="M526" s="1" t="s">
        <v>3784</v>
      </c>
      <c r="N526" s="1"/>
      <c r="O526" s="1" t="s">
        <v>7</v>
      </c>
      <c r="P526" s="1" t="s">
        <v>4097</v>
      </c>
      <c r="Q526" s="1"/>
      <c r="R526" s="1"/>
      <c r="S526" s="1"/>
      <c r="T526" s="1">
        <v>1</v>
      </c>
      <c r="U526" s="1"/>
      <c r="V526" s="1"/>
      <c r="W526" s="1"/>
      <c r="X526" s="1"/>
      <c r="Y526" t="s">
        <v>7</v>
      </c>
      <c r="Z526" t="s">
        <v>4316</v>
      </c>
      <c r="AA526" t="s">
        <v>4317</v>
      </c>
      <c r="AB526" t="s">
        <v>5100</v>
      </c>
      <c r="AC526" t="s">
        <v>4911</v>
      </c>
      <c r="AD526" s="18">
        <v>46113</v>
      </c>
    </row>
    <row r="527" spans="1:30" ht="409.5" hidden="1">
      <c r="A527" s="1" t="s">
        <v>965</v>
      </c>
      <c r="B527" s="1">
        <v>1526</v>
      </c>
      <c r="C527" s="1">
        <v>9</v>
      </c>
      <c r="D527" s="1">
        <v>59</v>
      </c>
      <c r="E527" s="1" t="s">
        <v>4295</v>
      </c>
      <c r="F527" s="1" t="s">
        <v>4296</v>
      </c>
      <c r="G527" s="1" t="s">
        <v>4294</v>
      </c>
      <c r="H527" s="1" t="s">
        <v>2450</v>
      </c>
      <c r="I527" s="1" t="s">
        <v>2451</v>
      </c>
      <c r="J527" s="1" t="s">
        <v>2452</v>
      </c>
      <c r="K527" s="1" t="s">
        <v>1084</v>
      </c>
      <c r="L527" s="1" t="s">
        <v>2453</v>
      </c>
      <c r="M527" s="1" t="s">
        <v>1430</v>
      </c>
      <c r="N527" s="1"/>
      <c r="O527" s="1" t="s">
        <v>8</v>
      </c>
      <c r="P527" s="1" t="s">
        <v>4098</v>
      </c>
      <c r="Q527" s="1"/>
      <c r="R527" s="1"/>
      <c r="S527" s="1"/>
      <c r="T527" s="1">
        <v>1</v>
      </c>
      <c r="U527" s="1"/>
      <c r="V527" s="1"/>
      <c r="W527" s="1"/>
      <c r="X527" s="1"/>
      <c r="Y527" t="s">
        <v>8</v>
      </c>
      <c r="Z527" t="s">
        <v>4316</v>
      </c>
      <c r="AA527" t="s">
        <v>4317</v>
      </c>
      <c r="AB527" t="s">
        <v>5101</v>
      </c>
      <c r="AC527" t="s">
        <v>4817</v>
      </c>
      <c r="AD527" s="18">
        <v>46113</v>
      </c>
    </row>
    <row r="528" spans="1:30" ht="345" hidden="1">
      <c r="A528" s="1" t="s">
        <v>965</v>
      </c>
      <c r="B528" s="1">
        <v>1527</v>
      </c>
      <c r="C528" s="1">
        <v>10</v>
      </c>
      <c r="D528" s="1">
        <v>1</v>
      </c>
      <c r="E528" s="1" t="s">
        <v>4297</v>
      </c>
      <c r="F528" s="1" t="s">
        <v>4298</v>
      </c>
      <c r="G528" s="1" t="s">
        <v>40</v>
      </c>
      <c r="H528" s="1" t="s">
        <v>292</v>
      </c>
      <c r="I528" s="1" t="s">
        <v>296</v>
      </c>
      <c r="J528" s="1" t="s">
        <v>294</v>
      </c>
      <c r="K528" s="1" t="s">
        <v>297</v>
      </c>
      <c r="L528" s="1" t="s">
        <v>293</v>
      </c>
      <c r="M528" s="1" t="s">
        <v>295</v>
      </c>
      <c r="N528" s="1"/>
      <c r="O528" s="1" t="s">
        <v>10</v>
      </c>
      <c r="P528" s="1" t="s">
        <v>3925</v>
      </c>
      <c r="Q528" s="1"/>
      <c r="R528" s="1"/>
      <c r="S528" s="1"/>
      <c r="T528" s="1"/>
      <c r="U528" s="1"/>
      <c r="V528" s="1"/>
      <c r="W528" s="1"/>
      <c r="X528" s="1"/>
      <c r="Y528" t="s">
        <v>10</v>
      </c>
      <c r="Z528" t="s">
        <v>4316</v>
      </c>
      <c r="AA528" t="s">
        <v>4317</v>
      </c>
      <c r="AB528" t="s">
        <v>5102</v>
      </c>
      <c r="AC528" t="s">
        <v>4323</v>
      </c>
      <c r="AD528" s="18">
        <v>46113</v>
      </c>
    </row>
    <row r="529" spans="1:30" ht="150" hidden="1">
      <c r="A529" s="1" t="s">
        <v>965</v>
      </c>
      <c r="B529" s="1">
        <v>1528</v>
      </c>
      <c r="C529" s="1">
        <v>10</v>
      </c>
      <c r="D529" s="1">
        <v>2</v>
      </c>
      <c r="E529" s="1" t="s">
        <v>4292</v>
      </c>
      <c r="F529" s="1" t="s">
        <v>4293</v>
      </c>
      <c r="G529" s="1" t="s">
        <v>40</v>
      </c>
      <c r="H529" s="1" t="s">
        <v>2454</v>
      </c>
      <c r="I529" s="1" t="s">
        <v>2455</v>
      </c>
      <c r="J529" s="1" t="s">
        <v>954</v>
      </c>
      <c r="K529" s="1" t="s">
        <v>953</v>
      </c>
      <c r="L529" s="1" t="s">
        <v>952</v>
      </c>
      <c r="M529" s="1" t="s">
        <v>2456</v>
      </c>
      <c r="N529" s="1"/>
      <c r="O529" s="1" t="s">
        <v>8</v>
      </c>
      <c r="P529" s="1" t="s">
        <v>3926</v>
      </c>
      <c r="Q529" s="1"/>
      <c r="R529" s="1"/>
      <c r="S529" s="1"/>
      <c r="T529" s="1"/>
      <c r="U529" s="1">
        <v>1</v>
      </c>
      <c r="V529" s="1"/>
      <c r="W529" s="1"/>
      <c r="X529" s="1"/>
      <c r="Y529" t="s">
        <v>8</v>
      </c>
      <c r="Z529" t="s">
        <v>4316</v>
      </c>
      <c r="AA529" t="s">
        <v>4317</v>
      </c>
      <c r="AB529" t="s">
        <v>5103</v>
      </c>
      <c r="AC529" t="s">
        <v>4857</v>
      </c>
      <c r="AD529" s="18">
        <v>46113</v>
      </c>
    </row>
    <row r="530" spans="1:30" ht="409.5" hidden="1">
      <c r="A530" s="1" t="s">
        <v>965</v>
      </c>
      <c r="B530" s="1">
        <v>1529</v>
      </c>
      <c r="C530" s="1">
        <v>10</v>
      </c>
      <c r="D530" s="1">
        <v>3</v>
      </c>
      <c r="E530" s="1" t="s">
        <v>4292</v>
      </c>
      <c r="F530" s="1" t="s">
        <v>4303</v>
      </c>
      <c r="G530" s="1" t="s">
        <v>4294</v>
      </c>
      <c r="H530" s="1" t="s">
        <v>2457</v>
      </c>
      <c r="I530" s="1" t="s">
        <v>2458</v>
      </c>
      <c r="J530" s="1" t="s">
        <v>2459</v>
      </c>
      <c r="K530" s="1" t="s">
        <v>2460</v>
      </c>
      <c r="L530" s="1" t="s">
        <v>2461</v>
      </c>
      <c r="M530" s="1" t="s">
        <v>2462</v>
      </c>
      <c r="N530" s="1"/>
      <c r="O530" s="1" t="s">
        <v>11</v>
      </c>
      <c r="P530" s="1" t="s">
        <v>3928</v>
      </c>
      <c r="Q530" s="1"/>
      <c r="R530" s="1"/>
      <c r="S530" s="1"/>
      <c r="T530" s="1"/>
      <c r="U530" s="1">
        <v>1</v>
      </c>
      <c r="V530" s="1"/>
      <c r="W530" s="1"/>
      <c r="X530" s="1" t="s">
        <v>3927</v>
      </c>
      <c r="Y530" t="s">
        <v>11</v>
      </c>
      <c r="Z530" t="s">
        <v>4316</v>
      </c>
      <c r="AA530" t="s">
        <v>4317</v>
      </c>
      <c r="AB530" t="s">
        <v>5104</v>
      </c>
      <c r="AC530" t="s">
        <v>4820</v>
      </c>
      <c r="AD530" s="18">
        <v>46113</v>
      </c>
    </row>
    <row r="531" spans="1:30" ht="409.5" hidden="1">
      <c r="A531" s="1" t="s">
        <v>965</v>
      </c>
      <c r="B531" s="1">
        <v>1530</v>
      </c>
      <c r="C531" s="1">
        <v>10</v>
      </c>
      <c r="D531" s="1">
        <v>4</v>
      </c>
      <c r="E531" s="1" t="s">
        <v>4295</v>
      </c>
      <c r="F531" s="1" t="s">
        <v>4296</v>
      </c>
      <c r="G531" s="1" t="s">
        <v>20</v>
      </c>
      <c r="H531" s="1" t="s">
        <v>2463</v>
      </c>
      <c r="I531" s="1" t="s">
        <v>2464</v>
      </c>
      <c r="J531" s="1" t="s">
        <v>2465</v>
      </c>
      <c r="K531" s="1" t="s">
        <v>2466</v>
      </c>
      <c r="L531" s="1" t="s">
        <v>2467</v>
      </c>
      <c r="M531" s="1" t="s">
        <v>2468</v>
      </c>
      <c r="N531" s="1"/>
      <c r="O531" s="1" t="s">
        <v>10</v>
      </c>
      <c r="P531" s="1" t="s">
        <v>3929</v>
      </c>
      <c r="Q531" s="1"/>
      <c r="R531" s="1"/>
      <c r="S531" s="1"/>
      <c r="T531" s="1">
        <v>1</v>
      </c>
      <c r="U531" s="1">
        <v>1</v>
      </c>
      <c r="V531" s="1"/>
      <c r="W531" s="1"/>
      <c r="X531" s="1"/>
      <c r="Z531" t="s">
        <v>4386</v>
      </c>
      <c r="AB531" t="s">
        <v>5105</v>
      </c>
      <c r="AC531" t="s">
        <v>5106</v>
      </c>
      <c r="AD531" s="18">
        <v>46113</v>
      </c>
    </row>
    <row r="532" spans="1:30" ht="409.5" hidden="1">
      <c r="A532" s="1" t="s">
        <v>965</v>
      </c>
      <c r="B532" s="1">
        <v>1531</v>
      </c>
      <c r="C532" s="1">
        <v>10</v>
      </c>
      <c r="D532" s="1">
        <v>5</v>
      </c>
      <c r="E532" s="1" t="s">
        <v>4290</v>
      </c>
      <c r="F532" s="1" t="s">
        <v>4302</v>
      </c>
      <c r="G532" s="1" t="s">
        <v>20</v>
      </c>
      <c r="H532" s="1" t="s">
        <v>2469</v>
      </c>
      <c r="I532" s="1" t="s">
        <v>2470</v>
      </c>
      <c r="J532" s="1" t="s">
        <v>2471</v>
      </c>
      <c r="K532" s="1" t="s">
        <v>2293</v>
      </c>
      <c r="L532" s="1" t="s">
        <v>2291</v>
      </c>
      <c r="M532" s="1" t="s">
        <v>2472</v>
      </c>
      <c r="N532" s="1"/>
      <c r="O532" s="1" t="s">
        <v>7</v>
      </c>
      <c r="P532" s="1" t="s">
        <v>3930</v>
      </c>
      <c r="Q532" s="1"/>
      <c r="R532" s="1"/>
      <c r="S532" s="1"/>
      <c r="T532" s="1"/>
      <c r="U532" s="1">
        <v>1</v>
      </c>
      <c r="V532" s="1"/>
      <c r="W532" s="1"/>
      <c r="X532" s="1"/>
      <c r="Z532" t="s">
        <v>4386</v>
      </c>
      <c r="AB532" t="s">
        <v>5107</v>
      </c>
      <c r="AC532" t="s">
        <v>5108</v>
      </c>
      <c r="AD532" s="18">
        <v>46113</v>
      </c>
    </row>
    <row r="533" spans="1:30" ht="198" hidden="1">
      <c r="A533" s="1" t="s">
        <v>965</v>
      </c>
      <c r="B533" s="1">
        <v>1532</v>
      </c>
      <c r="C533" s="1">
        <v>10</v>
      </c>
      <c r="D533" s="1">
        <v>6</v>
      </c>
      <c r="E533" s="1" t="s">
        <v>4297</v>
      </c>
      <c r="F533" s="1" t="s">
        <v>4298</v>
      </c>
      <c r="G533" s="1" t="s">
        <v>4294</v>
      </c>
      <c r="H533" s="1" t="s">
        <v>2473</v>
      </c>
      <c r="I533" s="1" t="s">
        <v>3785</v>
      </c>
      <c r="J533" s="1" t="s">
        <v>3786</v>
      </c>
      <c r="K533" s="1" t="s">
        <v>3787</v>
      </c>
      <c r="L533" s="1" t="s">
        <v>3788</v>
      </c>
      <c r="M533" s="1" t="s">
        <v>3789</v>
      </c>
      <c r="N533" s="1"/>
      <c r="O533" s="1" t="s">
        <v>8</v>
      </c>
      <c r="P533" s="1" t="s">
        <v>5569</v>
      </c>
      <c r="Q533" s="1"/>
      <c r="R533" s="1"/>
      <c r="S533" s="1"/>
      <c r="T533" s="1">
        <v>1</v>
      </c>
      <c r="U533" s="1">
        <v>1</v>
      </c>
      <c r="V533" s="1"/>
      <c r="W533" s="1"/>
      <c r="X533" s="1"/>
      <c r="Y533" t="s">
        <v>8</v>
      </c>
      <c r="Z533" t="s">
        <v>4316</v>
      </c>
      <c r="AA533" t="s">
        <v>4317</v>
      </c>
      <c r="AB533" t="s">
        <v>5109</v>
      </c>
      <c r="AC533" t="s">
        <v>4330</v>
      </c>
      <c r="AD533" s="18">
        <v>46113</v>
      </c>
    </row>
    <row r="534" spans="1:30" ht="409.5" hidden="1">
      <c r="A534" s="1" t="s">
        <v>965</v>
      </c>
      <c r="B534" s="1">
        <v>1533</v>
      </c>
      <c r="C534" s="1">
        <v>10</v>
      </c>
      <c r="D534" s="1">
        <v>7</v>
      </c>
      <c r="E534" s="1" t="s">
        <v>4292</v>
      </c>
      <c r="F534" s="1" t="s">
        <v>4293</v>
      </c>
      <c r="G534" s="1" t="s">
        <v>20</v>
      </c>
      <c r="H534" s="1" t="s">
        <v>2474</v>
      </c>
      <c r="I534" s="1" t="s">
        <v>2475</v>
      </c>
      <c r="J534" s="1" t="s">
        <v>2476</v>
      </c>
      <c r="K534" s="1" t="s">
        <v>2477</v>
      </c>
      <c r="L534" s="1" t="s">
        <v>5498</v>
      </c>
      <c r="M534" s="1" t="s">
        <v>2478</v>
      </c>
      <c r="N534" s="1"/>
      <c r="O534" s="1" t="s">
        <v>11</v>
      </c>
      <c r="P534" s="1" t="s">
        <v>3931</v>
      </c>
      <c r="Q534" s="1"/>
      <c r="R534" s="1"/>
      <c r="S534" s="1"/>
      <c r="T534" s="1">
        <v>1</v>
      </c>
      <c r="U534" s="1"/>
      <c r="V534" s="1"/>
      <c r="W534" s="1"/>
      <c r="X534" s="1"/>
      <c r="Z534" t="s">
        <v>4386</v>
      </c>
      <c r="AB534" t="s">
        <v>5110</v>
      </c>
      <c r="AC534" t="s">
        <v>5111</v>
      </c>
      <c r="AD534" s="18">
        <v>46113</v>
      </c>
    </row>
    <row r="535" spans="1:30" ht="409.5" hidden="1">
      <c r="A535" s="1" t="s">
        <v>965</v>
      </c>
      <c r="B535" s="1">
        <v>1534</v>
      </c>
      <c r="C535" s="1">
        <v>10</v>
      </c>
      <c r="D535" s="1">
        <v>8</v>
      </c>
      <c r="E535" s="1" t="s">
        <v>4297</v>
      </c>
      <c r="F535" s="1" t="s">
        <v>4298</v>
      </c>
      <c r="G535" s="1" t="s">
        <v>20</v>
      </c>
      <c r="H535" s="1" t="s">
        <v>996</v>
      </c>
      <c r="I535" s="1" t="s">
        <v>1000</v>
      </c>
      <c r="J535" s="1" t="s">
        <v>998</v>
      </c>
      <c r="K535" s="1" t="s">
        <v>999</v>
      </c>
      <c r="L535" s="1" t="s">
        <v>997</v>
      </c>
      <c r="M535" s="1"/>
      <c r="N535" s="1"/>
      <c r="O535" s="1" t="s">
        <v>7</v>
      </c>
      <c r="P535" s="1" t="s">
        <v>3932</v>
      </c>
      <c r="Q535" s="1"/>
      <c r="R535" s="1"/>
      <c r="S535" s="1"/>
      <c r="T535" s="1">
        <v>1</v>
      </c>
      <c r="U535" s="1"/>
      <c r="V535" s="1"/>
      <c r="W535" s="1"/>
      <c r="X535" s="1"/>
      <c r="Y535" t="s">
        <v>7</v>
      </c>
      <c r="Z535" t="s">
        <v>4316</v>
      </c>
      <c r="AA535" t="s">
        <v>4317</v>
      </c>
      <c r="AB535" t="s">
        <v>5112</v>
      </c>
      <c r="AC535" t="s">
        <v>5113</v>
      </c>
      <c r="AD535" s="18">
        <v>46113</v>
      </c>
    </row>
    <row r="536" spans="1:30" ht="105" hidden="1">
      <c r="A536" s="1" t="s">
        <v>965</v>
      </c>
      <c r="B536" s="1">
        <v>1535</v>
      </c>
      <c r="C536" s="1">
        <v>10</v>
      </c>
      <c r="D536" s="1">
        <v>9</v>
      </c>
      <c r="E536" s="1" t="s">
        <v>4297</v>
      </c>
      <c r="F536" s="1" t="s">
        <v>4298</v>
      </c>
      <c r="G536" s="1" t="s">
        <v>40</v>
      </c>
      <c r="H536" s="1" t="s">
        <v>2479</v>
      </c>
      <c r="I536" s="1" t="s">
        <v>2480</v>
      </c>
      <c r="J536" s="1" t="s">
        <v>2481</v>
      </c>
      <c r="K536" s="1" t="s">
        <v>2482</v>
      </c>
      <c r="L536" s="1" t="s">
        <v>2483</v>
      </c>
      <c r="M536" s="1"/>
      <c r="N536" s="1"/>
      <c r="O536" s="1" t="s">
        <v>7</v>
      </c>
      <c r="P536" s="1" t="s">
        <v>3933</v>
      </c>
      <c r="Q536" s="1"/>
      <c r="R536" s="1"/>
      <c r="S536" s="1"/>
      <c r="T536" s="1">
        <v>1</v>
      </c>
      <c r="U536" s="1"/>
      <c r="V536" s="1"/>
      <c r="W536" s="1"/>
      <c r="X536" s="1"/>
      <c r="Y536" t="s">
        <v>7</v>
      </c>
      <c r="Z536" t="s">
        <v>4316</v>
      </c>
      <c r="AA536" t="s">
        <v>4317</v>
      </c>
      <c r="AB536" t="s">
        <v>5114</v>
      </c>
      <c r="AC536" t="s">
        <v>4323</v>
      </c>
      <c r="AD536" s="18">
        <v>46113</v>
      </c>
    </row>
    <row r="537" spans="1:30" ht="405" hidden="1">
      <c r="A537" s="1" t="s">
        <v>965</v>
      </c>
      <c r="B537" s="1">
        <v>1536</v>
      </c>
      <c r="C537" s="1">
        <v>10</v>
      </c>
      <c r="D537" s="1">
        <v>10</v>
      </c>
      <c r="E537" s="1" t="s">
        <v>4297</v>
      </c>
      <c r="F537" s="1" t="s">
        <v>4298</v>
      </c>
      <c r="G537" s="1" t="s">
        <v>20</v>
      </c>
      <c r="H537" s="1" t="s">
        <v>2484</v>
      </c>
      <c r="I537" s="1" t="s">
        <v>2485</v>
      </c>
      <c r="J537" s="1" t="s">
        <v>2486</v>
      </c>
      <c r="K537" s="1" t="s">
        <v>2487</v>
      </c>
      <c r="L537" s="1" t="s">
        <v>2488</v>
      </c>
      <c r="M537" s="1" t="s">
        <v>2489</v>
      </c>
      <c r="N537" s="1"/>
      <c r="O537" s="1" t="s">
        <v>9</v>
      </c>
      <c r="P537" s="1" t="s">
        <v>3934</v>
      </c>
      <c r="Q537" s="1"/>
      <c r="R537" s="1"/>
      <c r="S537" s="1"/>
      <c r="T537" s="1">
        <v>1</v>
      </c>
      <c r="U537" s="1"/>
      <c r="V537" s="1"/>
      <c r="W537" s="1"/>
      <c r="X537" s="1"/>
      <c r="Y537" t="s">
        <v>9</v>
      </c>
      <c r="Z537" t="s">
        <v>4316</v>
      </c>
      <c r="AA537" t="s">
        <v>4317</v>
      </c>
      <c r="AB537" t="s">
        <v>5115</v>
      </c>
      <c r="AC537" t="s">
        <v>5033</v>
      </c>
      <c r="AD537" s="18">
        <v>46113</v>
      </c>
    </row>
    <row r="538" spans="1:30" ht="409.5" hidden="1">
      <c r="A538" s="1" t="s">
        <v>965</v>
      </c>
      <c r="B538" s="1">
        <v>1537</v>
      </c>
      <c r="C538" s="1">
        <v>10</v>
      </c>
      <c r="D538" s="1">
        <v>11</v>
      </c>
      <c r="E538" s="1" t="s">
        <v>4297</v>
      </c>
      <c r="F538" s="1" t="s">
        <v>4299</v>
      </c>
      <c r="G538" s="1" t="s">
        <v>20</v>
      </c>
      <c r="H538" s="1" t="s">
        <v>2490</v>
      </c>
      <c r="I538" s="1" t="s">
        <v>2491</v>
      </c>
      <c r="J538" s="1" t="s">
        <v>2492</v>
      </c>
      <c r="K538" s="1" t="s">
        <v>2493</v>
      </c>
      <c r="L538" s="1" t="s">
        <v>2494</v>
      </c>
      <c r="M538" s="1" t="s">
        <v>2495</v>
      </c>
      <c r="N538" s="1"/>
      <c r="O538" s="1" t="s">
        <v>8</v>
      </c>
      <c r="P538" s="1" t="s">
        <v>3935</v>
      </c>
      <c r="Q538" s="1"/>
      <c r="R538" s="1"/>
      <c r="S538" s="1"/>
      <c r="T538" s="1">
        <v>1</v>
      </c>
      <c r="U538" s="1"/>
      <c r="V538" s="1"/>
      <c r="W538" s="1"/>
      <c r="X538" s="1"/>
      <c r="Y538" t="s">
        <v>8</v>
      </c>
      <c r="Z538" t="s">
        <v>4316</v>
      </c>
      <c r="AA538" t="s">
        <v>4317</v>
      </c>
      <c r="AB538" t="s">
        <v>5116</v>
      </c>
      <c r="AC538" t="s">
        <v>4882</v>
      </c>
      <c r="AD538" s="18">
        <v>46113</v>
      </c>
    </row>
    <row r="539" spans="1:30" ht="345" hidden="1">
      <c r="A539" s="1" t="s">
        <v>965</v>
      </c>
      <c r="B539" s="1">
        <v>1538</v>
      </c>
      <c r="C539" s="1">
        <v>10</v>
      </c>
      <c r="D539" s="1">
        <v>12</v>
      </c>
      <c r="E539" s="1" t="s">
        <v>4290</v>
      </c>
      <c r="F539" s="1" t="s">
        <v>4302</v>
      </c>
      <c r="G539" s="1" t="s">
        <v>4294</v>
      </c>
      <c r="H539" s="1" t="s">
        <v>2496</v>
      </c>
      <c r="I539" s="1" t="s">
        <v>2497</v>
      </c>
      <c r="J539" s="1" t="s">
        <v>2498</v>
      </c>
      <c r="K539" s="1" t="s">
        <v>2499</v>
      </c>
      <c r="L539" s="1" t="s">
        <v>2500</v>
      </c>
      <c r="M539" s="1" t="s">
        <v>2501</v>
      </c>
      <c r="N539" s="1"/>
      <c r="O539" s="1" t="s">
        <v>3936</v>
      </c>
      <c r="P539" s="1" t="s">
        <v>3937</v>
      </c>
      <c r="Q539" s="1"/>
      <c r="R539" s="1"/>
      <c r="S539" s="1"/>
      <c r="T539" s="1">
        <v>1</v>
      </c>
      <c r="U539" s="1"/>
      <c r="V539" s="1"/>
      <c r="W539" s="1"/>
      <c r="X539" s="1"/>
      <c r="Y539" t="s">
        <v>3936</v>
      </c>
      <c r="Z539" t="s">
        <v>4316</v>
      </c>
      <c r="AA539" t="s">
        <v>4317</v>
      </c>
      <c r="AB539" t="s">
        <v>5117</v>
      </c>
      <c r="AC539" t="s">
        <v>5108</v>
      </c>
      <c r="AD539" s="18">
        <v>46113</v>
      </c>
    </row>
    <row r="540" spans="1:30" ht="225" hidden="1">
      <c r="A540" s="1" t="s">
        <v>965</v>
      </c>
      <c r="B540" s="1">
        <v>1539</v>
      </c>
      <c r="C540" s="1">
        <v>10</v>
      </c>
      <c r="D540" s="1">
        <v>13</v>
      </c>
      <c r="E540" s="1" t="s">
        <v>4305</v>
      </c>
      <c r="F540" s="1" t="s">
        <v>4307</v>
      </c>
      <c r="G540" s="1" t="s">
        <v>20</v>
      </c>
      <c r="H540" s="1" t="s">
        <v>2502</v>
      </c>
      <c r="I540" s="1" t="s">
        <v>2503</v>
      </c>
      <c r="J540" s="1" t="s">
        <v>2504</v>
      </c>
      <c r="K540" s="1" t="s">
        <v>2505</v>
      </c>
      <c r="L540" s="1" t="s">
        <v>2506</v>
      </c>
      <c r="M540" s="1" t="s">
        <v>2507</v>
      </c>
      <c r="N540" s="1"/>
      <c r="O540" s="1" t="s">
        <v>9</v>
      </c>
      <c r="P540" s="1" t="s">
        <v>3938</v>
      </c>
      <c r="Q540" s="1"/>
      <c r="R540" s="1"/>
      <c r="S540" s="1"/>
      <c r="T540" s="1">
        <v>1</v>
      </c>
      <c r="U540" s="1"/>
      <c r="V540" s="1"/>
      <c r="W540" s="1"/>
      <c r="X540" s="1"/>
      <c r="Y540" t="s">
        <v>9</v>
      </c>
      <c r="Z540" t="s">
        <v>4316</v>
      </c>
      <c r="AA540" t="s">
        <v>4317</v>
      </c>
      <c r="AB540" t="s">
        <v>5118</v>
      </c>
      <c r="AC540" t="s">
        <v>4865</v>
      </c>
      <c r="AD540" s="18">
        <v>46113</v>
      </c>
    </row>
    <row r="541" spans="1:30" ht="409.5" hidden="1">
      <c r="A541" s="1" t="s">
        <v>965</v>
      </c>
      <c r="B541" s="1">
        <v>1540</v>
      </c>
      <c r="C541" s="1">
        <v>10</v>
      </c>
      <c r="D541" s="1">
        <v>14</v>
      </c>
      <c r="E541" s="1" t="s">
        <v>4305</v>
      </c>
      <c r="F541" s="1" t="s">
        <v>4307</v>
      </c>
      <c r="G541" s="1" t="s">
        <v>40</v>
      </c>
      <c r="H541" s="1" t="s">
        <v>2508</v>
      </c>
      <c r="I541" s="1" t="s">
        <v>2509</v>
      </c>
      <c r="J541" s="1" t="s">
        <v>2510</v>
      </c>
      <c r="K541" s="1" t="s">
        <v>2511</v>
      </c>
      <c r="L541" s="1" t="s">
        <v>2512</v>
      </c>
      <c r="M541" s="1" t="s">
        <v>2513</v>
      </c>
      <c r="N541" s="1"/>
      <c r="O541" s="1" t="s">
        <v>9</v>
      </c>
      <c r="P541" s="1" t="s">
        <v>3939</v>
      </c>
      <c r="Q541" s="1"/>
      <c r="R541" s="1"/>
      <c r="S541" s="1"/>
      <c r="T541" s="1"/>
      <c r="U541" s="1"/>
      <c r="V541" s="1"/>
      <c r="W541" s="1"/>
      <c r="X541" s="1"/>
      <c r="Y541" t="s">
        <v>9</v>
      </c>
      <c r="Z541" t="s">
        <v>4316</v>
      </c>
      <c r="AA541" t="s">
        <v>4317</v>
      </c>
      <c r="AB541" t="s">
        <v>5119</v>
      </c>
      <c r="AC541" t="s">
        <v>4865</v>
      </c>
      <c r="AD541" s="18">
        <v>46113</v>
      </c>
    </row>
    <row r="542" spans="1:30" ht="150" hidden="1">
      <c r="A542" s="1" t="s">
        <v>965</v>
      </c>
      <c r="B542" s="1">
        <v>1541</v>
      </c>
      <c r="C542" s="1">
        <v>11</v>
      </c>
      <c r="D542" s="1">
        <v>1</v>
      </c>
      <c r="E542" s="1" t="s">
        <v>4292</v>
      </c>
      <c r="F542" s="1" t="s">
        <v>4293</v>
      </c>
      <c r="G542" s="1" t="s">
        <v>20</v>
      </c>
      <c r="H542" s="1" t="s">
        <v>2514</v>
      </c>
      <c r="I542" s="1" t="s">
        <v>2515</v>
      </c>
      <c r="J542" s="1" t="s">
        <v>2516</v>
      </c>
      <c r="K542" s="1" t="s">
        <v>2517</v>
      </c>
      <c r="L542" s="1" t="s">
        <v>2518</v>
      </c>
      <c r="M542" s="1"/>
      <c r="N542" s="1"/>
      <c r="O542" s="1" t="s">
        <v>7</v>
      </c>
      <c r="P542" s="1" t="s">
        <v>4099</v>
      </c>
      <c r="Q542" s="1"/>
      <c r="R542" s="1"/>
      <c r="S542" s="1"/>
      <c r="T542" s="1"/>
      <c r="U542" s="1">
        <v>1</v>
      </c>
      <c r="V542" s="1"/>
      <c r="W542" s="1"/>
      <c r="X542" s="1"/>
      <c r="Z542" t="s">
        <v>4386</v>
      </c>
      <c r="AB542" t="s">
        <v>5120</v>
      </c>
      <c r="AD542" s="18">
        <v>46113</v>
      </c>
    </row>
    <row r="543" spans="1:30" ht="135" hidden="1">
      <c r="A543" s="1" t="s">
        <v>965</v>
      </c>
      <c r="B543" s="1">
        <v>1542</v>
      </c>
      <c r="C543" s="1">
        <v>11</v>
      </c>
      <c r="D543" s="1">
        <v>2</v>
      </c>
      <c r="E543" s="1" t="s">
        <v>4292</v>
      </c>
      <c r="F543" s="1" t="s">
        <v>4304</v>
      </c>
      <c r="G543" s="1" t="s">
        <v>4294</v>
      </c>
      <c r="H543" s="1" t="s">
        <v>2519</v>
      </c>
      <c r="I543" s="1" t="s">
        <v>2520</v>
      </c>
      <c r="J543" s="1" t="s">
        <v>2521</v>
      </c>
      <c r="K543" s="1" t="s">
        <v>2522</v>
      </c>
      <c r="L543" s="1" t="s">
        <v>2523</v>
      </c>
      <c r="M543" s="1"/>
      <c r="N543" s="1"/>
      <c r="O543" s="1" t="s">
        <v>7</v>
      </c>
      <c r="P543" s="1" t="s">
        <v>4100</v>
      </c>
      <c r="Q543" s="1"/>
      <c r="R543" s="1"/>
      <c r="S543" s="1"/>
      <c r="T543" s="1"/>
      <c r="U543" s="1">
        <v>1</v>
      </c>
      <c r="V543" s="1"/>
      <c r="W543" s="1"/>
      <c r="X543" s="1"/>
      <c r="Y543" t="s">
        <v>7</v>
      </c>
      <c r="Z543" t="s">
        <v>4316</v>
      </c>
      <c r="AA543" t="s">
        <v>4317</v>
      </c>
      <c r="AB543" t="s">
        <v>5121</v>
      </c>
      <c r="AC543" t="s">
        <v>5053</v>
      </c>
      <c r="AD543" s="18">
        <v>46113</v>
      </c>
    </row>
    <row r="544" spans="1:30" ht="165" hidden="1">
      <c r="A544" s="1" t="s">
        <v>965</v>
      </c>
      <c r="B544" s="1">
        <v>1543</v>
      </c>
      <c r="C544" s="1">
        <v>11</v>
      </c>
      <c r="D544" s="1">
        <v>3</v>
      </c>
      <c r="E544" s="1" t="s">
        <v>4290</v>
      </c>
      <c r="F544" s="1" t="s">
        <v>4291</v>
      </c>
      <c r="G544" s="1" t="s">
        <v>4294</v>
      </c>
      <c r="H544" s="1" t="s">
        <v>2524</v>
      </c>
      <c r="I544" s="1" t="s">
        <v>2525</v>
      </c>
      <c r="J544" s="1" t="s">
        <v>2526</v>
      </c>
      <c r="K544" s="1" t="s">
        <v>2527</v>
      </c>
      <c r="L544" s="1" t="s">
        <v>2528</v>
      </c>
      <c r="M544" s="1"/>
      <c r="N544" s="1"/>
      <c r="O544" s="1" t="s">
        <v>8</v>
      </c>
      <c r="P544" s="1" t="s">
        <v>4101</v>
      </c>
      <c r="Q544" s="1"/>
      <c r="R544" s="1"/>
      <c r="S544" s="1"/>
      <c r="T544" s="1">
        <v>1</v>
      </c>
      <c r="U544" s="1"/>
      <c r="V544" s="1"/>
      <c r="W544" s="1"/>
      <c r="X544" s="1"/>
      <c r="Y544" t="s">
        <v>8</v>
      </c>
      <c r="Z544" t="s">
        <v>4316</v>
      </c>
      <c r="AA544" t="s">
        <v>4317</v>
      </c>
      <c r="AB544" t="s">
        <v>5122</v>
      </c>
      <c r="AC544" t="s">
        <v>5123</v>
      </c>
      <c r="AD544" s="18">
        <v>46113</v>
      </c>
    </row>
    <row r="545" spans="1:30" ht="150" hidden="1">
      <c r="A545" s="1" t="s">
        <v>965</v>
      </c>
      <c r="B545" s="1">
        <v>1544</v>
      </c>
      <c r="C545" s="1">
        <v>11</v>
      </c>
      <c r="D545" s="1">
        <v>4</v>
      </c>
      <c r="E545" s="1" t="s">
        <v>4292</v>
      </c>
      <c r="F545" s="1" t="s">
        <v>4293</v>
      </c>
      <c r="G545" s="1" t="s">
        <v>40</v>
      </c>
      <c r="H545" s="1" t="s">
        <v>2529</v>
      </c>
      <c r="I545" s="1" t="s">
        <v>2530</v>
      </c>
      <c r="J545" s="1" t="s">
        <v>2531</v>
      </c>
      <c r="K545" s="1" t="s">
        <v>2532</v>
      </c>
      <c r="L545" s="1" t="s">
        <v>2533</v>
      </c>
      <c r="M545" s="1"/>
      <c r="N545" s="1"/>
      <c r="O545" s="1" t="s">
        <v>9</v>
      </c>
      <c r="P545" s="1" t="s">
        <v>5499</v>
      </c>
      <c r="Q545" s="1"/>
      <c r="R545" s="1"/>
      <c r="S545" s="1"/>
      <c r="T545" s="1">
        <v>1</v>
      </c>
      <c r="U545" s="1"/>
      <c r="V545" s="1"/>
      <c r="W545" s="1"/>
      <c r="X545" s="1"/>
      <c r="Y545" t="s">
        <v>9</v>
      </c>
      <c r="Z545" t="s">
        <v>4316</v>
      </c>
      <c r="AA545" t="s">
        <v>4317</v>
      </c>
      <c r="AB545" t="s">
        <v>5124</v>
      </c>
      <c r="AC545" t="s">
        <v>4823</v>
      </c>
      <c r="AD545" s="18">
        <v>46113</v>
      </c>
    </row>
    <row r="546" spans="1:30" ht="210" hidden="1">
      <c r="A546" s="1" t="s">
        <v>965</v>
      </c>
      <c r="B546" s="1">
        <v>1545</v>
      </c>
      <c r="C546" s="1">
        <v>11</v>
      </c>
      <c r="D546" s="1">
        <v>5</v>
      </c>
      <c r="E546" s="1" t="s">
        <v>4290</v>
      </c>
      <c r="F546" s="1" t="s">
        <v>4308</v>
      </c>
      <c r="G546" s="1" t="s">
        <v>4294</v>
      </c>
      <c r="H546" s="1" t="s">
        <v>2534</v>
      </c>
      <c r="I546" s="1" t="s">
        <v>2535</v>
      </c>
      <c r="J546" s="1" t="s">
        <v>2536</v>
      </c>
      <c r="K546" s="1" t="s">
        <v>2537</v>
      </c>
      <c r="L546" s="1" t="s">
        <v>2538</v>
      </c>
      <c r="M546" s="1"/>
      <c r="N546" s="1"/>
      <c r="O546" s="1" t="s">
        <v>9</v>
      </c>
      <c r="P546" s="1" t="s">
        <v>4102</v>
      </c>
      <c r="Q546" s="1"/>
      <c r="R546" s="1"/>
      <c r="S546" s="1"/>
      <c r="T546" s="1"/>
      <c r="U546" s="1">
        <v>1</v>
      </c>
      <c r="V546" s="1"/>
      <c r="W546" s="1"/>
      <c r="X546" s="1"/>
      <c r="Y546" t="s">
        <v>9</v>
      </c>
      <c r="Z546" t="s">
        <v>4316</v>
      </c>
      <c r="AA546" t="s">
        <v>4317</v>
      </c>
      <c r="AB546" t="s">
        <v>5125</v>
      </c>
      <c r="AD546" s="18">
        <v>46113</v>
      </c>
    </row>
    <row r="547" spans="1:30" ht="165" hidden="1">
      <c r="A547" s="1" t="s">
        <v>965</v>
      </c>
      <c r="B547" s="1">
        <v>1546</v>
      </c>
      <c r="C547" s="1">
        <v>11</v>
      </c>
      <c r="D547" s="1">
        <v>6</v>
      </c>
      <c r="E547" s="1" t="s">
        <v>4292</v>
      </c>
      <c r="F547" s="1" t="s">
        <v>4293</v>
      </c>
      <c r="G547" s="1" t="s">
        <v>4294</v>
      </c>
      <c r="H547" s="1" t="s">
        <v>2539</v>
      </c>
      <c r="I547" s="1" t="s">
        <v>2540</v>
      </c>
      <c r="J547" s="1" t="s">
        <v>2541</v>
      </c>
      <c r="K547" s="1" t="s">
        <v>2542</v>
      </c>
      <c r="L547" s="1" t="s">
        <v>2543</v>
      </c>
      <c r="M547" s="1"/>
      <c r="N547" s="1"/>
      <c r="O547" s="1" t="s">
        <v>7</v>
      </c>
      <c r="P547" s="1" t="s">
        <v>4103</v>
      </c>
      <c r="Q547" s="1"/>
      <c r="R547" s="1"/>
      <c r="S547" s="1"/>
      <c r="T547" s="1"/>
      <c r="U547" s="1"/>
      <c r="V547" s="1"/>
      <c r="W547" s="1"/>
      <c r="X547" s="1"/>
      <c r="Y547" t="s">
        <v>7</v>
      </c>
      <c r="Z547" t="s">
        <v>4316</v>
      </c>
      <c r="AA547" t="s">
        <v>4317</v>
      </c>
      <c r="AB547" t="s">
        <v>5126</v>
      </c>
      <c r="AC547" t="s">
        <v>4444</v>
      </c>
      <c r="AD547" s="18">
        <v>46113</v>
      </c>
    </row>
    <row r="548" spans="1:30" ht="180" hidden="1">
      <c r="A548" s="1" t="s">
        <v>965</v>
      </c>
      <c r="B548" s="1">
        <v>1547</v>
      </c>
      <c r="C548" s="1">
        <v>11</v>
      </c>
      <c r="D548" s="1">
        <v>7</v>
      </c>
      <c r="E548" s="1" t="s">
        <v>4292</v>
      </c>
      <c r="F548" s="1" t="s">
        <v>4293</v>
      </c>
      <c r="G548" s="1" t="s">
        <v>4294</v>
      </c>
      <c r="H548" s="1" t="s">
        <v>2544</v>
      </c>
      <c r="I548" s="1" t="s">
        <v>2545</v>
      </c>
      <c r="J548" s="1" t="s">
        <v>2546</v>
      </c>
      <c r="K548" s="1" t="s">
        <v>2547</v>
      </c>
      <c r="L548" s="1" t="s">
        <v>2548</v>
      </c>
      <c r="M548" s="1"/>
      <c r="N548" s="1"/>
      <c r="O548" s="1" t="s">
        <v>7</v>
      </c>
      <c r="P548" s="1" t="s">
        <v>4104</v>
      </c>
      <c r="Q548" s="1"/>
      <c r="R548" s="1"/>
      <c r="S548" s="1"/>
      <c r="T548" s="1"/>
      <c r="U548" s="1"/>
      <c r="V548" s="1"/>
      <c r="W548" s="1"/>
      <c r="X548" s="1"/>
      <c r="Y548" t="s">
        <v>7</v>
      </c>
      <c r="Z548" t="s">
        <v>4316</v>
      </c>
      <c r="AA548" t="s">
        <v>4317</v>
      </c>
      <c r="AB548" t="s">
        <v>5127</v>
      </c>
      <c r="AC548" t="s">
        <v>4823</v>
      </c>
      <c r="AD548" s="18">
        <v>46113</v>
      </c>
    </row>
    <row r="549" spans="1:30" ht="165" hidden="1">
      <c r="A549" s="1" t="s">
        <v>965</v>
      </c>
      <c r="B549" s="1">
        <v>1548</v>
      </c>
      <c r="C549" s="1">
        <v>11</v>
      </c>
      <c r="D549" s="1">
        <v>8</v>
      </c>
      <c r="E549" s="1" t="s">
        <v>4295</v>
      </c>
      <c r="F549" s="1" t="s">
        <v>4296</v>
      </c>
      <c r="G549" s="1" t="s">
        <v>4294</v>
      </c>
      <c r="H549" s="1" t="s">
        <v>2549</v>
      </c>
      <c r="I549" s="1" t="s">
        <v>2550</v>
      </c>
      <c r="J549" s="1" t="s">
        <v>2551</v>
      </c>
      <c r="K549" s="1" t="s">
        <v>2552</v>
      </c>
      <c r="L549" s="1" t="s">
        <v>2553</v>
      </c>
      <c r="M549" s="1"/>
      <c r="N549" s="1"/>
      <c r="O549" s="1" t="s">
        <v>10</v>
      </c>
      <c r="P549" s="1" t="s">
        <v>5500</v>
      </c>
      <c r="Q549" s="1"/>
      <c r="R549" s="1"/>
      <c r="S549" s="1"/>
      <c r="T549" s="1">
        <v>1</v>
      </c>
      <c r="U549" s="1"/>
      <c r="V549" s="1"/>
      <c r="W549" s="1"/>
      <c r="X549" s="1"/>
      <c r="Y549" t="s">
        <v>10</v>
      </c>
      <c r="Z549" t="s">
        <v>4316</v>
      </c>
      <c r="AA549" t="s">
        <v>4317</v>
      </c>
      <c r="AB549" t="s">
        <v>5128</v>
      </c>
      <c r="AC549" t="s">
        <v>5129</v>
      </c>
      <c r="AD549" s="18">
        <v>46113</v>
      </c>
    </row>
    <row r="550" spans="1:30" ht="405" hidden="1">
      <c r="A550" s="1" t="s">
        <v>965</v>
      </c>
      <c r="B550" s="1">
        <v>1549</v>
      </c>
      <c r="C550" s="1">
        <v>11</v>
      </c>
      <c r="D550" s="1">
        <v>9</v>
      </c>
      <c r="E550" s="1" t="s">
        <v>4305</v>
      </c>
      <c r="F550" s="1" t="s">
        <v>4307</v>
      </c>
      <c r="G550" s="1" t="s">
        <v>4294</v>
      </c>
      <c r="H550" s="1" t="s">
        <v>2554</v>
      </c>
      <c r="I550" s="1" t="s">
        <v>2555</v>
      </c>
      <c r="J550" s="1" t="s">
        <v>2556</v>
      </c>
      <c r="K550" s="1" t="s">
        <v>2557</v>
      </c>
      <c r="L550" s="1" t="s">
        <v>2558</v>
      </c>
      <c r="M550" s="1"/>
      <c r="N550" s="1"/>
      <c r="O550" s="1" t="s">
        <v>7</v>
      </c>
      <c r="P550" s="1" t="s">
        <v>4105</v>
      </c>
      <c r="Q550" s="1"/>
      <c r="R550" s="1"/>
      <c r="S550" s="1"/>
      <c r="T550" s="1"/>
      <c r="U550" s="1">
        <v>1</v>
      </c>
      <c r="V550" s="1"/>
      <c r="W550" s="1"/>
      <c r="X550" s="1"/>
      <c r="Y550" t="s">
        <v>7</v>
      </c>
      <c r="Z550" t="s">
        <v>4316</v>
      </c>
      <c r="AA550" t="s">
        <v>4317</v>
      </c>
      <c r="AB550" t="s">
        <v>5130</v>
      </c>
      <c r="AC550" t="s">
        <v>4865</v>
      </c>
      <c r="AD550" s="18">
        <v>46113</v>
      </c>
    </row>
    <row r="551" spans="1:30" ht="165" hidden="1">
      <c r="A551" s="1" t="s">
        <v>965</v>
      </c>
      <c r="B551" s="1">
        <v>1550</v>
      </c>
      <c r="C551" s="1">
        <v>11</v>
      </c>
      <c r="D551" s="1">
        <v>10</v>
      </c>
      <c r="E551" s="1" t="s">
        <v>4297</v>
      </c>
      <c r="F551" s="1" t="s">
        <v>4298</v>
      </c>
      <c r="G551" s="1" t="s">
        <v>4294</v>
      </c>
      <c r="H551" s="1" t="s">
        <v>2559</v>
      </c>
      <c r="I551" s="1" t="s">
        <v>2560</v>
      </c>
      <c r="J551" s="1" t="s">
        <v>2561</v>
      </c>
      <c r="K551" s="1" t="s">
        <v>2562</v>
      </c>
      <c r="L551" s="1" t="s">
        <v>2563</v>
      </c>
      <c r="M551" s="1"/>
      <c r="N551" s="1"/>
      <c r="O551" s="1" t="s">
        <v>8</v>
      </c>
      <c r="P551" s="1" t="s">
        <v>4106</v>
      </c>
      <c r="Q551" s="1"/>
      <c r="R551" s="1"/>
      <c r="S551" s="1"/>
      <c r="T551" s="1"/>
      <c r="U551" s="1"/>
      <c r="V551" s="1"/>
      <c r="W551" s="1"/>
      <c r="X551" s="1"/>
      <c r="Y551" t="s">
        <v>8</v>
      </c>
      <c r="Z551" t="s">
        <v>4316</v>
      </c>
      <c r="AA551" t="s">
        <v>4317</v>
      </c>
      <c r="AB551" t="s">
        <v>5131</v>
      </c>
      <c r="AC551" t="s">
        <v>4844</v>
      </c>
      <c r="AD551" s="18">
        <v>46113</v>
      </c>
    </row>
    <row r="552" spans="1:30" ht="375" hidden="1">
      <c r="A552" s="1" t="s">
        <v>965</v>
      </c>
      <c r="B552" s="1">
        <v>1551</v>
      </c>
      <c r="C552" s="1">
        <v>11</v>
      </c>
      <c r="D552" s="1">
        <v>11</v>
      </c>
      <c r="E552" s="1" t="s">
        <v>4297</v>
      </c>
      <c r="F552" s="1" t="s">
        <v>4298</v>
      </c>
      <c r="G552" s="1" t="s">
        <v>20</v>
      </c>
      <c r="H552" s="1" t="s">
        <v>2564</v>
      </c>
      <c r="I552" s="1" t="s">
        <v>2565</v>
      </c>
      <c r="J552" s="1" t="s">
        <v>2566</v>
      </c>
      <c r="K552" s="1" t="s">
        <v>2567</v>
      </c>
      <c r="L552" s="1" t="s">
        <v>2568</v>
      </c>
      <c r="M552" s="1"/>
      <c r="N552" s="1"/>
      <c r="O552" s="1" t="s">
        <v>8</v>
      </c>
      <c r="P552" s="1" t="s">
        <v>4107</v>
      </c>
      <c r="Q552" s="1"/>
      <c r="R552" s="1"/>
      <c r="S552" s="1"/>
      <c r="T552" s="1"/>
      <c r="U552" s="1"/>
      <c r="V552" s="1"/>
      <c r="W552" s="1"/>
      <c r="X552" s="1"/>
      <c r="Y552" t="s">
        <v>8</v>
      </c>
      <c r="Z552" t="s">
        <v>4316</v>
      </c>
      <c r="AA552" t="s">
        <v>4317</v>
      </c>
      <c r="AB552" t="s">
        <v>5148</v>
      </c>
      <c r="AC552" t="s">
        <v>4350</v>
      </c>
      <c r="AD552" s="18">
        <v>46117</v>
      </c>
    </row>
    <row r="553" spans="1:30" ht="210" hidden="1">
      <c r="A553" s="1" t="s">
        <v>965</v>
      </c>
      <c r="B553" s="1">
        <v>1552</v>
      </c>
      <c r="C553" s="1">
        <v>11</v>
      </c>
      <c r="D553" s="1">
        <v>12</v>
      </c>
      <c r="E553" s="1" t="s">
        <v>4292</v>
      </c>
      <c r="F553" s="1" t="s">
        <v>4293</v>
      </c>
      <c r="G553" s="1" t="s">
        <v>20</v>
      </c>
      <c r="H553" s="1" t="s">
        <v>2569</v>
      </c>
      <c r="I553" s="1" t="s">
        <v>2570</v>
      </c>
      <c r="J553" s="1" t="s">
        <v>2571</v>
      </c>
      <c r="K553" s="1" t="s">
        <v>2572</v>
      </c>
      <c r="L553" s="1" t="s">
        <v>2573</v>
      </c>
      <c r="M553" s="1"/>
      <c r="N553" s="1"/>
      <c r="O553" s="1" t="s">
        <v>7</v>
      </c>
      <c r="P553" s="1" t="s">
        <v>4108</v>
      </c>
      <c r="Q553" s="1"/>
      <c r="R553" s="1"/>
      <c r="S553" s="1"/>
      <c r="T553" s="1">
        <v>1</v>
      </c>
      <c r="U553" s="1"/>
      <c r="V553" s="1"/>
      <c r="W553" s="1"/>
      <c r="X553" s="1"/>
      <c r="Y553" t="s">
        <v>7</v>
      </c>
      <c r="Z553" t="s">
        <v>4316</v>
      </c>
      <c r="AA553" t="s">
        <v>4317</v>
      </c>
      <c r="AB553" t="s">
        <v>5149</v>
      </c>
      <c r="AC553" t="s">
        <v>4979</v>
      </c>
      <c r="AD553" s="18">
        <v>46117</v>
      </c>
    </row>
    <row r="554" spans="1:30" ht="195" hidden="1">
      <c r="A554" s="1" t="s">
        <v>965</v>
      </c>
      <c r="B554" s="1">
        <v>1553</v>
      </c>
      <c r="C554" s="1">
        <v>11</v>
      </c>
      <c r="D554" s="1">
        <v>13</v>
      </c>
      <c r="E554" s="1" t="s">
        <v>4292</v>
      </c>
      <c r="F554" s="1" t="s">
        <v>4304</v>
      </c>
      <c r="G554" s="1" t="s">
        <v>4294</v>
      </c>
      <c r="H554" s="1" t="s">
        <v>2574</v>
      </c>
      <c r="I554" s="1" t="s">
        <v>2575</v>
      </c>
      <c r="J554" s="1" t="s">
        <v>2576</v>
      </c>
      <c r="K554" s="1" t="s">
        <v>2577</v>
      </c>
      <c r="L554" s="1" t="s">
        <v>2578</v>
      </c>
      <c r="M554" s="1"/>
      <c r="N554" s="1"/>
      <c r="O554" s="1" t="s">
        <v>7</v>
      </c>
      <c r="P554" s="1" t="s">
        <v>4109</v>
      </c>
      <c r="Q554" s="1"/>
      <c r="R554" s="1"/>
      <c r="S554" s="1"/>
      <c r="T554" s="1"/>
      <c r="U554" s="1"/>
      <c r="V554" s="1"/>
      <c r="W554" s="1"/>
      <c r="X554" s="1"/>
      <c r="Y554" t="s">
        <v>7</v>
      </c>
      <c r="Z554" t="s">
        <v>4316</v>
      </c>
      <c r="AA554" t="s">
        <v>4317</v>
      </c>
      <c r="AB554" t="s">
        <v>5150</v>
      </c>
      <c r="AC554" t="s">
        <v>5151</v>
      </c>
      <c r="AD554" s="18">
        <v>46117</v>
      </c>
    </row>
    <row r="555" spans="1:30" ht="195" hidden="1">
      <c r="A555" s="1" t="s">
        <v>965</v>
      </c>
      <c r="B555" s="1">
        <v>1554</v>
      </c>
      <c r="C555" s="1">
        <v>11</v>
      </c>
      <c r="D555" s="1">
        <v>14</v>
      </c>
      <c r="E555" s="1" t="s">
        <v>4295</v>
      </c>
      <c r="F555" s="1" t="s">
        <v>2580</v>
      </c>
      <c r="G555" s="1" t="s">
        <v>4294</v>
      </c>
      <c r="H555" s="1" t="s">
        <v>2579</v>
      </c>
      <c r="I555" s="1" t="s">
        <v>2580</v>
      </c>
      <c r="J555" s="1" t="s">
        <v>1476</v>
      </c>
      <c r="K555" s="1" t="s">
        <v>227</v>
      </c>
      <c r="L555" s="1" t="s">
        <v>2581</v>
      </c>
      <c r="M555" s="1"/>
      <c r="N555" s="1"/>
      <c r="O555" s="1" t="s">
        <v>7</v>
      </c>
      <c r="P555" s="1" t="s">
        <v>4110</v>
      </c>
      <c r="Q555" s="1"/>
      <c r="R555" s="1"/>
      <c r="S555" s="1"/>
      <c r="T555" s="1"/>
      <c r="U555" s="1"/>
      <c r="V555" s="1"/>
      <c r="W555" s="1"/>
      <c r="X555" s="1"/>
      <c r="Y555" t="s">
        <v>7</v>
      </c>
      <c r="Z555" t="s">
        <v>4316</v>
      </c>
      <c r="AA555" t="s">
        <v>4317</v>
      </c>
      <c r="AB555" t="s">
        <v>5152</v>
      </c>
      <c r="AC555" t="s">
        <v>5153</v>
      </c>
      <c r="AD555" s="18">
        <v>46117</v>
      </c>
    </row>
    <row r="556" spans="1:30" ht="225" hidden="1">
      <c r="A556" s="1" t="s">
        <v>965</v>
      </c>
      <c r="B556" s="1">
        <v>1555</v>
      </c>
      <c r="C556" s="1">
        <v>11</v>
      </c>
      <c r="D556" s="1">
        <v>15</v>
      </c>
      <c r="E556" s="1" t="s">
        <v>4290</v>
      </c>
      <c r="F556" s="1" t="s">
        <v>4291</v>
      </c>
      <c r="G556" s="1" t="s">
        <v>20</v>
      </c>
      <c r="H556" s="1" t="s">
        <v>2582</v>
      </c>
      <c r="I556" s="1" t="s">
        <v>2583</v>
      </c>
      <c r="J556" s="1" t="s">
        <v>2584</v>
      </c>
      <c r="K556" s="1" t="s">
        <v>2585</v>
      </c>
      <c r="L556" s="1" t="s">
        <v>2586</v>
      </c>
      <c r="M556" s="1"/>
      <c r="N556" s="1"/>
      <c r="O556" s="1" t="s">
        <v>9</v>
      </c>
      <c r="P556" s="1" t="s">
        <v>5501</v>
      </c>
      <c r="Q556" s="1"/>
      <c r="R556" s="1"/>
      <c r="S556" s="1"/>
      <c r="T556" s="1">
        <v>1</v>
      </c>
      <c r="U556" s="1"/>
      <c r="V556" s="1"/>
      <c r="W556" s="1"/>
      <c r="X556" s="1"/>
      <c r="Y556" t="s">
        <v>9</v>
      </c>
      <c r="Z556" t="s">
        <v>4316</v>
      </c>
      <c r="AA556" t="s">
        <v>4317</v>
      </c>
      <c r="AB556" t="s">
        <v>5154</v>
      </c>
      <c r="AC556" t="s">
        <v>4481</v>
      </c>
      <c r="AD556" s="18">
        <v>46117</v>
      </c>
    </row>
    <row r="557" spans="1:30" ht="90" hidden="1">
      <c r="A557" s="1" t="s">
        <v>965</v>
      </c>
      <c r="B557" s="1">
        <v>1556</v>
      </c>
      <c r="C557" s="1">
        <v>11</v>
      </c>
      <c r="D557" s="1">
        <v>16</v>
      </c>
      <c r="E557" s="1" t="s">
        <v>4297</v>
      </c>
      <c r="F557" s="1" t="s">
        <v>4298</v>
      </c>
      <c r="G557" s="1" t="s">
        <v>20</v>
      </c>
      <c r="H557" s="1" t="s">
        <v>2587</v>
      </c>
      <c r="I557" s="1" t="s">
        <v>2588</v>
      </c>
      <c r="J557" s="1" t="s">
        <v>2589</v>
      </c>
      <c r="K557" s="1" t="s">
        <v>2590</v>
      </c>
      <c r="L557" s="1" t="s">
        <v>2591</v>
      </c>
      <c r="M557" s="1"/>
      <c r="N557" s="1"/>
      <c r="O557" s="1" t="s">
        <v>9</v>
      </c>
      <c r="P557" s="1" t="s">
        <v>4111</v>
      </c>
      <c r="Q557" s="1"/>
      <c r="R557" s="1"/>
      <c r="S557" s="1"/>
      <c r="T557" s="1"/>
      <c r="U557" s="1"/>
      <c r="V557" s="1"/>
      <c r="W557" s="1"/>
      <c r="X557" s="1"/>
      <c r="Y557" t="s">
        <v>9</v>
      </c>
      <c r="Z557" t="s">
        <v>4316</v>
      </c>
      <c r="AA557" t="s">
        <v>4317</v>
      </c>
      <c r="AB557" t="s">
        <v>5155</v>
      </c>
      <c r="AC557" t="s">
        <v>4330</v>
      </c>
      <c r="AD557" s="18">
        <v>46117</v>
      </c>
    </row>
    <row r="558" spans="1:30" ht="75" hidden="1">
      <c r="A558" s="1" t="s">
        <v>965</v>
      </c>
      <c r="B558" s="1">
        <v>1557</v>
      </c>
      <c r="C558" s="1">
        <v>11</v>
      </c>
      <c r="D558" s="1">
        <v>17</v>
      </c>
      <c r="E558" s="1" t="s">
        <v>4297</v>
      </c>
      <c r="F558" s="1" t="s">
        <v>4301</v>
      </c>
      <c r="G558" s="1" t="s">
        <v>4294</v>
      </c>
      <c r="H558" s="1" t="s">
        <v>2592</v>
      </c>
      <c r="I558" s="1" t="s">
        <v>2593</v>
      </c>
      <c r="J558" s="1" t="s">
        <v>2594</v>
      </c>
      <c r="K558" s="1" t="s">
        <v>2595</v>
      </c>
      <c r="L558" s="1" t="s">
        <v>230</v>
      </c>
      <c r="M558" s="1"/>
      <c r="N558" s="1"/>
      <c r="O558" s="1" t="s">
        <v>7</v>
      </c>
      <c r="P558" s="1" t="s">
        <v>4112</v>
      </c>
      <c r="Q558" s="1"/>
      <c r="R558" s="1"/>
      <c r="S558" s="1"/>
      <c r="T558" s="1"/>
      <c r="U558" s="1"/>
      <c r="V558" s="1"/>
      <c r="W558" s="1"/>
      <c r="X558" s="1"/>
      <c r="Y558" t="s">
        <v>7</v>
      </c>
      <c r="Z558" t="s">
        <v>4316</v>
      </c>
      <c r="AA558" t="s">
        <v>4317</v>
      </c>
      <c r="AB558" t="s">
        <v>5156</v>
      </c>
      <c r="AC558" t="s">
        <v>4350</v>
      </c>
      <c r="AD558" s="18">
        <v>46117</v>
      </c>
    </row>
    <row r="559" spans="1:30" ht="409.5" hidden="1">
      <c r="A559" s="1" t="s">
        <v>965</v>
      </c>
      <c r="B559" s="1">
        <v>1558</v>
      </c>
      <c r="C559" s="1">
        <v>11</v>
      </c>
      <c r="D559" s="1">
        <v>18</v>
      </c>
      <c r="E559" s="1" t="s">
        <v>4305</v>
      </c>
      <c r="F559" s="1" t="s">
        <v>4307</v>
      </c>
      <c r="G559" s="1" t="s">
        <v>4294</v>
      </c>
      <c r="H559" s="1" t="s">
        <v>2596</v>
      </c>
      <c r="I559" s="1" t="s">
        <v>2597</v>
      </c>
      <c r="J559" s="1" t="s">
        <v>2598</v>
      </c>
      <c r="K559" s="1" t="s">
        <v>2599</v>
      </c>
      <c r="L559" s="1" t="s">
        <v>2600</v>
      </c>
      <c r="M559" s="1"/>
      <c r="N559" s="1"/>
      <c r="O559" s="1" t="s">
        <v>7</v>
      </c>
      <c r="P559" s="1" t="s">
        <v>5502</v>
      </c>
      <c r="Q559" s="1"/>
      <c r="R559" s="1"/>
      <c r="S559" s="1"/>
      <c r="T559" s="1"/>
      <c r="U559" s="1"/>
      <c r="V559" s="1"/>
      <c r="W559" s="1"/>
      <c r="X559" s="1"/>
      <c r="Z559" t="s">
        <v>4386</v>
      </c>
      <c r="AB559" t="s">
        <v>5157</v>
      </c>
      <c r="AC559" t="s">
        <v>5158</v>
      </c>
      <c r="AD559" s="18">
        <v>46117</v>
      </c>
    </row>
    <row r="560" spans="1:30" ht="300" hidden="1">
      <c r="A560" s="1" t="s">
        <v>965</v>
      </c>
      <c r="B560" s="1">
        <v>1559</v>
      </c>
      <c r="C560" s="1">
        <v>11</v>
      </c>
      <c r="D560" s="1">
        <v>19</v>
      </c>
      <c r="E560" s="1" t="s">
        <v>4305</v>
      </c>
      <c r="F560" s="1" t="s">
        <v>4307</v>
      </c>
      <c r="G560" s="1" t="s">
        <v>4294</v>
      </c>
      <c r="H560" s="1" t="s">
        <v>2601</v>
      </c>
      <c r="I560" s="1" t="s">
        <v>2602</v>
      </c>
      <c r="J560" s="1" t="s">
        <v>2603</v>
      </c>
      <c r="K560" s="1" t="s">
        <v>2604</v>
      </c>
      <c r="L560" s="1" t="s">
        <v>2605</v>
      </c>
      <c r="M560" s="1"/>
      <c r="N560" s="1"/>
      <c r="O560" s="1" t="s">
        <v>8</v>
      </c>
      <c r="P560" s="1" t="s">
        <v>4113</v>
      </c>
      <c r="Q560" s="1"/>
      <c r="R560" s="1"/>
      <c r="S560" s="1"/>
      <c r="T560" s="1">
        <v>1</v>
      </c>
      <c r="U560" s="1"/>
      <c r="V560" s="1"/>
      <c r="W560" s="1"/>
      <c r="X560" s="1"/>
      <c r="Y560" t="s">
        <v>8</v>
      </c>
      <c r="Z560" t="s">
        <v>4316</v>
      </c>
      <c r="AA560" t="s">
        <v>4317</v>
      </c>
      <c r="AB560" t="s">
        <v>5159</v>
      </c>
      <c r="AC560" t="s">
        <v>4865</v>
      </c>
      <c r="AD560" s="18">
        <v>46117</v>
      </c>
    </row>
    <row r="561" spans="1:30" ht="75" hidden="1">
      <c r="A561" s="1" t="s">
        <v>965</v>
      </c>
      <c r="B561" s="1">
        <v>1560</v>
      </c>
      <c r="C561" s="1">
        <v>11</v>
      </c>
      <c r="D561" s="1">
        <v>20</v>
      </c>
      <c r="E561" s="1" t="s">
        <v>4305</v>
      </c>
      <c r="F561" s="1" t="s">
        <v>4307</v>
      </c>
      <c r="G561" s="1" t="s">
        <v>4294</v>
      </c>
      <c r="H561" s="1" t="s">
        <v>2606</v>
      </c>
      <c r="I561" s="1" t="s">
        <v>2607</v>
      </c>
      <c r="J561" s="1" t="s">
        <v>2608</v>
      </c>
      <c r="K561" s="1" t="s">
        <v>2609</v>
      </c>
      <c r="L561" s="1" t="s">
        <v>2610</v>
      </c>
      <c r="M561" s="1"/>
      <c r="N561" s="1"/>
      <c r="O561" s="1" t="s">
        <v>9</v>
      </c>
      <c r="P561" s="1" t="s">
        <v>4114</v>
      </c>
      <c r="Q561" s="1"/>
      <c r="R561" s="1"/>
      <c r="S561" s="1"/>
      <c r="T561" s="1"/>
      <c r="U561" s="1"/>
      <c r="V561" s="1"/>
      <c r="W561" s="1"/>
      <c r="X561" s="1"/>
      <c r="Y561" t="s">
        <v>9</v>
      </c>
      <c r="Z561" t="s">
        <v>4316</v>
      </c>
      <c r="AA561" t="s">
        <v>4317</v>
      </c>
      <c r="AB561" t="s">
        <v>5160</v>
      </c>
      <c r="AC561" t="s">
        <v>4792</v>
      </c>
      <c r="AD561" s="18">
        <v>46117</v>
      </c>
    </row>
    <row r="562" spans="1:30" ht="75" hidden="1">
      <c r="A562" s="1" t="s">
        <v>965</v>
      </c>
      <c r="B562" s="1">
        <v>1561</v>
      </c>
      <c r="C562" s="1">
        <v>11</v>
      </c>
      <c r="D562" s="1">
        <v>21</v>
      </c>
      <c r="E562" s="1" t="s">
        <v>4305</v>
      </c>
      <c r="F562" s="1" t="s">
        <v>4306</v>
      </c>
      <c r="G562" s="1" t="s">
        <v>20</v>
      </c>
      <c r="H562" s="1" t="s">
        <v>2611</v>
      </c>
      <c r="I562" s="1" t="s">
        <v>2612</v>
      </c>
      <c r="J562" s="1" t="s">
        <v>2613</v>
      </c>
      <c r="K562" s="1" t="s">
        <v>2614</v>
      </c>
      <c r="L562" s="1" t="s">
        <v>2615</v>
      </c>
      <c r="M562" s="1"/>
      <c r="N562" s="1"/>
      <c r="O562" s="1" t="s">
        <v>8</v>
      </c>
      <c r="P562" s="1" t="s">
        <v>4115</v>
      </c>
      <c r="Q562" s="1"/>
      <c r="R562" s="1"/>
      <c r="S562" s="1"/>
      <c r="T562" s="1"/>
      <c r="U562" s="1">
        <v>1</v>
      </c>
      <c r="V562" s="1"/>
      <c r="W562" s="1"/>
      <c r="X562" s="1"/>
      <c r="Y562" t="s">
        <v>8</v>
      </c>
      <c r="Z562" t="s">
        <v>4316</v>
      </c>
      <c r="AA562" t="s">
        <v>4317</v>
      </c>
      <c r="AB562" t="s">
        <v>5161</v>
      </c>
      <c r="AC562" t="s">
        <v>5162</v>
      </c>
      <c r="AD562" s="18">
        <v>46117</v>
      </c>
    </row>
    <row r="563" spans="1:30" ht="409.5" hidden="1">
      <c r="A563" s="1" t="s">
        <v>965</v>
      </c>
      <c r="B563" s="1">
        <v>1562</v>
      </c>
      <c r="C563" s="1">
        <v>11</v>
      </c>
      <c r="D563" s="1">
        <v>22</v>
      </c>
      <c r="E563" s="1" t="s">
        <v>4305</v>
      </c>
      <c r="F563" s="1" t="s">
        <v>3339</v>
      </c>
      <c r="G563" s="1" t="s">
        <v>20</v>
      </c>
      <c r="H563" s="1" t="s">
        <v>2616</v>
      </c>
      <c r="I563" s="1" t="s">
        <v>2617</v>
      </c>
      <c r="J563" s="1" t="s">
        <v>2618</v>
      </c>
      <c r="K563" s="1" t="s">
        <v>2619</v>
      </c>
      <c r="L563" s="1" t="s">
        <v>2620</v>
      </c>
      <c r="M563" s="1"/>
      <c r="N563" s="1"/>
      <c r="O563" s="1" t="s">
        <v>7</v>
      </c>
      <c r="P563" s="1" t="s">
        <v>4116</v>
      </c>
      <c r="Q563" s="1"/>
      <c r="R563" s="1"/>
      <c r="S563" s="1"/>
      <c r="T563" s="1"/>
      <c r="U563" s="1"/>
      <c r="V563" s="1"/>
      <c r="W563" s="1"/>
      <c r="X563" s="1"/>
      <c r="Y563" t="s">
        <v>7</v>
      </c>
      <c r="Z563" t="s">
        <v>4316</v>
      </c>
      <c r="AA563" t="s">
        <v>4317</v>
      </c>
      <c r="AB563" t="s">
        <v>5163</v>
      </c>
      <c r="AC563" t="s">
        <v>5164</v>
      </c>
      <c r="AD563" s="18">
        <v>46117</v>
      </c>
    </row>
    <row r="564" spans="1:30" ht="90" hidden="1">
      <c r="A564" s="1" t="s">
        <v>965</v>
      </c>
      <c r="B564" s="1">
        <v>1563</v>
      </c>
      <c r="C564" s="1">
        <v>11</v>
      </c>
      <c r="D564" s="1">
        <v>23</v>
      </c>
      <c r="E564" s="1" t="s">
        <v>4305</v>
      </c>
      <c r="F564" s="1" t="s">
        <v>4307</v>
      </c>
      <c r="G564" s="1" t="s">
        <v>4294</v>
      </c>
      <c r="H564" s="1" t="s">
        <v>2621</v>
      </c>
      <c r="I564" s="1" t="s">
        <v>2622</v>
      </c>
      <c r="J564" s="1" t="s">
        <v>2623</v>
      </c>
      <c r="K564" s="1" t="s">
        <v>2624</v>
      </c>
      <c r="L564" s="1" t="s">
        <v>2625</v>
      </c>
      <c r="M564" s="1"/>
      <c r="N564" s="1"/>
      <c r="O564" s="1" t="s">
        <v>9</v>
      </c>
      <c r="P564" s="1" t="s">
        <v>4117</v>
      </c>
      <c r="Q564" s="1"/>
      <c r="R564" s="1"/>
      <c r="S564" s="1"/>
      <c r="T564" s="1"/>
      <c r="U564" s="1"/>
      <c r="V564" s="1"/>
      <c r="W564" s="1"/>
      <c r="X564" s="1"/>
      <c r="Y564" t="s">
        <v>9</v>
      </c>
      <c r="Z564" t="s">
        <v>4316</v>
      </c>
      <c r="AA564" t="s">
        <v>4317</v>
      </c>
      <c r="AB564" t="s">
        <v>5165</v>
      </c>
      <c r="AC564" t="s">
        <v>4865</v>
      </c>
      <c r="AD564" s="18">
        <v>46117</v>
      </c>
    </row>
    <row r="565" spans="1:30" ht="225" hidden="1">
      <c r="A565" s="1" t="s">
        <v>965</v>
      </c>
      <c r="B565" s="1">
        <v>1564</v>
      </c>
      <c r="C565" s="1">
        <v>11</v>
      </c>
      <c r="D565" s="1">
        <v>24</v>
      </c>
      <c r="E565" s="1" t="s">
        <v>4305</v>
      </c>
      <c r="F565" s="1" t="s">
        <v>3339</v>
      </c>
      <c r="G565" s="1" t="s">
        <v>20</v>
      </c>
      <c r="H565" s="1" t="s">
        <v>2626</v>
      </c>
      <c r="I565" s="1" t="s">
        <v>2627</v>
      </c>
      <c r="J565" s="1" t="s">
        <v>2628</v>
      </c>
      <c r="K565" s="1" t="s">
        <v>2629</v>
      </c>
      <c r="L565" s="1" t="s">
        <v>2630</v>
      </c>
      <c r="M565" s="1"/>
      <c r="N565" s="1"/>
      <c r="O565" s="1" t="s">
        <v>8</v>
      </c>
      <c r="P565" s="1" t="s">
        <v>4118</v>
      </c>
      <c r="Q565" s="1"/>
      <c r="R565" s="1"/>
      <c r="S565" s="1"/>
      <c r="T565" s="1"/>
      <c r="U565" s="1"/>
      <c r="V565" s="1"/>
      <c r="W565" s="1"/>
      <c r="X565" s="1"/>
      <c r="Y565" t="s">
        <v>8</v>
      </c>
      <c r="Z565" t="s">
        <v>4316</v>
      </c>
      <c r="AA565" t="s">
        <v>4317</v>
      </c>
      <c r="AB565" t="s">
        <v>5166</v>
      </c>
      <c r="AC565" t="s">
        <v>5164</v>
      </c>
      <c r="AD565" s="18">
        <v>46117</v>
      </c>
    </row>
    <row r="566" spans="1:30" ht="315" hidden="1">
      <c r="A566" s="1" t="s">
        <v>965</v>
      </c>
      <c r="B566" s="1">
        <v>1565</v>
      </c>
      <c r="C566" s="1">
        <v>11</v>
      </c>
      <c r="D566" s="1">
        <v>25</v>
      </c>
      <c r="E566" s="1" t="s">
        <v>4305</v>
      </c>
      <c r="F566" s="1" t="s">
        <v>3339</v>
      </c>
      <c r="G566" s="1" t="s">
        <v>20</v>
      </c>
      <c r="H566" s="1" t="s">
        <v>2631</v>
      </c>
      <c r="I566" s="1" t="s">
        <v>2632</v>
      </c>
      <c r="J566" s="1" t="s">
        <v>2633</v>
      </c>
      <c r="K566" s="1" t="s">
        <v>2634</v>
      </c>
      <c r="L566" s="1" t="s">
        <v>2635</v>
      </c>
      <c r="M566" s="1"/>
      <c r="N566" s="1"/>
      <c r="O566" s="1" t="s">
        <v>8</v>
      </c>
      <c r="P566" s="1" t="s">
        <v>4119</v>
      </c>
      <c r="Q566" s="1"/>
      <c r="R566" s="1"/>
      <c r="S566" s="1"/>
      <c r="T566" s="1"/>
      <c r="U566" s="1"/>
      <c r="V566" s="1"/>
      <c r="W566" s="1"/>
      <c r="X566" s="1"/>
      <c r="Y566" t="s">
        <v>8</v>
      </c>
      <c r="Z566" t="s">
        <v>4316</v>
      </c>
      <c r="AA566" t="s">
        <v>4317</v>
      </c>
      <c r="AB566" t="s">
        <v>5167</v>
      </c>
      <c r="AC566" t="s">
        <v>5164</v>
      </c>
      <c r="AD566" s="18">
        <v>46117</v>
      </c>
    </row>
    <row r="567" spans="1:30" ht="210" hidden="1">
      <c r="A567" s="1" t="s">
        <v>965</v>
      </c>
      <c r="B567" s="1">
        <v>1566</v>
      </c>
      <c r="C567" s="1">
        <v>11</v>
      </c>
      <c r="D567" s="1">
        <v>26</v>
      </c>
      <c r="E567" s="1" t="s">
        <v>4305</v>
      </c>
      <c r="F567" s="1" t="s">
        <v>3339</v>
      </c>
      <c r="G567" s="1" t="s">
        <v>20</v>
      </c>
      <c r="H567" s="1" t="s">
        <v>2636</v>
      </c>
      <c r="I567" s="1" t="s">
        <v>2637</v>
      </c>
      <c r="J567" s="1" t="s">
        <v>2638</v>
      </c>
      <c r="K567" s="1" t="s">
        <v>2639</v>
      </c>
      <c r="L567" s="1" t="s">
        <v>2640</v>
      </c>
      <c r="M567" s="1"/>
      <c r="N567" s="1"/>
      <c r="O567" s="1" t="s">
        <v>8</v>
      </c>
      <c r="P567" s="1" t="s">
        <v>4120</v>
      </c>
      <c r="Q567" s="1"/>
      <c r="R567" s="1"/>
      <c r="S567" s="1"/>
      <c r="T567" s="1"/>
      <c r="U567" s="1"/>
      <c r="V567" s="1"/>
      <c r="W567" s="1"/>
      <c r="X567" s="1"/>
      <c r="Y567" t="s">
        <v>8</v>
      </c>
      <c r="Z567" t="s">
        <v>4316</v>
      </c>
      <c r="AA567" t="s">
        <v>4317</v>
      </c>
      <c r="AB567" t="s">
        <v>5168</v>
      </c>
      <c r="AC567" t="s">
        <v>5169</v>
      </c>
      <c r="AD567" s="18">
        <v>46117</v>
      </c>
    </row>
    <row r="568" spans="1:30" ht="409.5" hidden="1">
      <c r="A568" s="1" t="s">
        <v>965</v>
      </c>
      <c r="B568" s="1">
        <v>1567</v>
      </c>
      <c r="C568" s="1">
        <v>11</v>
      </c>
      <c r="D568" s="1">
        <v>27</v>
      </c>
      <c r="E568" s="1" t="s">
        <v>4290</v>
      </c>
      <c r="F568" s="1" t="s">
        <v>4291</v>
      </c>
      <c r="G568" s="1" t="s">
        <v>20</v>
      </c>
      <c r="H568" s="1" t="s">
        <v>2641</v>
      </c>
      <c r="I568" s="1" t="s">
        <v>2642</v>
      </c>
      <c r="J568" s="1" t="s">
        <v>2643</v>
      </c>
      <c r="K568" s="1" t="s">
        <v>2644</v>
      </c>
      <c r="L568" s="1" t="s">
        <v>2645</v>
      </c>
      <c r="M568" s="1"/>
      <c r="N568" s="1"/>
      <c r="O568" s="1" t="s">
        <v>9</v>
      </c>
      <c r="P568" s="1" t="s">
        <v>4121</v>
      </c>
      <c r="Q568" s="1"/>
      <c r="R568" s="1"/>
      <c r="S568" s="1"/>
      <c r="T568" s="1">
        <v>1</v>
      </c>
      <c r="U568" s="1"/>
      <c r="V568" s="1"/>
      <c r="W568" s="1"/>
      <c r="X568" s="1"/>
      <c r="Y568" t="s">
        <v>9</v>
      </c>
      <c r="Z568" t="s">
        <v>4316</v>
      </c>
      <c r="AA568" t="s">
        <v>4317</v>
      </c>
      <c r="AB568" t="s">
        <v>5170</v>
      </c>
      <c r="AC568" t="s">
        <v>4481</v>
      </c>
      <c r="AD568" s="18">
        <v>46117</v>
      </c>
    </row>
    <row r="569" spans="1:30" ht="409.5" hidden="1">
      <c r="A569" s="1" t="s">
        <v>965</v>
      </c>
      <c r="B569" s="1">
        <v>1568</v>
      </c>
      <c r="C569" s="1">
        <v>11</v>
      </c>
      <c r="D569" s="1">
        <v>28</v>
      </c>
      <c r="E569" s="1" t="s">
        <v>4295</v>
      </c>
      <c r="F569" s="1" t="s">
        <v>2580</v>
      </c>
      <c r="G569" s="1" t="s">
        <v>4294</v>
      </c>
      <c r="H569" s="1" t="s">
        <v>2646</v>
      </c>
      <c r="I569" s="1" t="s">
        <v>2647</v>
      </c>
      <c r="J569" s="1" t="s">
        <v>2648</v>
      </c>
      <c r="K569" s="1" t="s">
        <v>2649</v>
      </c>
      <c r="L569" s="1" t="s">
        <v>2650</v>
      </c>
      <c r="M569" s="1"/>
      <c r="N569" s="1"/>
      <c r="O569" s="1" t="s">
        <v>9</v>
      </c>
      <c r="P569" s="1" t="s">
        <v>4122</v>
      </c>
      <c r="Q569" s="1"/>
      <c r="R569" s="1"/>
      <c r="S569" s="1"/>
      <c r="T569" s="1"/>
      <c r="U569" s="1">
        <v>1</v>
      </c>
      <c r="V569" s="1"/>
      <c r="W569" s="1"/>
      <c r="X569" s="1"/>
      <c r="Y569" t="s">
        <v>9</v>
      </c>
      <c r="Z569" t="s">
        <v>4316</v>
      </c>
      <c r="AA569" t="s">
        <v>4317</v>
      </c>
      <c r="AB569" t="s">
        <v>5171</v>
      </c>
      <c r="AC569" t="s">
        <v>5172</v>
      </c>
      <c r="AD569" s="18">
        <v>46117</v>
      </c>
    </row>
    <row r="570" spans="1:30" ht="409.5" hidden="1">
      <c r="A570" s="1" t="s">
        <v>965</v>
      </c>
      <c r="B570" s="1">
        <v>1569</v>
      </c>
      <c r="C570" s="1">
        <v>11</v>
      </c>
      <c r="D570" s="1">
        <v>29</v>
      </c>
      <c r="E570" s="1" t="s">
        <v>4295</v>
      </c>
      <c r="F570" s="1" t="s">
        <v>4296</v>
      </c>
      <c r="G570" s="1" t="s">
        <v>40</v>
      </c>
      <c r="H570" s="1" t="s">
        <v>2651</v>
      </c>
      <c r="I570" s="1" t="s">
        <v>2652</v>
      </c>
      <c r="J570" s="1" t="s">
        <v>2653</v>
      </c>
      <c r="K570" s="1" t="s">
        <v>2654</v>
      </c>
      <c r="L570" s="1" t="s">
        <v>2655</v>
      </c>
      <c r="M570" s="1"/>
      <c r="N570" s="1"/>
      <c r="O570" s="1" t="s">
        <v>8</v>
      </c>
      <c r="P570" s="1" t="s">
        <v>4123</v>
      </c>
      <c r="Q570" s="1"/>
      <c r="R570" s="1"/>
      <c r="S570" s="1"/>
      <c r="T570" s="1">
        <v>1</v>
      </c>
      <c r="U570" s="1"/>
      <c r="V570" s="1"/>
      <c r="W570" s="1"/>
      <c r="X570" s="1"/>
      <c r="Y570" t="s">
        <v>8</v>
      </c>
      <c r="Z570" t="s">
        <v>4316</v>
      </c>
      <c r="AA570" t="s">
        <v>4317</v>
      </c>
      <c r="AB570" t="s">
        <v>5173</v>
      </c>
      <c r="AC570" t="s">
        <v>5174</v>
      </c>
      <c r="AD570" s="18">
        <v>46117</v>
      </c>
    </row>
    <row r="571" spans="1:30" ht="409.5">
      <c r="A571" s="1" t="s">
        <v>965</v>
      </c>
      <c r="B571" s="1">
        <v>1570</v>
      </c>
      <c r="C571" s="1">
        <v>11</v>
      </c>
      <c r="D571" s="1">
        <v>30</v>
      </c>
      <c r="E571" s="1" t="s">
        <v>4292</v>
      </c>
      <c r="F571" s="1" t="s">
        <v>4293</v>
      </c>
      <c r="G571" s="1" t="s">
        <v>4294</v>
      </c>
      <c r="H571" s="1" t="s">
        <v>2656</v>
      </c>
      <c r="I571" s="1" t="s">
        <v>2657</v>
      </c>
      <c r="J571" s="1" t="s">
        <v>2658</v>
      </c>
      <c r="K571" s="1" t="s">
        <v>2659</v>
      </c>
      <c r="L571" s="1" t="s">
        <v>2660</v>
      </c>
      <c r="M571" s="1"/>
      <c r="N571" s="1"/>
      <c r="O571" s="1" t="s">
        <v>7</v>
      </c>
      <c r="P571" s="1" t="s">
        <v>4124</v>
      </c>
      <c r="Q571" s="1"/>
      <c r="R571" s="1"/>
      <c r="S571" s="1"/>
      <c r="T571" s="1"/>
      <c r="U571" s="1"/>
      <c r="V571" s="1"/>
      <c r="W571" s="1"/>
      <c r="X571" s="1"/>
      <c r="Y571" t="s">
        <v>9</v>
      </c>
      <c r="Z571" t="s">
        <v>4331</v>
      </c>
      <c r="AA571" t="s">
        <v>4332</v>
      </c>
      <c r="AB571" t="s">
        <v>5175</v>
      </c>
      <c r="AC571" t="s">
        <v>5176</v>
      </c>
      <c r="AD571" s="18">
        <v>46117</v>
      </c>
    </row>
    <row r="572" spans="1:30" ht="255" hidden="1">
      <c r="A572" s="1" t="s">
        <v>965</v>
      </c>
      <c r="B572" s="1">
        <v>1571</v>
      </c>
      <c r="C572" s="1">
        <v>11</v>
      </c>
      <c r="D572" s="1">
        <v>31</v>
      </c>
      <c r="E572" s="1" t="s">
        <v>4295</v>
      </c>
      <c r="F572" s="1" t="s">
        <v>2580</v>
      </c>
      <c r="G572" s="1" t="s">
        <v>20</v>
      </c>
      <c r="H572" s="1" t="s">
        <v>2661</v>
      </c>
      <c r="I572" s="1" t="s">
        <v>2662</v>
      </c>
      <c r="J572" s="1" t="s">
        <v>2663</v>
      </c>
      <c r="K572" s="1" t="s">
        <v>2664</v>
      </c>
      <c r="L572" s="1" t="s">
        <v>545</v>
      </c>
      <c r="M572" s="1"/>
      <c r="N572" s="1"/>
      <c r="O572" s="1" t="s">
        <v>7</v>
      </c>
      <c r="P572" s="1" t="s">
        <v>4125</v>
      </c>
      <c r="Q572" s="1"/>
      <c r="R572" s="1"/>
      <c r="S572" s="1"/>
      <c r="T572" s="1"/>
      <c r="U572" s="1"/>
      <c r="V572" s="1"/>
      <c r="W572" s="1"/>
      <c r="X572" s="1"/>
      <c r="Y572" t="s">
        <v>7</v>
      </c>
      <c r="Z572" t="s">
        <v>4316</v>
      </c>
      <c r="AA572" t="s">
        <v>4317</v>
      </c>
      <c r="AB572" t="s">
        <v>5177</v>
      </c>
      <c r="AC572" t="s">
        <v>5153</v>
      </c>
      <c r="AD572" s="18">
        <v>46117</v>
      </c>
    </row>
    <row r="573" spans="1:30" ht="195" hidden="1">
      <c r="A573" s="1" t="s">
        <v>965</v>
      </c>
      <c r="B573" s="1">
        <v>1572</v>
      </c>
      <c r="C573" s="1">
        <v>11</v>
      </c>
      <c r="D573" s="1">
        <v>32</v>
      </c>
      <c r="E573" s="1" t="s">
        <v>4290</v>
      </c>
      <c r="F573" s="1" t="s">
        <v>4291</v>
      </c>
      <c r="G573" s="1" t="s">
        <v>4294</v>
      </c>
      <c r="H573" s="1" t="s">
        <v>2665</v>
      </c>
      <c r="I573" s="1" t="s">
        <v>2666</v>
      </c>
      <c r="J573" s="1" t="s">
        <v>2667</v>
      </c>
      <c r="K573" s="1" t="s">
        <v>2668</v>
      </c>
      <c r="L573" s="1" t="s">
        <v>2669</v>
      </c>
      <c r="M573" s="1"/>
      <c r="N573" s="1"/>
      <c r="O573" s="1" t="s">
        <v>10</v>
      </c>
      <c r="P573" s="1" t="s">
        <v>4126</v>
      </c>
      <c r="Q573" s="1"/>
      <c r="R573" s="1"/>
      <c r="S573" s="1"/>
      <c r="T573" s="1"/>
      <c r="U573" s="1"/>
      <c r="V573" s="1"/>
      <c r="W573" s="1"/>
      <c r="X573" s="1"/>
      <c r="Y573" t="s">
        <v>10</v>
      </c>
      <c r="Z573" t="s">
        <v>4316</v>
      </c>
      <c r="AA573" t="s">
        <v>4317</v>
      </c>
      <c r="AB573" t="s">
        <v>5178</v>
      </c>
      <c r="AC573" t="s">
        <v>4453</v>
      </c>
      <c r="AD573" s="18">
        <v>46117</v>
      </c>
    </row>
    <row r="574" spans="1:30" ht="195" hidden="1">
      <c r="A574" s="1" t="s">
        <v>965</v>
      </c>
      <c r="B574" s="1">
        <v>1573</v>
      </c>
      <c r="C574" s="1">
        <v>11</v>
      </c>
      <c r="D574" s="1">
        <v>33</v>
      </c>
      <c r="E574" s="1" t="s">
        <v>4290</v>
      </c>
      <c r="F574" s="1" t="s">
        <v>4302</v>
      </c>
      <c r="G574" s="1" t="s">
        <v>4294</v>
      </c>
      <c r="H574" s="1" t="s">
        <v>2670</v>
      </c>
      <c r="I574" s="1" t="s">
        <v>2671</v>
      </c>
      <c r="J574" s="1" t="s">
        <v>2672</v>
      </c>
      <c r="K574" s="1" t="s">
        <v>2673</v>
      </c>
      <c r="L574" s="1" t="s">
        <v>2674</v>
      </c>
      <c r="M574" s="1"/>
      <c r="N574" s="1"/>
      <c r="O574" s="1" t="s">
        <v>7</v>
      </c>
      <c r="P574" s="1" t="s">
        <v>5503</v>
      </c>
      <c r="Q574" s="1"/>
      <c r="R574" s="1"/>
      <c r="S574" s="1"/>
      <c r="T574" s="1">
        <v>1</v>
      </c>
      <c r="U574" s="1"/>
      <c r="V574" s="1"/>
      <c r="W574" s="1"/>
      <c r="X574" s="1"/>
      <c r="Y574" t="s">
        <v>7</v>
      </c>
      <c r="Z574" t="s">
        <v>4316</v>
      </c>
      <c r="AA574" t="s">
        <v>4317</v>
      </c>
      <c r="AB574" t="s">
        <v>5179</v>
      </c>
      <c r="AC574" t="s">
        <v>4371</v>
      </c>
      <c r="AD574" s="18">
        <v>46117</v>
      </c>
    </row>
    <row r="575" spans="1:30" ht="195" hidden="1">
      <c r="A575" s="1" t="s">
        <v>965</v>
      </c>
      <c r="B575" s="1">
        <v>1574</v>
      </c>
      <c r="C575" s="1">
        <v>11</v>
      </c>
      <c r="D575" s="1">
        <v>34</v>
      </c>
      <c r="E575" s="1" t="s">
        <v>4297</v>
      </c>
      <c r="F575" s="1" t="s">
        <v>4300</v>
      </c>
      <c r="G575" s="1" t="s">
        <v>4294</v>
      </c>
      <c r="H575" s="1" t="s">
        <v>2675</v>
      </c>
      <c r="I575" s="1" t="s">
        <v>2676</v>
      </c>
      <c r="J575" s="1" t="s">
        <v>2677</v>
      </c>
      <c r="K575" s="1" t="s">
        <v>2678</v>
      </c>
      <c r="L575" s="1" t="s">
        <v>2679</v>
      </c>
      <c r="M575" s="1"/>
      <c r="N575" s="1"/>
      <c r="O575" s="1" t="s">
        <v>9</v>
      </c>
      <c r="P575" s="1" t="s">
        <v>4127</v>
      </c>
      <c r="Q575" s="1"/>
      <c r="R575" s="1"/>
      <c r="S575" s="1"/>
      <c r="T575" s="1">
        <v>1</v>
      </c>
      <c r="U575" s="1">
        <v>1</v>
      </c>
      <c r="V575" s="1"/>
      <c r="W575" s="1"/>
      <c r="X575" s="1"/>
      <c r="Y575" t="s">
        <v>9</v>
      </c>
      <c r="Z575" t="s">
        <v>4316</v>
      </c>
      <c r="AA575" t="s">
        <v>4317</v>
      </c>
      <c r="AB575" t="s">
        <v>5180</v>
      </c>
      <c r="AC575" t="s">
        <v>4344</v>
      </c>
      <c r="AD575" s="18">
        <v>46117</v>
      </c>
    </row>
    <row r="576" spans="1:30" ht="210" hidden="1">
      <c r="A576" s="1" t="s">
        <v>965</v>
      </c>
      <c r="B576" s="1">
        <v>1575</v>
      </c>
      <c r="C576" s="1">
        <v>11</v>
      </c>
      <c r="D576" s="1">
        <v>35</v>
      </c>
      <c r="E576" s="1" t="s">
        <v>4297</v>
      </c>
      <c r="F576" s="1" t="s">
        <v>4300</v>
      </c>
      <c r="G576" s="1" t="s">
        <v>4294</v>
      </c>
      <c r="H576" s="1" t="s">
        <v>2680</v>
      </c>
      <c r="I576" s="1" t="s">
        <v>2681</v>
      </c>
      <c r="J576" s="1" t="s">
        <v>2682</v>
      </c>
      <c r="K576" s="1" t="s">
        <v>2683</v>
      </c>
      <c r="L576" s="1" t="s">
        <v>2684</v>
      </c>
      <c r="M576" s="1"/>
      <c r="N576" s="1"/>
      <c r="O576" s="1" t="s">
        <v>8</v>
      </c>
      <c r="P576" s="1" t="s">
        <v>4128</v>
      </c>
      <c r="Q576" s="1"/>
      <c r="R576" s="1"/>
      <c r="S576" s="1"/>
      <c r="T576" s="1"/>
      <c r="U576" s="1"/>
      <c r="V576" s="1"/>
      <c r="W576" s="1"/>
      <c r="X576" s="1"/>
      <c r="Y576" t="s">
        <v>8</v>
      </c>
      <c r="Z576" t="s">
        <v>4316</v>
      </c>
      <c r="AA576" t="s">
        <v>4317</v>
      </c>
      <c r="AB576" t="s">
        <v>5181</v>
      </c>
      <c r="AC576" t="s">
        <v>4344</v>
      </c>
      <c r="AD576" s="18">
        <v>46117</v>
      </c>
    </row>
    <row r="577" spans="1:30" ht="240" hidden="1">
      <c r="A577" s="1" t="s">
        <v>965</v>
      </c>
      <c r="B577" s="1">
        <v>1576</v>
      </c>
      <c r="C577" s="1">
        <v>11</v>
      </c>
      <c r="D577" s="1">
        <v>36</v>
      </c>
      <c r="E577" s="1" t="s">
        <v>4292</v>
      </c>
      <c r="F577" s="1" t="s">
        <v>4293</v>
      </c>
      <c r="G577" s="1" t="s">
        <v>4294</v>
      </c>
      <c r="H577" s="1" t="s">
        <v>2685</v>
      </c>
      <c r="I577" s="1" t="s">
        <v>2686</v>
      </c>
      <c r="J577" s="1" t="s">
        <v>2687</v>
      </c>
      <c r="K577" s="1" t="s">
        <v>2688</v>
      </c>
      <c r="L577" s="1" t="s">
        <v>2689</v>
      </c>
      <c r="M577" s="1"/>
      <c r="N577" s="1"/>
      <c r="O577" s="1" t="s">
        <v>10</v>
      </c>
      <c r="P577" s="1" t="s">
        <v>4129</v>
      </c>
      <c r="Q577" s="1"/>
      <c r="R577" s="1"/>
      <c r="S577" s="1"/>
      <c r="T577" s="1"/>
      <c r="U577" s="1"/>
      <c r="V577" s="1"/>
      <c r="W577" s="1"/>
      <c r="X577" s="1"/>
      <c r="Y577" t="s">
        <v>10</v>
      </c>
      <c r="Z577" t="s">
        <v>4316</v>
      </c>
      <c r="AA577" t="s">
        <v>4317</v>
      </c>
      <c r="AB577" t="s">
        <v>5182</v>
      </c>
      <c r="AC577" t="s">
        <v>5176</v>
      </c>
      <c r="AD577" s="18">
        <v>46117</v>
      </c>
    </row>
    <row r="578" spans="1:30" ht="90" hidden="1">
      <c r="A578" s="1" t="s">
        <v>965</v>
      </c>
      <c r="B578" s="1">
        <v>1577</v>
      </c>
      <c r="C578" s="1">
        <v>11</v>
      </c>
      <c r="D578" s="1">
        <v>37</v>
      </c>
      <c r="E578" s="1" t="s">
        <v>4290</v>
      </c>
      <c r="F578" s="1" t="s">
        <v>4291</v>
      </c>
      <c r="G578" s="1" t="s">
        <v>4294</v>
      </c>
      <c r="H578" s="1" t="s">
        <v>2690</v>
      </c>
      <c r="I578" s="1" t="s">
        <v>2691</v>
      </c>
      <c r="J578" s="1" t="s">
        <v>2692</v>
      </c>
      <c r="K578" s="1" t="s">
        <v>2693</v>
      </c>
      <c r="L578" s="1" t="s">
        <v>2694</v>
      </c>
      <c r="M578" s="1"/>
      <c r="N578" s="1"/>
      <c r="O578" s="1" t="s">
        <v>9</v>
      </c>
      <c r="P578" s="1" t="s">
        <v>4130</v>
      </c>
      <c r="Q578" s="1"/>
      <c r="R578" s="1"/>
      <c r="S578" s="1"/>
      <c r="T578" s="1"/>
      <c r="U578" s="1"/>
      <c r="V578" s="1"/>
      <c r="W578" s="1"/>
      <c r="X578" s="1"/>
      <c r="Y578" t="s">
        <v>9</v>
      </c>
      <c r="Z578" t="s">
        <v>4316</v>
      </c>
      <c r="AA578" t="s">
        <v>4317</v>
      </c>
      <c r="AB578" t="s">
        <v>5183</v>
      </c>
      <c r="AC578" t="s">
        <v>4407</v>
      </c>
      <c r="AD578" s="18">
        <v>46117</v>
      </c>
    </row>
    <row r="579" spans="1:30" ht="135" hidden="1">
      <c r="A579" s="1" t="s">
        <v>965</v>
      </c>
      <c r="B579" s="1">
        <v>1578</v>
      </c>
      <c r="C579" s="1">
        <v>11</v>
      </c>
      <c r="D579" s="1">
        <v>38</v>
      </c>
      <c r="E579" s="1" t="s">
        <v>4297</v>
      </c>
      <c r="F579" s="1" t="s">
        <v>4299</v>
      </c>
      <c r="G579" s="1" t="s">
        <v>4294</v>
      </c>
      <c r="H579" s="1" t="s">
        <v>2695</v>
      </c>
      <c r="I579" s="1" t="s">
        <v>2696</v>
      </c>
      <c r="J579" s="1" t="s">
        <v>2697</v>
      </c>
      <c r="K579" s="1" t="s">
        <v>2698</v>
      </c>
      <c r="L579" s="1" t="s">
        <v>2699</v>
      </c>
      <c r="M579" s="1"/>
      <c r="N579" s="1"/>
      <c r="O579" s="1" t="s">
        <v>7</v>
      </c>
      <c r="P579" s="1" t="s">
        <v>4131</v>
      </c>
      <c r="Q579" s="1"/>
      <c r="R579" s="1"/>
      <c r="S579" s="1"/>
      <c r="T579" s="1"/>
      <c r="U579" s="1">
        <v>1</v>
      </c>
      <c r="V579" s="1"/>
      <c r="W579" s="1"/>
      <c r="X579" s="1"/>
      <c r="Y579" t="s">
        <v>7</v>
      </c>
      <c r="Z579" t="s">
        <v>4316</v>
      </c>
      <c r="AA579" t="s">
        <v>4317</v>
      </c>
      <c r="AB579" t="s">
        <v>5184</v>
      </c>
      <c r="AD579" s="18">
        <v>46117</v>
      </c>
    </row>
    <row r="580" spans="1:30" ht="195" hidden="1">
      <c r="A580" s="1" t="s">
        <v>965</v>
      </c>
      <c r="B580" s="1">
        <v>1579</v>
      </c>
      <c r="C580" s="1">
        <v>11</v>
      </c>
      <c r="D580" s="1">
        <v>39</v>
      </c>
      <c r="E580" s="1" t="s">
        <v>4305</v>
      </c>
      <c r="F580" s="1" t="s">
        <v>3339</v>
      </c>
      <c r="G580" s="1" t="s">
        <v>4294</v>
      </c>
      <c r="H580" s="1" t="s">
        <v>2700</v>
      </c>
      <c r="I580" s="1" t="s">
        <v>2701</v>
      </c>
      <c r="J580" s="1" t="s">
        <v>2702</v>
      </c>
      <c r="K580" s="1" t="s">
        <v>2703</v>
      </c>
      <c r="L580" s="1" t="s">
        <v>2704</v>
      </c>
      <c r="M580" s="1"/>
      <c r="N580" s="1"/>
      <c r="O580" s="1" t="s">
        <v>7</v>
      </c>
      <c r="P580" s="1" t="s">
        <v>4132</v>
      </c>
      <c r="Q580" s="1"/>
      <c r="R580" s="1"/>
      <c r="S580" s="1"/>
      <c r="T580" s="1"/>
      <c r="U580" s="1">
        <v>1</v>
      </c>
      <c r="V580" s="1"/>
      <c r="W580" s="1"/>
      <c r="X580" s="1"/>
      <c r="Y580" t="s">
        <v>7</v>
      </c>
      <c r="Z580" t="s">
        <v>4316</v>
      </c>
      <c r="AA580" t="s">
        <v>4317</v>
      </c>
      <c r="AB580" t="s">
        <v>5185</v>
      </c>
      <c r="AC580" t="s">
        <v>5186</v>
      </c>
      <c r="AD580" s="18">
        <v>46117</v>
      </c>
    </row>
    <row r="581" spans="1:30" ht="240" hidden="1">
      <c r="A581" s="1" t="s">
        <v>965</v>
      </c>
      <c r="B581" s="1">
        <v>1580</v>
      </c>
      <c r="C581" s="1">
        <v>11</v>
      </c>
      <c r="D581" s="1">
        <v>40</v>
      </c>
      <c r="E581" s="1" t="s">
        <v>4305</v>
      </c>
      <c r="F581" s="1" t="s">
        <v>3339</v>
      </c>
      <c r="G581" s="1" t="s">
        <v>4294</v>
      </c>
      <c r="H581" s="1" t="s">
        <v>2705</v>
      </c>
      <c r="I581" s="1" t="s">
        <v>2706</v>
      </c>
      <c r="J581" s="1" t="s">
        <v>2707</v>
      </c>
      <c r="K581" s="1" t="s">
        <v>2708</v>
      </c>
      <c r="L581" s="1" t="s">
        <v>2709</v>
      </c>
      <c r="M581" s="1"/>
      <c r="N581" s="1"/>
      <c r="O581" s="1" t="s">
        <v>8</v>
      </c>
      <c r="P581" s="1" t="s">
        <v>4133</v>
      </c>
      <c r="Q581" s="1"/>
      <c r="R581" s="1"/>
      <c r="S581" s="1"/>
      <c r="T581" s="1">
        <v>1</v>
      </c>
      <c r="U581" s="1"/>
      <c r="V581" s="1"/>
      <c r="W581" s="1"/>
      <c r="X581" s="1"/>
      <c r="Y581" t="s">
        <v>8</v>
      </c>
      <c r="Z581" t="s">
        <v>4316</v>
      </c>
      <c r="AA581" t="s">
        <v>4317</v>
      </c>
      <c r="AB581" t="s">
        <v>5187</v>
      </c>
      <c r="AC581" t="s">
        <v>5164</v>
      </c>
      <c r="AD581" s="18">
        <v>46117</v>
      </c>
    </row>
    <row r="582" spans="1:30" ht="315" hidden="1">
      <c r="A582" s="1" t="s">
        <v>965</v>
      </c>
      <c r="B582" s="1">
        <v>1581</v>
      </c>
      <c r="C582" s="1">
        <v>11</v>
      </c>
      <c r="D582" s="1">
        <v>41</v>
      </c>
      <c r="E582" s="1" t="s">
        <v>4305</v>
      </c>
      <c r="F582" s="1" t="s">
        <v>3339</v>
      </c>
      <c r="G582" s="1" t="s">
        <v>4294</v>
      </c>
      <c r="H582" s="1" t="s">
        <v>2710</v>
      </c>
      <c r="I582" s="1" t="s">
        <v>2711</v>
      </c>
      <c r="J582" s="1" t="s">
        <v>2712</v>
      </c>
      <c r="K582" s="1" t="s">
        <v>2713</v>
      </c>
      <c r="L582" s="1" t="s">
        <v>2714</v>
      </c>
      <c r="M582" s="1"/>
      <c r="N582" s="1"/>
      <c r="O582" s="1" t="s">
        <v>7</v>
      </c>
      <c r="P582" s="1" t="s">
        <v>5504</v>
      </c>
      <c r="Q582" s="1"/>
      <c r="R582" s="1"/>
      <c r="S582" s="1"/>
      <c r="T582" s="1">
        <v>1</v>
      </c>
      <c r="U582" s="1"/>
      <c r="V582" s="1"/>
      <c r="W582" s="1"/>
      <c r="X582" s="1"/>
      <c r="Y582" t="s">
        <v>7</v>
      </c>
      <c r="Z582" t="s">
        <v>4316</v>
      </c>
      <c r="AA582" t="s">
        <v>4317</v>
      </c>
      <c r="AB582" t="s">
        <v>5188</v>
      </c>
      <c r="AC582" t="s">
        <v>5164</v>
      </c>
      <c r="AD582" s="18">
        <v>46117</v>
      </c>
    </row>
    <row r="583" spans="1:30" ht="390" hidden="1">
      <c r="A583" s="1" t="s">
        <v>965</v>
      </c>
      <c r="B583" s="1">
        <v>1582</v>
      </c>
      <c r="C583" s="1">
        <v>11</v>
      </c>
      <c r="D583" s="1">
        <v>42</v>
      </c>
      <c r="E583" s="1" t="s">
        <v>4305</v>
      </c>
      <c r="F583" s="1" t="s">
        <v>4307</v>
      </c>
      <c r="G583" s="1" t="s">
        <v>4294</v>
      </c>
      <c r="H583" s="1" t="s">
        <v>2715</v>
      </c>
      <c r="I583" s="1" t="s">
        <v>2716</v>
      </c>
      <c r="J583" s="1" t="s">
        <v>2717</v>
      </c>
      <c r="K583" s="1" t="s">
        <v>2718</v>
      </c>
      <c r="L583" s="1" t="s">
        <v>2719</v>
      </c>
      <c r="M583" s="1"/>
      <c r="N583" s="1"/>
      <c r="O583" s="1" t="s">
        <v>7</v>
      </c>
      <c r="P583" s="1" t="s">
        <v>4134</v>
      </c>
      <c r="Q583" s="1"/>
      <c r="R583" s="1"/>
      <c r="S583" s="1"/>
      <c r="T583" s="1"/>
      <c r="U583" s="1">
        <v>1</v>
      </c>
      <c r="V583" s="1"/>
      <c r="W583" s="1"/>
      <c r="X583" s="1"/>
      <c r="Y583" t="s">
        <v>7</v>
      </c>
      <c r="Z583" t="s">
        <v>4316</v>
      </c>
      <c r="AA583" t="s">
        <v>4317</v>
      </c>
      <c r="AB583" t="s">
        <v>5189</v>
      </c>
      <c r="AC583" t="s">
        <v>5164</v>
      </c>
      <c r="AD583" s="18">
        <v>46117</v>
      </c>
    </row>
    <row r="584" spans="1:30" ht="409.5" hidden="1">
      <c r="A584" s="1" t="s">
        <v>965</v>
      </c>
      <c r="B584" s="1">
        <v>1583</v>
      </c>
      <c r="C584" s="1">
        <v>11</v>
      </c>
      <c r="D584" s="1">
        <v>43</v>
      </c>
      <c r="E584" s="1" t="s">
        <v>4292</v>
      </c>
      <c r="F584" s="1" t="s">
        <v>4303</v>
      </c>
      <c r="G584" s="1" t="s">
        <v>4294</v>
      </c>
      <c r="H584" s="1" t="s">
        <v>2720</v>
      </c>
      <c r="I584" s="1" t="s">
        <v>2721</v>
      </c>
      <c r="J584" s="1" t="s">
        <v>2722</v>
      </c>
      <c r="K584" s="1" t="s">
        <v>2723</v>
      </c>
      <c r="L584" s="1" t="s">
        <v>2724</v>
      </c>
      <c r="M584" s="1"/>
      <c r="N584" s="1"/>
      <c r="O584" s="1" t="s">
        <v>9</v>
      </c>
      <c r="P584" s="1" t="s">
        <v>5505</v>
      </c>
      <c r="Q584" s="1"/>
      <c r="R584" s="1"/>
      <c r="S584" s="1"/>
      <c r="T584" s="1">
        <v>1</v>
      </c>
      <c r="U584" s="1"/>
      <c r="V584" s="1"/>
      <c r="W584" s="1"/>
      <c r="X584" s="1"/>
      <c r="Y584" t="s">
        <v>9</v>
      </c>
      <c r="Z584" t="s">
        <v>4316</v>
      </c>
      <c r="AA584" t="s">
        <v>4317</v>
      </c>
      <c r="AB584" t="s">
        <v>5190</v>
      </c>
      <c r="AC584" t="s">
        <v>5191</v>
      </c>
      <c r="AD584" s="18">
        <v>46117</v>
      </c>
    </row>
    <row r="585" spans="1:30" ht="300" hidden="1">
      <c r="A585" s="1" t="s">
        <v>965</v>
      </c>
      <c r="B585" s="1">
        <v>1584</v>
      </c>
      <c r="C585" s="1">
        <v>11</v>
      </c>
      <c r="D585" s="1">
        <v>44</v>
      </c>
      <c r="E585" s="1" t="s">
        <v>4292</v>
      </c>
      <c r="F585" s="1" t="s">
        <v>4303</v>
      </c>
      <c r="G585" s="1" t="s">
        <v>4294</v>
      </c>
      <c r="H585" s="1" t="s">
        <v>2725</v>
      </c>
      <c r="I585" s="1" t="s">
        <v>2726</v>
      </c>
      <c r="J585" s="1" t="s">
        <v>2727</v>
      </c>
      <c r="K585" s="1" t="s">
        <v>2728</v>
      </c>
      <c r="L585" s="1" t="s">
        <v>2729</v>
      </c>
      <c r="M585" s="1"/>
      <c r="N585" s="1"/>
      <c r="O585" s="1" t="s">
        <v>8</v>
      </c>
      <c r="P585" s="1" t="s">
        <v>5506</v>
      </c>
      <c r="Q585" s="1"/>
      <c r="R585" s="1"/>
      <c r="S585" s="1"/>
      <c r="T585" s="1"/>
      <c r="U585" s="1">
        <v>1</v>
      </c>
      <c r="V585" s="1"/>
      <c r="W585" s="1"/>
      <c r="X585" s="1"/>
      <c r="Y585" t="s">
        <v>8</v>
      </c>
      <c r="Z585" t="s">
        <v>4316</v>
      </c>
      <c r="AA585" t="s">
        <v>4317</v>
      </c>
      <c r="AB585" t="s">
        <v>5192</v>
      </c>
      <c r="AC585" t="s">
        <v>5193</v>
      </c>
      <c r="AD585" s="18">
        <v>46117</v>
      </c>
    </row>
    <row r="586" spans="1:30" ht="120" hidden="1">
      <c r="A586" s="1" t="s">
        <v>965</v>
      </c>
      <c r="B586" s="1">
        <v>1585</v>
      </c>
      <c r="C586" s="1">
        <v>11</v>
      </c>
      <c r="D586" s="1">
        <v>45</v>
      </c>
      <c r="E586" s="1" t="s">
        <v>4290</v>
      </c>
      <c r="F586" s="1" t="s">
        <v>4302</v>
      </c>
      <c r="G586" s="1" t="s">
        <v>4294</v>
      </c>
      <c r="H586" s="1" t="s">
        <v>2730</v>
      </c>
      <c r="I586" s="1" t="s">
        <v>2731</v>
      </c>
      <c r="J586" s="1" t="s">
        <v>2732</v>
      </c>
      <c r="K586" s="1" t="s">
        <v>2733</v>
      </c>
      <c r="L586" s="1" t="s">
        <v>2734</v>
      </c>
      <c r="M586" s="1"/>
      <c r="N586" s="1"/>
      <c r="O586" s="1" t="s">
        <v>8</v>
      </c>
      <c r="P586" s="1" t="s">
        <v>4135</v>
      </c>
      <c r="Q586" s="1"/>
      <c r="R586" s="1"/>
      <c r="S586" s="1"/>
      <c r="T586" s="1"/>
      <c r="U586" s="1">
        <v>1</v>
      </c>
      <c r="V586" s="1"/>
      <c r="W586" s="1"/>
      <c r="X586" s="1"/>
      <c r="Y586" t="s">
        <v>8</v>
      </c>
      <c r="Z586" t="s">
        <v>4316</v>
      </c>
      <c r="AA586" t="s">
        <v>4317</v>
      </c>
      <c r="AB586" t="s">
        <v>5194</v>
      </c>
      <c r="AC586" t="s">
        <v>4371</v>
      </c>
      <c r="AD586" s="18">
        <v>46117</v>
      </c>
    </row>
    <row r="587" spans="1:30" ht="330" hidden="1">
      <c r="A587" s="1" t="s">
        <v>965</v>
      </c>
      <c r="B587" s="1">
        <v>1586</v>
      </c>
      <c r="C587" s="1">
        <v>11</v>
      </c>
      <c r="D587" s="1">
        <v>46</v>
      </c>
      <c r="E587" s="1" t="s">
        <v>4290</v>
      </c>
      <c r="F587" s="1" t="s">
        <v>4291</v>
      </c>
      <c r="G587" s="1" t="s">
        <v>4294</v>
      </c>
      <c r="H587" s="1" t="s">
        <v>2735</v>
      </c>
      <c r="I587" s="1" t="s">
        <v>364</v>
      </c>
      <c r="J587" s="1" t="s">
        <v>1482</v>
      </c>
      <c r="K587" s="1" t="s">
        <v>19</v>
      </c>
      <c r="L587" s="1" t="s">
        <v>1477</v>
      </c>
      <c r="M587" s="1"/>
      <c r="N587" s="1"/>
      <c r="O587" s="1" t="s">
        <v>9</v>
      </c>
      <c r="P587" s="1" t="s">
        <v>4136</v>
      </c>
      <c r="Q587" s="1"/>
      <c r="R587" s="1"/>
      <c r="S587" s="1"/>
      <c r="T587" s="1">
        <v>1</v>
      </c>
      <c r="U587" s="1"/>
      <c r="V587" s="1"/>
      <c r="W587" s="1"/>
      <c r="X587" s="1"/>
      <c r="Y587" t="s">
        <v>9</v>
      </c>
      <c r="Z587" t="s">
        <v>4316</v>
      </c>
      <c r="AA587" t="s">
        <v>4317</v>
      </c>
      <c r="AB587" t="s">
        <v>5195</v>
      </c>
      <c r="AC587" t="s">
        <v>4481</v>
      </c>
      <c r="AD587" s="18">
        <v>46117</v>
      </c>
    </row>
    <row r="588" spans="1:30" ht="210" hidden="1">
      <c r="A588" s="1" t="s">
        <v>965</v>
      </c>
      <c r="B588" s="1">
        <v>1587</v>
      </c>
      <c r="C588" s="1">
        <v>11</v>
      </c>
      <c r="D588" s="1">
        <v>47</v>
      </c>
      <c r="E588" s="1" t="s">
        <v>4295</v>
      </c>
      <c r="F588" s="1" t="s">
        <v>2580</v>
      </c>
      <c r="G588" s="1" t="s">
        <v>4294</v>
      </c>
      <c r="H588" s="1" t="s">
        <v>2736</v>
      </c>
      <c r="I588" s="1" t="s">
        <v>2737</v>
      </c>
      <c r="J588" s="1" t="s">
        <v>2738</v>
      </c>
      <c r="K588" s="1" t="s">
        <v>2739</v>
      </c>
      <c r="L588" s="1" t="s">
        <v>2740</v>
      </c>
      <c r="M588" s="1"/>
      <c r="N588" s="1"/>
      <c r="O588" s="1" t="s">
        <v>8</v>
      </c>
      <c r="P588" s="1" t="s">
        <v>4137</v>
      </c>
      <c r="Q588" s="1"/>
      <c r="R588" s="1"/>
      <c r="S588" s="1"/>
      <c r="T588" s="1"/>
      <c r="U588" s="1">
        <v>1</v>
      </c>
      <c r="V588" s="1"/>
      <c r="W588" s="1"/>
      <c r="X588" s="1"/>
      <c r="Y588" t="s">
        <v>8</v>
      </c>
      <c r="Z588" t="s">
        <v>4316</v>
      </c>
      <c r="AA588" t="s">
        <v>4317</v>
      </c>
      <c r="AB588" t="s">
        <v>5196</v>
      </c>
      <c r="AC588" t="s">
        <v>5153</v>
      </c>
      <c r="AD588" s="18">
        <v>46117</v>
      </c>
    </row>
    <row r="589" spans="1:30" ht="150" hidden="1">
      <c r="A589" s="1" t="s">
        <v>965</v>
      </c>
      <c r="B589" s="1">
        <v>1588</v>
      </c>
      <c r="C589" s="1">
        <v>11</v>
      </c>
      <c r="D589" s="1">
        <v>48</v>
      </c>
      <c r="E589" s="1" t="s">
        <v>4305</v>
      </c>
      <c r="F589" s="1" t="s">
        <v>3339</v>
      </c>
      <c r="G589" s="1" t="s">
        <v>4294</v>
      </c>
      <c r="H589" s="1" t="s">
        <v>2741</v>
      </c>
      <c r="I589" s="1" t="s">
        <v>2742</v>
      </c>
      <c r="J589" s="1" t="s">
        <v>2743</v>
      </c>
      <c r="K589" s="1" t="s">
        <v>2744</v>
      </c>
      <c r="L589" s="1" t="s">
        <v>2745</v>
      </c>
      <c r="M589" s="1"/>
      <c r="N589" s="1"/>
      <c r="O589" s="1" t="s">
        <v>7</v>
      </c>
      <c r="P589" s="1" t="s">
        <v>4138</v>
      </c>
      <c r="Q589" s="1"/>
      <c r="R589" s="1"/>
      <c r="S589" s="1"/>
      <c r="T589" s="1"/>
      <c r="U589" s="1">
        <v>1</v>
      </c>
      <c r="V589" s="1"/>
      <c r="W589" s="1"/>
      <c r="X589" s="1"/>
      <c r="Y589" t="s">
        <v>7</v>
      </c>
      <c r="Z589" t="s">
        <v>4316</v>
      </c>
      <c r="AA589" t="s">
        <v>4317</v>
      </c>
      <c r="AB589" t="s">
        <v>5197</v>
      </c>
      <c r="AC589" t="s">
        <v>5164</v>
      </c>
      <c r="AD589" s="18">
        <v>46117</v>
      </c>
    </row>
    <row r="590" spans="1:30" ht="180" hidden="1">
      <c r="A590" s="1" t="s">
        <v>965</v>
      </c>
      <c r="B590" s="1">
        <v>1589</v>
      </c>
      <c r="C590" s="1">
        <v>11</v>
      </c>
      <c r="D590" s="1">
        <v>49</v>
      </c>
      <c r="E590" s="1" t="s">
        <v>4305</v>
      </c>
      <c r="F590" s="1" t="s">
        <v>4306</v>
      </c>
      <c r="G590" s="1" t="s">
        <v>20</v>
      </c>
      <c r="H590" s="1" t="s">
        <v>2746</v>
      </c>
      <c r="I590" s="1" t="s">
        <v>2747</v>
      </c>
      <c r="J590" s="1" t="s">
        <v>390</v>
      </c>
      <c r="K590" s="1" t="s">
        <v>545</v>
      </c>
      <c r="L590" s="1" t="s">
        <v>2748</v>
      </c>
      <c r="M590" s="1"/>
      <c r="N590" s="1"/>
      <c r="O590" s="1" t="s">
        <v>9</v>
      </c>
      <c r="P590" s="1" t="s">
        <v>5507</v>
      </c>
      <c r="Q590" s="1"/>
      <c r="R590" s="1"/>
      <c r="S590" s="1"/>
      <c r="T590" s="1"/>
      <c r="U590" s="1">
        <v>1</v>
      </c>
      <c r="V590" s="1"/>
      <c r="W590" s="1"/>
      <c r="X590" s="1"/>
      <c r="Y590" t="s">
        <v>9</v>
      </c>
      <c r="Z590" t="s">
        <v>4316</v>
      </c>
      <c r="AA590" t="s">
        <v>4317</v>
      </c>
      <c r="AB590" t="s">
        <v>5198</v>
      </c>
      <c r="AC590" t="s">
        <v>5199</v>
      </c>
      <c r="AD590" s="18">
        <v>46117</v>
      </c>
    </row>
    <row r="591" spans="1:30" ht="225" hidden="1">
      <c r="A591" s="1" t="s">
        <v>965</v>
      </c>
      <c r="B591" s="1">
        <v>1590</v>
      </c>
      <c r="C591" s="1">
        <v>11</v>
      </c>
      <c r="D591" s="1">
        <v>50</v>
      </c>
      <c r="E591" s="1" t="s">
        <v>4305</v>
      </c>
      <c r="F591" s="1" t="s">
        <v>4306</v>
      </c>
      <c r="G591" s="1" t="s">
        <v>20</v>
      </c>
      <c r="H591" s="1" t="s">
        <v>2749</v>
      </c>
      <c r="I591" s="1" t="s">
        <v>5508</v>
      </c>
      <c r="J591" s="1" t="s">
        <v>2750</v>
      </c>
      <c r="K591" s="1" t="s">
        <v>2751</v>
      </c>
      <c r="L591" s="1" t="s">
        <v>2752</v>
      </c>
      <c r="M591" s="1"/>
      <c r="N591" s="1"/>
      <c r="O591" s="1" t="s">
        <v>8</v>
      </c>
      <c r="P591" s="1" t="s">
        <v>5509</v>
      </c>
      <c r="Q591" s="1"/>
      <c r="R591" s="1"/>
      <c r="S591" s="1"/>
      <c r="T591" s="1"/>
      <c r="U591" s="1"/>
      <c r="V591" s="1"/>
      <c r="W591" s="1"/>
      <c r="X591" s="1"/>
      <c r="Y591" t="s">
        <v>8</v>
      </c>
      <c r="Z591" t="s">
        <v>4316</v>
      </c>
      <c r="AA591" t="s">
        <v>4317</v>
      </c>
      <c r="AB591" t="s">
        <v>5200</v>
      </c>
      <c r="AC591" t="s">
        <v>5201</v>
      </c>
      <c r="AD591" s="18">
        <v>46117</v>
      </c>
    </row>
    <row r="592" spans="1:30" ht="345" hidden="1">
      <c r="A592" s="1" t="s">
        <v>965</v>
      </c>
      <c r="B592" s="1">
        <v>1591</v>
      </c>
      <c r="C592" s="1">
        <v>11</v>
      </c>
      <c r="D592" s="1">
        <v>51</v>
      </c>
      <c r="E592" s="1" t="s">
        <v>4290</v>
      </c>
      <c r="F592" s="1" t="s">
        <v>4302</v>
      </c>
      <c r="G592" s="1" t="s">
        <v>4294</v>
      </c>
      <c r="H592" s="1" t="s">
        <v>2753</v>
      </c>
      <c r="I592" s="1" t="s">
        <v>2754</v>
      </c>
      <c r="J592" s="1" t="s">
        <v>2755</v>
      </c>
      <c r="K592" s="1" t="s">
        <v>2756</v>
      </c>
      <c r="L592" s="1" t="s">
        <v>2757</v>
      </c>
      <c r="M592" s="1"/>
      <c r="N592" s="1"/>
      <c r="O592" s="1" t="s">
        <v>9</v>
      </c>
      <c r="P592" s="1" t="s">
        <v>4139</v>
      </c>
      <c r="Q592" s="1"/>
      <c r="R592" s="1"/>
      <c r="S592" s="1"/>
      <c r="T592" s="1"/>
      <c r="U592" s="1"/>
      <c r="V592" s="1"/>
      <c r="W592" s="1"/>
      <c r="X592" s="1"/>
      <c r="Y592" t="s">
        <v>9</v>
      </c>
      <c r="Z592" t="s">
        <v>4316</v>
      </c>
      <c r="AA592" t="s">
        <v>4317</v>
      </c>
      <c r="AB592" t="s">
        <v>5202</v>
      </c>
      <c r="AC592" t="s">
        <v>4371</v>
      </c>
      <c r="AD592" s="18">
        <v>46117</v>
      </c>
    </row>
    <row r="593" spans="1:30" ht="150" hidden="1">
      <c r="A593" s="1" t="s">
        <v>965</v>
      </c>
      <c r="B593" s="1">
        <v>1592</v>
      </c>
      <c r="C593" s="1">
        <v>11</v>
      </c>
      <c r="D593" s="1">
        <v>52</v>
      </c>
      <c r="E593" s="1" t="s">
        <v>4297</v>
      </c>
      <c r="F593" s="1" t="s">
        <v>4301</v>
      </c>
      <c r="G593" s="1" t="s">
        <v>4294</v>
      </c>
      <c r="H593" s="1" t="s">
        <v>2758</v>
      </c>
      <c r="I593" s="1" t="s">
        <v>2759</v>
      </c>
      <c r="J593" s="1" t="s">
        <v>19</v>
      </c>
      <c r="K593" s="1" t="s">
        <v>227</v>
      </c>
      <c r="L593" s="1" t="s">
        <v>2760</v>
      </c>
      <c r="M593" s="1"/>
      <c r="N593" s="1"/>
      <c r="O593" s="1" t="s">
        <v>8</v>
      </c>
      <c r="P593" s="1" t="s">
        <v>4140</v>
      </c>
      <c r="Q593" s="1"/>
      <c r="R593" s="1"/>
      <c r="S593" s="1"/>
      <c r="T593" s="1"/>
      <c r="U593" s="1"/>
      <c r="V593" s="1"/>
      <c r="W593" s="1"/>
      <c r="X593" s="1"/>
      <c r="Y593" t="s">
        <v>8</v>
      </c>
      <c r="Z593" t="s">
        <v>4316</v>
      </c>
      <c r="AA593" t="s">
        <v>4317</v>
      </c>
      <c r="AB593" t="s">
        <v>5203</v>
      </c>
      <c r="AC593" t="s">
        <v>4481</v>
      </c>
      <c r="AD593" s="18">
        <v>46117</v>
      </c>
    </row>
    <row r="594" spans="1:30" ht="165" hidden="1">
      <c r="A594" s="1" t="s">
        <v>965</v>
      </c>
      <c r="B594" s="1">
        <v>1593</v>
      </c>
      <c r="C594" s="1">
        <v>11</v>
      </c>
      <c r="D594" s="1">
        <v>53</v>
      </c>
      <c r="E594" s="1" t="s">
        <v>4290</v>
      </c>
      <c r="F594" s="1" t="s">
        <v>4291</v>
      </c>
      <c r="G594" s="1" t="s">
        <v>4294</v>
      </c>
      <c r="H594" s="1" t="s">
        <v>2761</v>
      </c>
      <c r="I594" s="1" t="s">
        <v>2762</v>
      </c>
      <c r="J594" s="1" t="s">
        <v>2763</v>
      </c>
      <c r="K594" s="1" t="s">
        <v>2764</v>
      </c>
      <c r="L594" s="1" t="s">
        <v>2765</v>
      </c>
      <c r="M594" s="1"/>
      <c r="N594" s="1"/>
      <c r="O594" s="1" t="s">
        <v>7</v>
      </c>
      <c r="P594" s="1" t="s">
        <v>4141</v>
      </c>
      <c r="Q594" s="1"/>
      <c r="R594" s="1"/>
      <c r="S594" s="1"/>
      <c r="T594" s="1"/>
      <c r="U594" s="1">
        <v>1</v>
      </c>
      <c r="V594" s="1"/>
      <c r="W594" s="1"/>
      <c r="X594" s="1"/>
      <c r="Y594" t="s">
        <v>7</v>
      </c>
      <c r="Z594" t="s">
        <v>4316</v>
      </c>
      <c r="AA594" t="s">
        <v>4317</v>
      </c>
      <c r="AB594" t="s">
        <v>5204</v>
      </c>
      <c r="AC594" t="s">
        <v>4481</v>
      </c>
      <c r="AD594" s="18">
        <v>46117</v>
      </c>
    </row>
    <row r="595" spans="1:30" ht="150" hidden="1">
      <c r="A595" s="1" t="s">
        <v>965</v>
      </c>
      <c r="B595" s="1">
        <v>1594</v>
      </c>
      <c r="C595" s="1">
        <v>11</v>
      </c>
      <c r="D595" s="1">
        <v>54</v>
      </c>
      <c r="E595" s="1" t="s">
        <v>4292</v>
      </c>
      <c r="F595" s="1" t="s">
        <v>4303</v>
      </c>
      <c r="G595" s="1" t="s">
        <v>4294</v>
      </c>
      <c r="H595" s="1" t="s">
        <v>2766</v>
      </c>
      <c r="I595" s="1" t="s">
        <v>2767</v>
      </c>
      <c r="J595" s="1" t="s">
        <v>2768</v>
      </c>
      <c r="K595" s="1" t="s">
        <v>2769</v>
      </c>
      <c r="L595" s="1" t="s">
        <v>2770</v>
      </c>
      <c r="M595" s="1"/>
      <c r="N595" s="1"/>
      <c r="O595" s="1" t="s">
        <v>9</v>
      </c>
      <c r="P595" s="1" t="s">
        <v>4142</v>
      </c>
      <c r="Q595" s="1"/>
      <c r="R595" s="1"/>
      <c r="S595" s="1"/>
      <c r="T595" s="1"/>
      <c r="U595" s="1">
        <v>1</v>
      </c>
      <c r="V595" s="1"/>
      <c r="W595" s="1"/>
      <c r="X595" s="1"/>
      <c r="Y595" t="s">
        <v>9</v>
      </c>
      <c r="Z595" t="s">
        <v>4316</v>
      </c>
      <c r="AA595" t="s">
        <v>4317</v>
      </c>
      <c r="AB595" t="s">
        <v>5205</v>
      </c>
      <c r="AC595" t="s">
        <v>5193</v>
      </c>
      <c r="AD595" s="18">
        <v>46117</v>
      </c>
    </row>
    <row r="596" spans="1:30" ht="285" hidden="1">
      <c r="A596" s="1" t="s">
        <v>965</v>
      </c>
      <c r="B596" s="1">
        <v>1595</v>
      </c>
      <c r="C596" s="1">
        <v>11</v>
      </c>
      <c r="D596" s="1">
        <v>55</v>
      </c>
      <c r="E596" s="1" t="s">
        <v>4290</v>
      </c>
      <c r="F596" s="1" t="s">
        <v>4291</v>
      </c>
      <c r="G596" s="1" t="s">
        <v>20</v>
      </c>
      <c r="H596" s="1" t="s">
        <v>2771</v>
      </c>
      <c r="I596" s="1" t="s">
        <v>3790</v>
      </c>
      <c r="J596" s="1" t="s">
        <v>3791</v>
      </c>
      <c r="K596" s="1" t="s">
        <v>3792</v>
      </c>
      <c r="L596" s="1" t="s">
        <v>3793</v>
      </c>
      <c r="M596" s="1"/>
      <c r="N596" s="1"/>
      <c r="O596" s="1" t="s">
        <v>7</v>
      </c>
      <c r="P596" s="1" t="s">
        <v>4143</v>
      </c>
      <c r="Q596" s="1"/>
      <c r="R596" s="1"/>
      <c r="S596" s="1"/>
      <c r="T596" s="1"/>
      <c r="U596" s="1">
        <v>1</v>
      </c>
      <c r="V596" s="1"/>
      <c r="W596" s="1"/>
      <c r="X596" s="1"/>
      <c r="Y596" t="s">
        <v>7</v>
      </c>
      <c r="Z596" t="s">
        <v>4316</v>
      </c>
      <c r="AA596" t="s">
        <v>4317</v>
      </c>
      <c r="AB596" t="s">
        <v>5206</v>
      </c>
      <c r="AC596" t="s">
        <v>4453</v>
      </c>
      <c r="AD596" s="18">
        <v>46117</v>
      </c>
    </row>
    <row r="597" spans="1:30" ht="240" hidden="1">
      <c r="A597" s="1" t="s">
        <v>965</v>
      </c>
      <c r="B597" s="1">
        <v>1596</v>
      </c>
      <c r="C597" s="1">
        <v>11</v>
      </c>
      <c r="D597" s="1">
        <v>56</v>
      </c>
      <c r="E597" s="1" t="s">
        <v>4297</v>
      </c>
      <c r="F597" s="1" t="s">
        <v>4299</v>
      </c>
      <c r="G597" s="1" t="s">
        <v>4294</v>
      </c>
      <c r="H597" s="1" t="s">
        <v>2772</v>
      </c>
      <c r="I597" s="1" t="s">
        <v>2773</v>
      </c>
      <c r="J597" s="1" t="s">
        <v>2774</v>
      </c>
      <c r="K597" s="1" t="s">
        <v>2775</v>
      </c>
      <c r="L597" s="1" t="s">
        <v>2776</v>
      </c>
      <c r="M597" s="1"/>
      <c r="N597" s="1"/>
      <c r="O597" s="1" t="s">
        <v>8</v>
      </c>
      <c r="P597" s="1" t="s">
        <v>4144</v>
      </c>
      <c r="Q597" s="1"/>
      <c r="R597" s="1"/>
      <c r="S597" s="1"/>
      <c r="T597" s="1">
        <v>1</v>
      </c>
      <c r="U597" s="1"/>
      <c r="V597" s="1"/>
      <c r="W597" s="1"/>
      <c r="X597" s="1"/>
      <c r="Y597" t="s">
        <v>8</v>
      </c>
      <c r="Z597" t="s">
        <v>4316</v>
      </c>
      <c r="AA597" t="s">
        <v>4317</v>
      </c>
      <c r="AB597" t="s">
        <v>5207</v>
      </c>
      <c r="AD597" s="18">
        <v>46117</v>
      </c>
    </row>
    <row r="598" spans="1:30" ht="150" hidden="1">
      <c r="A598" s="1" t="s">
        <v>965</v>
      </c>
      <c r="B598" s="1">
        <v>1597</v>
      </c>
      <c r="C598" s="1">
        <v>11</v>
      </c>
      <c r="D598" s="1">
        <v>57</v>
      </c>
      <c r="E598" s="1" t="s">
        <v>4292</v>
      </c>
      <c r="F598" s="1" t="s">
        <v>4304</v>
      </c>
      <c r="G598" s="1" t="s">
        <v>4294</v>
      </c>
      <c r="H598" s="1" t="s">
        <v>2777</v>
      </c>
      <c r="I598" s="1" t="s">
        <v>2778</v>
      </c>
      <c r="J598" s="1" t="s">
        <v>2779</v>
      </c>
      <c r="K598" s="1" t="s">
        <v>2780</v>
      </c>
      <c r="L598" s="1" t="s">
        <v>2781</v>
      </c>
      <c r="M598" s="1"/>
      <c r="N598" s="1"/>
      <c r="O598" s="1" t="s">
        <v>9</v>
      </c>
      <c r="P598" s="1" t="s">
        <v>4145</v>
      </c>
      <c r="Q598" s="1"/>
      <c r="R598" s="1"/>
      <c r="S598" s="1"/>
      <c r="T598" s="1"/>
      <c r="U598" s="1">
        <v>1</v>
      </c>
      <c r="V598" s="1"/>
      <c r="W598" s="1"/>
      <c r="X598" s="1"/>
      <c r="Y598" t="s">
        <v>9</v>
      </c>
      <c r="Z598" t="s">
        <v>4316</v>
      </c>
      <c r="AA598" t="s">
        <v>4317</v>
      </c>
      <c r="AB598" t="s">
        <v>5208</v>
      </c>
      <c r="AC598" t="s">
        <v>5209</v>
      </c>
      <c r="AD598" s="18">
        <v>46117</v>
      </c>
    </row>
    <row r="599" spans="1:30" ht="150" hidden="1">
      <c r="A599" s="1" t="s">
        <v>965</v>
      </c>
      <c r="B599" s="1">
        <v>1598</v>
      </c>
      <c r="C599" s="1">
        <v>11</v>
      </c>
      <c r="D599" s="1">
        <v>58</v>
      </c>
      <c r="E599" s="1" t="s">
        <v>4297</v>
      </c>
      <c r="F599" s="1" t="s">
        <v>4300</v>
      </c>
      <c r="G599" s="1" t="s">
        <v>20</v>
      </c>
      <c r="H599" s="1" t="s">
        <v>2782</v>
      </c>
      <c r="I599" s="1" t="s">
        <v>2783</v>
      </c>
      <c r="J599" s="1" t="s">
        <v>2784</v>
      </c>
      <c r="K599" s="1" t="s">
        <v>2785</v>
      </c>
      <c r="L599" s="1" t="s">
        <v>2786</v>
      </c>
      <c r="M599" s="1"/>
      <c r="N599" s="1"/>
      <c r="O599" s="1" t="s">
        <v>9</v>
      </c>
      <c r="P599" s="1" t="s">
        <v>4146</v>
      </c>
      <c r="Q599" s="1"/>
      <c r="R599" s="1"/>
      <c r="S599" s="1"/>
      <c r="T599" s="1"/>
      <c r="U599" s="1"/>
      <c r="V599" s="1"/>
      <c r="W599" s="1"/>
      <c r="X599" s="1"/>
      <c r="Y599" t="s">
        <v>9</v>
      </c>
      <c r="Z599" t="s">
        <v>4316</v>
      </c>
      <c r="AA599" t="s">
        <v>4317</v>
      </c>
      <c r="AB599" t="s">
        <v>5210</v>
      </c>
      <c r="AC599" t="s">
        <v>4344</v>
      </c>
      <c r="AD599" s="18">
        <v>46117</v>
      </c>
    </row>
    <row r="600" spans="1:30" ht="255" hidden="1">
      <c r="A600" s="1" t="s">
        <v>965</v>
      </c>
      <c r="B600" s="1">
        <v>1599</v>
      </c>
      <c r="C600" s="1">
        <v>11</v>
      </c>
      <c r="D600" s="1">
        <v>59</v>
      </c>
      <c r="E600" s="1" t="s">
        <v>4295</v>
      </c>
      <c r="F600" s="1" t="s">
        <v>4296</v>
      </c>
      <c r="G600" s="1" t="s">
        <v>40</v>
      </c>
      <c r="H600" s="1" t="s">
        <v>3580</v>
      </c>
      <c r="I600" s="1" t="s">
        <v>3581</v>
      </c>
      <c r="J600" s="1" t="s">
        <v>3582</v>
      </c>
      <c r="K600" s="1" t="s">
        <v>3583</v>
      </c>
      <c r="L600" s="1" t="s">
        <v>3584</v>
      </c>
      <c r="M600" s="1"/>
      <c r="N600" s="1"/>
      <c r="O600" s="1" t="s">
        <v>8</v>
      </c>
      <c r="P600" s="1" t="s">
        <v>4147</v>
      </c>
      <c r="Q600" s="1"/>
      <c r="R600" s="1"/>
      <c r="S600" s="1"/>
      <c r="T600" s="1"/>
      <c r="U600" s="1"/>
      <c r="V600" s="1"/>
      <c r="W600" s="1"/>
      <c r="X600" s="1"/>
      <c r="Y600" t="s">
        <v>8</v>
      </c>
      <c r="Z600" t="s">
        <v>4316</v>
      </c>
      <c r="AA600" t="s">
        <v>4317</v>
      </c>
      <c r="AB600" t="s">
        <v>5211</v>
      </c>
      <c r="AC600" t="s">
        <v>5174</v>
      </c>
      <c r="AD600" s="18">
        <v>46117</v>
      </c>
    </row>
    <row r="601" spans="1:30" ht="150">
      <c r="A601" s="1" t="s">
        <v>965</v>
      </c>
      <c r="B601" s="1">
        <v>1600</v>
      </c>
      <c r="C601" s="1">
        <v>11</v>
      </c>
      <c r="D601" s="1">
        <v>60</v>
      </c>
      <c r="E601" s="1" t="s">
        <v>4297</v>
      </c>
      <c r="F601" s="1" t="s">
        <v>4301</v>
      </c>
      <c r="G601" s="1" t="s">
        <v>4294</v>
      </c>
      <c r="H601" s="1" t="s">
        <v>2787</v>
      </c>
      <c r="I601" s="1" t="s">
        <v>2788</v>
      </c>
      <c r="J601" s="1" t="s">
        <v>2789</v>
      </c>
      <c r="K601" s="1" t="s">
        <v>2790</v>
      </c>
      <c r="L601" s="1" t="s">
        <v>2791</v>
      </c>
      <c r="M601" s="1"/>
      <c r="N601" s="1"/>
      <c r="O601" s="1" t="s">
        <v>9</v>
      </c>
      <c r="P601" s="1" t="s">
        <v>4148</v>
      </c>
      <c r="Q601" s="1"/>
      <c r="R601" s="1"/>
      <c r="S601" s="1"/>
      <c r="T601" s="1"/>
      <c r="U601" s="1"/>
      <c r="V601" s="1"/>
      <c r="W601" s="1"/>
      <c r="X601" s="1"/>
      <c r="Y601" t="s">
        <v>8</v>
      </c>
      <c r="Z601" t="s">
        <v>4331</v>
      </c>
      <c r="AA601" t="s">
        <v>4332</v>
      </c>
      <c r="AB601" t="s">
        <v>5212</v>
      </c>
      <c r="AC601" t="s">
        <v>5213</v>
      </c>
      <c r="AD601" s="18">
        <v>46117</v>
      </c>
    </row>
    <row r="602" spans="1:30" ht="360" hidden="1">
      <c r="A602" s="1" t="s">
        <v>965</v>
      </c>
      <c r="B602" s="1">
        <v>1601</v>
      </c>
      <c r="C602" s="1">
        <v>12</v>
      </c>
      <c r="D602" s="1">
        <v>1</v>
      </c>
      <c r="E602" s="1" t="s">
        <v>4297</v>
      </c>
      <c r="F602" s="1" t="s">
        <v>4301</v>
      </c>
      <c r="G602" s="1" t="s">
        <v>40</v>
      </c>
      <c r="H602" s="1" t="s">
        <v>3571</v>
      </c>
      <c r="I602" s="1" t="s">
        <v>3572</v>
      </c>
      <c r="J602" s="1" t="s">
        <v>952</v>
      </c>
      <c r="K602" s="1" t="s">
        <v>3573</v>
      </c>
      <c r="L602" s="1" t="s">
        <v>3574</v>
      </c>
      <c r="M602" s="1"/>
      <c r="N602" s="1"/>
      <c r="O602" s="1" t="s">
        <v>10</v>
      </c>
      <c r="P602" s="1" t="s">
        <v>4149</v>
      </c>
      <c r="Q602" s="1"/>
      <c r="R602" s="1"/>
      <c r="S602" s="1"/>
      <c r="T602" s="1"/>
      <c r="U602" s="1">
        <v>1</v>
      </c>
      <c r="V602" s="1"/>
      <c r="W602" s="1"/>
      <c r="X602" s="1"/>
      <c r="Y602" t="s">
        <v>10</v>
      </c>
      <c r="Z602" t="s">
        <v>4316</v>
      </c>
      <c r="AA602" t="s">
        <v>4317</v>
      </c>
      <c r="AB602" t="s">
        <v>5246</v>
      </c>
      <c r="AC602" t="s">
        <v>4979</v>
      </c>
      <c r="AD602" s="18">
        <v>46117</v>
      </c>
    </row>
    <row r="603" spans="1:30" ht="120" hidden="1">
      <c r="A603" s="1" t="s">
        <v>965</v>
      </c>
      <c r="B603" s="1">
        <v>1602</v>
      </c>
      <c r="C603" s="1">
        <v>12</v>
      </c>
      <c r="D603" s="1">
        <v>2</v>
      </c>
      <c r="E603" s="1" t="s">
        <v>4305</v>
      </c>
      <c r="F603" s="1" t="s">
        <v>3339</v>
      </c>
      <c r="G603" s="1" t="s">
        <v>4294</v>
      </c>
      <c r="H603" s="1" t="s">
        <v>2792</v>
      </c>
      <c r="I603" s="1" t="s">
        <v>2793</v>
      </c>
      <c r="J603" s="1" t="s">
        <v>2794</v>
      </c>
      <c r="K603" s="1" t="s">
        <v>2795</v>
      </c>
      <c r="L603" s="1" t="s">
        <v>2796</v>
      </c>
      <c r="M603" s="1"/>
      <c r="N603" s="1"/>
      <c r="O603" s="1" t="s">
        <v>8</v>
      </c>
      <c r="P603" s="1" t="s">
        <v>4150</v>
      </c>
      <c r="Q603" s="1"/>
      <c r="R603" s="1"/>
      <c r="S603" s="1"/>
      <c r="T603" s="1">
        <v>1</v>
      </c>
      <c r="U603" s="1"/>
      <c r="V603" s="1"/>
      <c r="W603" s="1"/>
      <c r="X603" s="1"/>
      <c r="Y603" t="s">
        <v>8</v>
      </c>
      <c r="Z603" t="s">
        <v>4316</v>
      </c>
      <c r="AA603" t="s">
        <v>4317</v>
      </c>
      <c r="AB603" t="s">
        <v>5247</v>
      </c>
      <c r="AC603" t="s">
        <v>5169</v>
      </c>
      <c r="AD603" s="18">
        <v>46117</v>
      </c>
    </row>
    <row r="604" spans="1:30" ht="180" hidden="1">
      <c r="A604" s="1" t="s">
        <v>965</v>
      </c>
      <c r="B604" s="1">
        <v>1603</v>
      </c>
      <c r="C604" s="1">
        <v>12</v>
      </c>
      <c r="D604" s="1">
        <v>3</v>
      </c>
      <c r="E604" s="1" t="s">
        <v>4297</v>
      </c>
      <c r="F604" s="1" t="s">
        <v>4300</v>
      </c>
      <c r="G604" s="1" t="s">
        <v>4294</v>
      </c>
      <c r="H604" s="1" t="s">
        <v>2797</v>
      </c>
      <c r="I604" s="1" t="s">
        <v>2798</v>
      </c>
      <c r="J604" s="1" t="s">
        <v>2676</v>
      </c>
      <c r="K604" s="1" t="s">
        <v>2677</v>
      </c>
      <c r="L604" s="1" t="s">
        <v>2678</v>
      </c>
      <c r="M604" s="1"/>
      <c r="N604" s="1"/>
      <c r="O604" s="1" t="s">
        <v>8</v>
      </c>
      <c r="P604" s="1" t="s">
        <v>4151</v>
      </c>
      <c r="Q604" s="1"/>
      <c r="R604" s="1"/>
      <c r="S604" s="1"/>
      <c r="T604" s="1"/>
      <c r="U604" s="1"/>
      <c r="V604" s="1"/>
      <c r="W604" s="1"/>
      <c r="X604" s="1"/>
      <c r="Y604" t="s">
        <v>8</v>
      </c>
      <c r="Z604" t="s">
        <v>4316</v>
      </c>
      <c r="AA604" t="s">
        <v>4317</v>
      </c>
      <c r="AB604" t="s">
        <v>5248</v>
      </c>
      <c r="AC604" t="s">
        <v>4344</v>
      </c>
      <c r="AD604" s="18">
        <v>46117</v>
      </c>
    </row>
    <row r="605" spans="1:30" ht="120" hidden="1">
      <c r="A605" s="1" t="s">
        <v>965</v>
      </c>
      <c r="B605" s="1">
        <v>1604</v>
      </c>
      <c r="C605" s="1">
        <v>12</v>
      </c>
      <c r="D605" s="1">
        <v>4</v>
      </c>
      <c r="E605" s="1" t="s">
        <v>4290</v>
      </c>
      <c r="F605" s="1" t="s">
        <v>4291</v>
      </c>
      <c r="G605" s="1" t="s">
        <v>20</v>
      </c>
      <c r="H605" s="1" t="s">
        <v>2799</v>
      </c>
      <c r="I605" s="1" t="s">
        <v>2800</v>
      </c>
      <c r="J605" s="1" t="s">
        <v>2801</v>
      </c>
      <c r="K605" s="1" t="s">
        <v>2802</v>
      </c>
      <c r="L605" s="1" t="s">
        <v>2803</v>
      </c>
      <c r="M605" s="1"/>
      <c r="N605" s="1"/>
      <c r="O605" s="1" t="s">
        <v>10</v>
      </c>
      <c r="P605" s="1" t="s">
        <v>4152</v>
      </c>
      <c r="Q605" s="1"/>
      <c r="R605" s="1"/>
      <c r="S605" s="1"/>
      <c r="T605" s="1"/>
      <c r="U605" s="1"/>
      <c r="V605" s="1"/>
      <c r="W605" s="1"/>
      <c r="X605" s="1"/>
      <c r="Y605" t="s">
        <v>10</v>
      </c>
      <c r="Z605" t="s">
        <v>4316</v>
      </c>
      <c r="AA605" t="s">
        <v>4317</v>
      </c>
      <c r="AB605" t="s">
        <v>5249</v>
      </c>
      <c r="AC605" t="s">
        <v>4481</v>
      </c>
      <c r="AD605" s="18">
        <v>46117</v>
      </c>
    </row>
    <row r="606" spans="1:30" ht="165" hidden="1">
      <c r="A606" s="1" t="s">
        <v>965</v>
      </c>
      <c r="B606" s="1">
        <v>1605</v>
      </c>
      <c r="C606" s="1">
        <v>12</v>
      </c>
      <c r="D606" s="1">
        <v>5</v>
      </c>
      <c r="E606" s="1" t="s">
        <v>4292</v>
      </c>
      <c r="F606" s="1" t="s">
        <v>4293</v>
      </c>
      <c r="G606" s="1" t="s">
        <v>4294</v>
      </c>
      <c r="H606" s="1" t="s">
        <v>2804</v>
      </c>
      <c r="I606" s="1" t="s">
        <v>2805</v>
      </c>
      <c r="J606" s="1" t="s">
        <v>2806</v>
      </c>
      <c r="K606" s="1" t="s">
        <v>2807</v>
      </c>
      <c r="L606" s="1" t="s">
        <v>2808</v>
      </c>
      <c r="M606" s="1"/>
      <c r="N606" s="1"/>
      <c r="O606" s="1" t="s">
        <v>7</v>
      </c>
      <c r="P606" s="1" t="s">
        <v>5510</v>
      </c>
      <c r="Q606" s="1"/>
      <c r="R606" s="1"/>
      <c r="S606" s="1"/>
      <c r="T606" s="1"/>
      <c r="U606" s="1">
        <v>1</v>
      </c>
      <c r="V606" s="1"/>
      <c r="W606" s="1"/>
      <c r="X606" s="1"/>
      <c r="Y606" t="s">
        <v>7</v>
      </c>
      <c r="Z606" t="s">
        <v>4316</v>
      </c>
      <c r="AA606" t="s">
        <v>4317</v>
      </c>
      <c r="AB606" t="s">
        <v>5250</v>
      </c>
      <c r="AC606" t="s">
        <v>5176</v>
      </c>
      <c r="AD606" s="18">
        <v>46117</v>
      </c>
    </row>
    <row r="607" spans="1:30" ht="135" hidden="1">
      <c r="A607" s="1" t="s">
        <v>965</v>
      </c>
      <c r="B607" s="1">
        <v>1606</v>
      </c>
      <c r="C607" s="1">
        <v>12</v>
      </c>
      <c r="D607" s="1">
        <v>6</v>
      </c>
      <c r="E607" s="1" t="s">
        <v>4297</v>
      </c>
      <c r="F607" s="1" t="s">
        <v>4300</v>
      </c>
      <c r="G607" s="1" t="s">
        <v>20</v>
      </c>
      <c r="H607" s="1" t="s">
        <v>2809</v>
      </c>
      <c r="I607" s="1" t="s">
        <v>2810</v>
      </c>
      <c r="J607" s="1" t="s">
        <v>2811</v>
      </c>
      <c r="K607" s="1" t="s">
        <v>2812</v>
      </c>
      <c r="L607" s="1" t="s">
        <v>2813</v>
      </c>
      <c r="M607" s="1" t="s">
        <v>2814</v>
      </c>
      <c r="N607" s="1"/>
      <c r="O607" s="1" t="s">
        <v>4154</v>
      </c>
      <c r="P607" s="1" t="s">
        <v>4153</v>
      </c>
      <c r="Q607" s="1"/>
      <c r="R607" s="1"/>
      <c r="S607" s="1"/>
      <c r="T607" s="1">
        <v>1</v>
      </c>
      <c r="U607" s="1"/>
      <c r="V607" s="1"/>
      <c r="W607" s="1"/>
      <c r="X607" s="1"/>
      <c r="Y607" t="s">
        <v>4154</v>
      </c>
      <c r="Z607" t="s">
        <v>4316</v>
      </c>
      <c r="AA607" t="s">
        <v>4317</v>
      </c>
      <c r="AB607" t="s">
        <v>5251</v>
      </c>
      <c r="AC607" t="s">
        <v>4344</v>
      </c>
      <c r="AD607" s="18">
        <v>46117</v>
      </c>
    </row>
    <row r="608" spans="1:30" ht="210" hidden="1">
      <c r="A608" s="1" t="s">
        <v>965</v>
      </c>
      <c r="B608" s="1">
        <v>1607</v>
      </c>
      <c r="C608" s="1">
        <v>12</v>
      </c>
      <c r="D608" s="1">
        <v>7</v>
      </c>
      <c r="E608" s="1" t="s">
        <v>4297</v>
      </c>
      <c r="F608" s="1" t="s">
        <v>4299</v>
      </c>
      <c r="G608" s="1" t="s">
        <v>4294</v>
      </c>
      <c r="H608" s="1" t="s">
        <v>2815</v>
      </c>
      <c r="I608" s="1" t="s">
        <v>2816</v>
      </c>
      <c r="J608" s="1" t="s">
        <v>2817</v>
      </c>
      <c r="K608" s="1" t="s">
        <v>2818</v>
      </c>
      <c r="L608" s="1" t="s">
        <v>2819</v>
      </c>
      <c r="M608" s="1"/>
      <c r="N608" s="1"/>
      <c r="O608" s="1" t="s">
        <v>8</v>
      </c>
      <c r="P608" s="1" t="s">
        <v>5511</v>
      </c>
      <c r="Q608" s="1"/>
      <c r="R608" s="1"/>
      <c r="S608" s="1"/>
      <c r="T608" s="1">
        <v>1</v>
      </c>
      <c r="U608" s="1"/>
      <c r="V608" s="1"/>
      <c r="W608" s="1"/>
      <c r="X608" s="1"/>
      <c r="Y608" t="s">
        <v>8</v>
      </c>
      <c r="Z608" t="s">
        <v>4316</v>
      </c>
      <c r="AA608" t="s">
        <v>4317</v>
      </c>
      <c r="AB608" t="s">
        <v>5252</v>
      </c>
      <c r="AC608" t="s">
        <v>4371</v>
      </c>
      <c r="AD608" s="18">
        <v>46117</v>
      </c>
    </row>
    <row r="609" spans="1:30" ht="135" hidden="1">
      <c r="A609" s="1" t="s">
        <v>965</v>
      </c>
      <c r="B609" s="1">
        <v>1608</v>
      </c>
      <c r="C609" s="1">
        <v>12</v>
      </c>
      <c r="D609" s="1">
        <v>8</v>
      </c>
      <c r="E609" s="1" t="s">
        <v>4297</v>
      </c>
      <c r="F609" s="1" t="s">
        <v>4299</v>
      </c>
      <c r="G609" s="1" t="s">
        <v>20</v>
      </c>
      <c r="H609" s="1" t="s">
        <v>2820</v>
      </c>
      <c r="I609" s="1" t="s">
        <v>3794</v>
      </c>
      <c r="J609" s="1" t="s">
        <v>3795</v>
      </c>
      <c r="K609" s="1" t="s">
        <v>3796</v>
      </c>
      <c r="L609" s="1" t="s">
        <v>3797</v>
      </c>
      <c r="M609" s="1"/>
      <c r="N609" s="1"/>
      <c r="O609" s="1" t="s">
        <v>7</v>
      </c>
      <c r="P609" s="1" t="s">
        <v>5512</v>
      </c>
      <c r="Q609" s="1"/>
      <c r="R609" s="1"/>
      <c r="S609" s="1"/>
      <c r="T609" s="1"/>
      <c r="U609" s="1">
        <v>1</v>
      </c>
      <c r="V609" s="1"/>
      <c r="W609" s="1"/>
      <c r="X609" s="1"/>
      <c r="Y609" t="s">
        <v>7</v>
      </c>
      <c r="Z609" t="s">
        <v>4316</v>
      </c>
      <c r="AA609" t="s">
        <v>4317</v>
      </c>
      <c r="AB609" t="s">
        <v>5253</v>
      </c>
      <c r="AD609" s="18">
        <v>46117</v>
      </c>
    </row>
    <row r="610" spans="1:30" ht="285" hidden="1">
      <c r="A610" s="1" t="s">
        <v>965</v>
      </c>
      <c r="B610" s="1">
        <v>1609</v>
      </c>
      <c r="C610" s="1">
        <v>12</v>
      </c>
      <c r="D610" s="1">
        <v>9</v>
      </c>
      <c r="E610" s="1" t="s">
        <v>4297</v>
      </c>
      <c r="F610" s="1" t="s">
        <v>4298</v>
      </c>
      <c r="G610" s="1" t="s">
        <v>20</v>
      </c>
      <c r="H610" s="1" t="s">
        <v>2821</v>
      </c>
      <c r="I610" s="1" t="s">
        <v>3798</v>
      </c>
      <c r="J610" s="1" t="s">
        <v>3799</v>
      </c>
      <c r="K610" s="1" t="s">
        <v>3800</v>
      </c>
      <c r="L610" s="1" t="s">
        <v>3801</v>
      </c>
      <c r="M610" s="1"/>
      <c r="N610" s="1"/>
      <c r="O610" s="1" t="s">
        <v>9</v>
      </c>
      <c r="P610" s="1" t="s">
        <v>5513</v>
      </c>
      <c r="Q610" s="1"/>
      <c r="R610" s="1"/>
      <c r="S610" s="1"/>
      <c r="T610" s="1"/>
      <c r="U610" s="1">
        <v>1</v>
      </c>
      <c r="V610" s="1"/>
      <c r="W610" s="1"/>
      <c r="X610" s="1"/>
      <c r="Z610" t="s">
        <v>4386</v>
      </c>
      <c r="AB610" t="s">
        <v>5254</v>
      </c>
      <c r="AC610" t="s">
        <v>5237</v>
      </c>
      <c r="AD610" s="18">
        <v>46117</v>
      </c>
    </row>
    <row r="611" spans="1:30" ht="409.5" hidden="1">
      <c r="A611" s="1" t="s">
        <v>965</v>
      </c>
      <c r="B611" s="1">
        <v>1610</v>
      </c>
      <c r="C611" s="1">
        <v>12</v>
      </c>
      <c r="D611" s="1">
        <v>10</v>
      </c>
      <c r="E611" s="1" t="s">
        <v>4305</v>
      </c>
      <c r="F611" s="1" t="s">
        <v>4306</v>
      </c>
      <c r="G611" s="1" t="s">
        <v>20</v>
      </c>
      <c r="H611" s="1" t="s">
        <v>2822</v>
      </c>
      <c r="I611" s="1" t="s">
        <v>5514</v>
      </c>
      <c r="J611" s="1" t="s">
        <v>2823</v>
      </c>
      <c r="K611" s="1" t="s">
        <v>2824</v>
      </c>
      <c r="L611" s="1" t="s">
        <v>2825</v>
      </c>
      <c r="M611" s="1" t="s">
        <v>2826</v>
      </c>
      <c r="N611" s="1"/>
      <c r="O611" s="1" t="s">
        <v>11</v>
      </c>
      <c r="P611" s="1" t="s">
        <v>5515</v>
      </c>
      <c r="Q611" s="1"/>
      <c r="R611" s="1"/>
      <c r="S611" s="1"/>
      <c r="T611" s="1"/>
      <c r="U611" s="1">
        <v>1</v>
      </c>
      <c r="V611" s="1"/>
      <c r="W611" s="1"/>
      <c r="X611" s="1"/>
      <c r="Y611" t="s">
        <v>11</v>
      </c>
      <c r="Z611" t="s">
        <v>4316</v>
      </c>
      <c r="AA611" t="s">
        <v>4317</v>
      </c>
      <c r="AB611" t="s">
        <v>5255</v>
      </c>
      <c r="AC611" t="s">
        <v>5201</v>
      </c>
      <c r="AD611" s="18">
        <v>46117</v>
      </c>
    </row>
    <row r="612" spans="1:30" ht="195" hidden="1">
      <c r="A612" s="1" t="s">
        <v>965</v>
      </c>
      <c r="B612" s="1">
        <v>1611</v>
      </c>
      <c r="C612" s="1">
        <v>12</v>
      </c>
      <c r="D612" s="1">
        <v>11</v>
      </c>
      <c r="E612" s="1" t="s">
        <v>4292</v>
      </c>
      <c r="F612" s="1" t="s">
        <v>4304</v>
      </c>
      <c r="G612" s="1" t="s">
        <v>4294</v>
      </c>
      <c r="H612" s="1" t="s">
        <v>2827</v>
      </c>
      <c r="I612" s="1" t="s">
        <v>2828</v>
      </c>
      <c r="J612" s="1" t="s">
        <v>2829</v>
      </c>
      <c r="K612" s="1" t="s">
        <v>2830</v>
      </c>
      <c r="L612" s="1" t="s">
        <v>2831</v>
      </c>
      <c r="M612" s="1"/>
      <c r="N612" s="1"/>
      <c r="O612" s="1" t="s">
        <v>7</v>
      </c>
      <c r="P612" s="1" t="s">
        <v>4155</v>
      </c>
      <c r="Q612" s="1"/>
      <c r="R612" s="1"/>
      <c r="S612" s="1"/>
      <c r="T612" s="1">
        <v>1</v>
      </c>
      <c r="U612" s="1"/>
      <c r="V612" s="1"/>
      <c r="W612" s="1"/>
      <c r="X612" s="1"/>
      <c r="Y612" t="s">
        <v>7</v>
      </c>
      <c r="Z612" t="s">
        <v>4316</v>
      </c>
      <c r="AA612" t="s">
        <v>4317</v>
      </c>
      <c r="AB612" t="s">
        <v>5256</v>
      </c>
      <c r="AC612" t="s">
        <v>5209</v>
      </c>
      <c r="AD612" s="18">
        <v>46117</v>
      </c>
    </row>
    <row r="613" spans="1:30" ht="105" hidden="1">
      <c r="A613" s="1" t="s">
        <v>965</v>
      </c>
      <c r="B613" s="1">
        <v>1612</v>
      </c>
      <c r="C613" s="1">
        <v>12</v>
      </c>
      <c r="D613" s="1">
        <v>12</v>
      </c>
      <c r="E613" s="1" t="s">
        <v>4305</v>
      </c>
      <c r="F613" s="1" t="s">
        <v>3339</v>
      </c>
      <c r="G613" s="1" t="s">
        <v>20</v>
      </c>
      <c r="H613" s="1" t="s">
        <v>2832</v>
      </c>
      <c r="I613" s="1" t="s">
        <v>2833</v>
      </c>
      <c r="J613" s="1" t="s">
        <v>5516</v>
      </c>
      <c r="K613" s="1" t="s">
        <v>2834</v>
      </c>
      <c r="L613" s="1" t="s">
        <v>2835</v>
      </c>
      <c r="M613" s="1"/>
      <c r="N613" s="1"/>
      <c r="O613" s="1" t="s">
        <v>8</v>
      </c>
      <c r="P613" s="1" t="s">
        <v>5517</v>
      </c>
      <c r="Q613" s="1"/>
      <c r="R613" s="1"/>
      <c r="S613" s="1"/>
      <c r="T613" s="1"/>
      <c r="U613" s="1">
        <v>1</v>
      </c>
      <c r="V613" s="1"/>
      <c r="W613" s="1"/>
      <c r="X613" s="1"/>
      <c r="Y613" t="s">
        <v>8</v>
      </c>
      <c r="Z613" t="s">
        <v>4316</v>
      </c>
      <c r="AA613" t="s">
        <v>4317</v>
      </c>
      <c r="AB613" t="s">
        <v>5257</v>
      </c>
      <c r="AC613" t="s">
        <v>5258</v>
      </c>
      <c r="AD613" s="18">
        <v>46117</v>
      </c>
    </row>
    <row r="614" spans="1:30" ht="270" hidden="1">
      <c r="A614" s="1" t="s">
        <v>965</v>
      </c>
      <c r="B614" s="1">
        <v>1613</v>
      </c>
      <c r="C614" s="1">
        <v>12</v>
      </c>
      <c r="D614" s="1">
        <v>13</v>
      </c>
      <c r="E614" s="1" t="s">
        <v>4292</v>
      </c>
      <c r="F614" s="1" t="s">
        <v>4293</v>
      </c>
      <c r="G614" s="1" t="s">
        <v>4294</v>
      </c>
      <c r="H614" s="1" t="s">
        <v>2836</v>
      </c>
      <c r="I614" s="1" t="s">
        <v>2837</v>
      </c>
      <c r="J614" s="1" t="s">
        <v>2838</v>
      </c>
      <c r="K614" s="1" t="s">
        <v>2839</v>
      </c>
      <c r="L614" s="1" t="s">
        <v>2840</v>
      </c>
      <c r="M614" s="1"/>
      <c r="N614" s="1"/>
      <c r="O614" s="1" t="s">
        <v>8</v>
      </c>
      <c r="P614" s="1" t="s">
        <v>4156</v>
      </c>
      <c r="Q614" s="1"/>
      <c r="R614" s="1"/>
      <c r="S614" s="1"/>
      <c r="T614" s="1">
        <v>1</v>
      </c>
      <c r="U614" s="1"/>
      <c r="V614" s="1"/>
      <c r="W614" s="1"/>
      <c r="X614" s="1"/>
      <c r="Y614" t="s">
        <v>8</v>
      </c>
      <c r="Z614" t="s">
        <v>4316</v>
      </c>
      <c r="AA614" t="s">
        <v>4317</v>
      </c>
      <c r="AB614" t="s">
        <v>5259</v>
      </c>
      <c r="AC614" t="s">
        <v>5176</v>
      </c>
      <c r="AD614" s="18">
        <v>46117</v>
      </c>
    </row>
    <row r="615" spans="1:30" ht="195" hidden="1">
      <c r="A615" s="1" t="s">
        <v>965</v>
      </c>
      <c r="B615" s="1">
        <v>1614</v>
      </c>
      <c r="C615" s="1">
        <v>12</v>
      </c>
      <c r="D615" s="1">
        <v>14</v>
      </c>
      <c r="E615" s="1" t="s">
        <v>4305</v>
      </c>
      <c r="F615" s="1" t="s">
        <v>4307</v>
      </c>
      <c r="G615" s="1" t="s">
        <v>4294</v>
      </c>
      <c r="H615" s="1" t="s">
        <v>2841</v>
      </c>
      <c r="I615" s="1" t="s">
        <v>3802</v>
      </c>
      <c r="J615" s="1" t="s">
        <v>3803</v>
      </c>
      <c r="K615" s="1" t="s">
        <v>3804</v>
      </c>
      <c r="L615" s="1" t="s">
        <v>3805</v>
      </c>
      <c r="M615" s="1"/>
      <c r="N615" s="1"/>
      <c r="O615" s="1" t="s">
        <v>8</v>
      </c>
      <c r="P615" s="1" t="s">
        <v>4157</v>
      </c>
      <c r="Q615" s="1"/>
      <c r="R615" s="1"/>
      <c r="S615" s="1"/>
      <c r="T615" s="1"/>
      <c r="U615" s="1">
        <v>1</v>
      </c>
      <c r="V615" s="1"/>
      <c r="W615" s="1"/>
      <c r="X615" s="1"/>
      <c r="Y615" t="s">
        <v>8</v>
      </c>
      <c r="Z615" t="s">
        <v>4316</v>
      </c>
      <c r="AA615" t="s">
        <v>4317</v>
      </c>
      <c r="AB615" t="s">
        <v>5260</v>
      </c>
      <c r="AC615" t="s">
        <v>4865</v>
      </c>
      <c r="AD615" s="18">
        <v>46117</v>
      </c>
    </row>
    <row r="616" spans="1:30" ht="210" hidden="1">
      <c r="A616" s="1" t="s">
        <v>965</v>
      </c>
      <c r="B616" s="1">
        <v>1615</v>
      </c>
      <c r="C616" s="1">
        <v>12</v>
      </c>
      <c r="D616" s="1">
        <v>15</v>
      </c>
      <c r="E616" s="1" t="s">
        <v>4305</v>
      </c>
      <c r="F616" s="1" t="s">
        <v>4307</v>
      </c>
      <c r="G616" s="1" t="s">
        <v>4294</v>
      </c>
      <c r="H616" s="1" t="s">
        <v>2842</v>
      </c>
      <c r="I616" s="1" t="s">
        <v>3806</v>
      </c>
      <c r="J616" s="1" t="s">
        <v>3807</v>
      </c>
      <c r="K616" s="1" t="s">
        <v>3808</v>
      </c>
      <c r="L616" s="1" t="s">
        <v>3809</v>
      </c>
      <c r="M616" s="1"/>
      <c r="N616" s="1"/>
      <c r="O616" s="1" t="s">
        <v>7</v>
      </c>
      <c r="P616" s="1" t="s">
        <v>5518</v>
      </c>
      <c r="Q616" s="1"/>
      <c r="R616" s="1"/>
      <c r="S616" s="1"/>
      <c r="T616" s="1"/>
      <c r="U616" s="1"/>
      <c r="V616" s="1"/>
      <c r="W616" s="1"/>
      <c r="X616" s="1"/>
      <c r="Z616" t="s">
        <v>4386</v>
      </c>
      <c r="AB616" t="s">
        <v>5261</v>
      </c>
      <c r="AC616" t="s">
        <v>4865</v>
      </c>
      <c r="AD616" s="18">
        <v>46117</v>
      </c>
    </row>
    <row r="617" spans="1:30" ht="120" hidden="1">
      <c r="A617" s="1" t="s">
        <v>965</v>
      </c>
      <c r="B617" s="1">
        <v>1616</v>
      </c>
      <c r="C617" s="1">
        <v>12</v>
      </c>
      <c r="D617" s="1">
        <v>16</v>
      </c>
      <c r="E617" s="1" t="s">
        <v>4305</v>
      </c>
      <c r="F617" s="1" t="s">
        <v>3339</v>
      </c>
      <c r="G617" s="1" t="s">
        <v>20</v>
      </c>
      <c r="H617" s="1" t="s">
        <v>2843</v>
      </c>
      <c r="I617" s="1" t="s">
        <v>2844</v>
      </c>
      <c r="J617" s="1" t="s">
        <v>2845</v>
      </c>
      <c r="K617" s="1" t="s">
        <v>2846</v>
      </c>
      <c r="L617" s="1" t="s">
        <v>2847</v>
      </c>
      <c r="M617" s="1"/>
      <c r="N617" s="1"/>
      <c r="O617" s="1" t="s">
        <v>7</v>
      </c>
      <c r="P617" s="1" t="s">
        <v>4159</v>
      </c>
      <c r="Q617" s="1"/>
      <c r="R617" s="1"/>
      <c r="S617" s="1"/>
      <c r="T617" s="1"/>
      <c r="U617" s="1">
        <v>1</v>
      </c>
      <c r="V617" s="1"/>
      <c r="W617" s="1"/>
      <c r="X617" s="1"/>
      <c r="Y617" t="s">
        <v>7</v>
      </c>
      <c r="Z617" t="s">
        <v>4316</v>
      </c>
      <c r="AA617" t="s">
        <v>4317</v>
      </c>
      <c r="AB617" t="s">
        <v>5262</v>
      </c>
      <c r="AC617" t="s">
        <v>5164</v>
      </c>
      <c r="AD617" s="18">
        <v>46117</v>
      </c>
    </row>
    <row r="618" spans="1:30" ht="120" hidden="1">
      <c r="A618" s="1" t="s">
        <v>965</v>
      </c>
      <c r="B618" s="1">
        <v>1617</v>
      </c>
      <c r="C618" s="1">
        <v>12</v>
      </c>
      <c r="D618" s="1">
        <v>17</v>
      </c>
      <c r="E618" s="1" t="s">
        <v>4305</v>
      </c>
      <c r="F618" s="1" t="s">
        <v>4307</v>
      </c>
      <c r="G618" s="1" t="s">
        <v>40</v>
      </c>
      <c r="H618" s="1" t="s">
        <v>2848</v>
      </c>
      <c r="I618" s="1" t="s">
        <v>2849</v>
      </c>
      <c r="J618" s="1" t="s">
        <v>2850</v>
      </c>
      <c r="K618" s="1" t="s">
        <v>2851</v>
      </c>
      <c r="L618" s="1" t="s">
        <v>2852</v>
      </c>
      <c r="M618" s="1"/>
      <c r="N618" s="1"/>
      <c r="O618" s="1" t="s">
        <v>10</v>
      </c>
      <c r="P618" s="1" t="s">
        <v>4160</v>
      </c>
      <c r="Q618" s="1"/>
      <c r="R618" s="1"/>
      <c r="S618" s="1"/>
      <c r="T618" s="1"/>
      <c r="U618" s="1"/>
      <c r="V618" s="1"/>
      <c r="W618" s="1"/>
      <c r="X618" s="1" t="s">
        <v>3979</v>
      </c>
      <c r="Z618" t="s">
        <v>4386</v>
      </c>
      <c r="AB618" t="s">
        <v>5263</v>
      </c>
      <c r="AC618" t="s">
        <v>4865</v>
      </c>
      <c r="AD618" s="18">
        <v>46117</v>
      </c>
    </row>
    <row r="619" spans="1:30" ht="255">
      <c r="A619" s="1" t="s">
        <v>965</v>
      </c>
      <c r="B619" s="1">
        <v>1618</v>
      </c>
      <c r="C619" s="1">
        <v>12</v>
      </c>
      <c r="D619" s="1">
        <v>18</v>
      </c>
      <c r="E619" s="1" t="s">
        <v>4297</v>
      </c>
      <c r="F619" s="1" t="s">
        <v>4301</v>
      </c>
      <c r="G619" s="1" t="s">
        <v>20</v>
      </c>
      <c r="H619" s="1" t="s">
        <v>2853</v>
      </c>
      <c r="I619" s="1" t="s">
        <v>2854</v>
      </c>
      <c r="J619" s="1" t="s">
        <v>2855</v>
      </c>
      <c r="K619" s="1" t="s">
        <v>2856</v>
      </c>
      <c r="L619" s="1" t="s">
        <v>2857</v>
      </c>
      <c r="M619" s="1"/>
      <c r="N619" s="1"/>
      <c r="O619" s="1" t="s">
        <v>7</v>
      </c>
      <c r="P619" s="1" t="s">
        <v>4161</v>
      </c>
      <c r="Q619" s="1"/>
      <c r="R619" s="1"/>
      <c r="S619" s="1"/>
      <c r="T619" s="1">
        <v>1</v>
      </c>
      <c r="U619" s="1"/>
      <c r="V619" s="1"/>
      <c r="W619" s="1"/>
      <c r="X619" s="1"/>
      <c r="Y619" t="s">
        <v>8</v>
      </c>
      <c r="Z619" t="s">
        <v>4331</v>
      </c>
      <c r="AA619" t="s">
        <v>4332</v>
      </c>
      <c r="AB619" t="s">
        <v>5264</v>
      </c>
      <c r="AC619" t="s">
        <v>5237</v>
      </c>
      <c r="AD619" s="18">
        <v>46117</v>
      </c>
    </row>
    <row r="620" spans="1:30" ht="135" hidden="1">
      <c r="A620" s="1" t="s">
        <v>965</v>
      </c>
      <c r="B620" s="1">
        <v>1619</v>
      </c>
      <c r="C620" s="1">
        <v>12</v>
      </c>
      <c r="D620" s="1">
        <v>19</v>
      </c>
      <c r="E620" s="1" t="s">
        <v>4297</v>
      </c>
      <c r="F620" s="1" t="s">
        <v>4300</v>
      </c>
      <c r="G620" s="1" t="s">
        <v>20</v>
      </c>
      <c r="H620" s="1" t="s">
        <v>2858</v>
      </c>
      <c r="I620" s="1" t="s">
        <v>2859</v>
      </c>
      <c r="J620" s="1" t="s">
        <v>2860</v>
      </c>
      <c r="K620" s="1" t="s">
        <v>5519</v>
      </c>
      <c r="L620" s="1" t="s">
        <v>2861</v>
      </c>
      <c r="M620" s="1"/>
      <c r="N620" s="1"/>
      <c r="O620" s="1" t="s">
        <v>10</v>
      </c>
      <c r="P620" s="1" t="s">
        <v>5520</v>
      </c>
      <c r="Q620" s="1"/>
      <c r="R620" s="1"/>
      <c r="S620" s="1"/>
      <c r="T620" s="1"/>
      <c r="U620" s="1"/>
      <c r="V620" s="1"/>
      <c r="W620" s="1"/>
      <c r="X620" s="1"/>
      <c r="Y620" t="s">
        <v>10</v>
      </c>
      <c r="Z620" t="s">
        <v>4316</v>
      </c>
      <c r="AA620" t="s">
        <v>4317</v>
      </c>
      <c r="AB620" t="s">
        <v>5265</v>
      </c>
      <c r="AC620" t="s">
        <v>4344</v>
      </c>
      <c r="AD620" s="18">
        <v>46117</v>
      </c>
    </row>
    <row r="621" spans="1:30" ht="409.5" hidden="1">
      <c r="A621" s="1" t="s">
        <v>965</v>
      </c>
      <c r="B621" s="1">
        <v>1620</v>
      </c>
      <c r="C621" s="1">
        <v>12</v>
      </c>
      <c r="D621" s="1">
        <v>20</v>
      </c>
      <c r="E621" s="1" t="s">
        <v>4297</v>
      </c>
      <c r="F621" s="1" t="s">
        <v>4299</v>
      </c>
      <c r="G621" s="1" t="s">
        <v>20</v>
      </c>
      <c r="H621" s="1" t="s">
        <v>2862</v>
      </c>
      <c r="I621" s="1" t="s">
        <v>2863</v>
      </c>
      <c r="J621" s="1" t="s">
        <v>2864</v>
      </c>
      <c r="K621" s="1" t="s">
        <v>2865</v>
      </c>
      <c r="L621" s="1" t="s">
        <v>2866</v>
      </c>
      <c r="M621" s="1"/>
      <c r="N621" s="1"/>
      <c r="O621" s="1" t="s">
        <v>7</v>
      </c>
      <c r="P621" s="1" t="s">
        <v>4162</v>
      </c>
      <c r="Q621" s="1"/>
      <c r="R621" s="1"/>
      <c r="S621" s="1"/>
      <c r="T621" s="1"/>
      <c r="U621" s="1"/>
      <c r="V621" s="1"/>
      <c r="W621" s="1"/>
      <c r="X621" s="1"/>
      <c r="Y621" t="s">
        <v>7</v>
      </c>
      <c r="Z621" t="s">
        <v>4316</v>
      </c>
      <c r="AA621" t="s">
        <v>4317</v>
      </c>
      <c r="AB621" t="s">
        <v>5266</v>
      </c>
      <c r="AD621" s="18">
        <v>46117</v>
      </c>
    </row>
    <row r="622" spans="1:30" ht="409.5" hidden="1">
      <c r="A622" s="1" t="s">
        <v>965</v>
      </c>
      <c r="B622" s="1">
        <v>1621</v>
      </c>
      <c r="C622" s="1">
        <v>12</v>
      </c>
      <c r="D622" s="1">
        <v>21</v>
      </c>
      <c r="E622" s="1" t="s">
        <v>4297</v>
      </c>
      <c r="F622" s="1" t="s">
        <v>4299</v>
      </c>
      <c r="G622" s="1" t="s">
        <v>4294</v>
      </c>
      <c r="H622" s="1" t="s">
        <v>3575</v>
      </c>
      <c r="I622" s="1" t="s">
        <v>3576</v>
      </c>
      <c r="J622" s="1" t="s">
        <v>3577</v>
      </c>
      <c r="K622" s="1" t="s">
        <v>3578</v>
      </c>
      <c r="L622" s="1" t="s">
        <v>3579</v>
      </c>
      <c r="M622" s="1"/>
      <c r="N622" s="1"/>
      <c r="O622" s="1" t="s">
        <v>8</v>
      </c>
      <c r="P622" s="1" t="s">
        <v>4163</v>
      </c>
      <c r="Q622" s="1"/>
      <c r="R622" s="1"/>
      <c r="S622" s="1"/>
      <c r="T622" s="1"/>
      <c r="U622" s="1">
        <v>1</v>
      </c>
      <c r="V622" s="1"/>
      <c r="W622" s="1"/>
      <c r="X622" s="1"/>
      <c r="Y622" t="s">
        <v>8</v>
      </c>
      <c r="Z622" t="s">
        <v>4316</v>
      </c>
      <c r="AA622" t="s">
        <v>4317</v>
      </c>
      <c r="AB622" t="s">
        <v>5267</v>
      </c>
      <c r="AD622" s="18">
        <v>46117</v>
      </c>
    </row>
    <row r="623" spans="1:30" ht="360" hidden="1">
      <c r="A623" s="1" t="s">
        <v>965</v>
      </c>
      <c r="B623" s="1">
        <v>1622</v>
      </c>
      <c r="C623" s="1">
        <v>12</v>
      </c>
      <c r="D623" s="1">
        <v>22</v>
      </c>
      <c r="E623" s="1" t="s">
        <v>4292</v>
      </c>
      <c r="F623" s="1" t="s">
        <v>4304</v>
      </c>
      <c r="G623" s="1" t="s">
        <v>4294</v>
      </c>
      <c r="H623" s="1" t="s">
        <v>2867</v>
      </c>
      <c r="I623" s="1" t="s">
        <v>2868</v>
      </c>
      <c r="J623" s="1" t="s">
        <v>2869</v>
      </c>
      <c r="K623" s="1" t="s">
        <v>2870</v>
      </c>
      <c r="L623" s="1" t="s">
        <v>2871</v>
      </c>
      <c r="M623" s="1"/>
      <c r="N623" s="1"/>
      <c r="O623" s="1" t="s">
        <v>7</v>
      </c>
      <c r="P623" s="1" t="s">
        <v>4164</v>
      </c>
      <c r="Q623" s="1"/>
      <c r="R623" s="1"/>
      <c r="S623" s="1"/>
      <c r="T623" s="1"/>
      <c r="U623" s="1"/>
      <c r="V623" s="1"/>
      <c r="W623" s="1"/>
      <c r="X623" s="1"/>
      <c r="Y623" t="s">
        <v>7</v>
      </c>
      <c r="Z623" t="s">
        <v>4316</v>
      </c>
      <c r="AA623" t="s">
        <v>4317</v>
      </c>
      <c r="AB623" t="s">
        <v>5268</v>
      </c>
      <c r="AC623" t="s">
        <v>5269</v>
      </c>
      <c r="AD623" s="18">
        <v>46117</v>
      </c>
    </row>
    <row r="624" spans="1:30" ht="210" hidden="1">
      <c r="A624" s="1" t="s">
        <v>965</v>
      </c>
      <c r="B624" s="1">
        <v>1623</v>
      </c>
      <c r="C624" s="1">
        <v>12</v>
      </c>
      <c r="D624" s="1">
        <v>23</v>
      </c>
      <c r="E624" s="1" t="s">
        <v>4290</v>
      </c>
      <c r="F624" s="1" t="s">
        <v>4302</v>
      </c>
      <c r="G624" s="1" t="s">
        <v>4294</v>
      </c>
      <c r="H624" s="1" t="s">
        <v>2872</v>
      </c>
      <c r="I624" s="1" t="s">
        <v>2873</v>
      </c>
      <c r="J624" s="1" t="s">
        <v>2874</v>
      </c>
      <c r="K624" s="1" t="s">
        <v>2875</v>
      </c>
      <c r="L624" s="1" t="s">
        <v>2876</v>
      </c>
      <c r="M624" s="1"/>
      <c r="N624" s="1"/>
      <c r="O624" s="1" t="s">
        <v>7</v>
      </c>
      <c r="P624" s="1" t="s">
        <v>4165</v>
      </c>
      <c r="Q624" s="1"/>
      <c r="R624" s="1"/>
      <c r="S624" s="1"/>
      <c r="T624" s="1">
        <v>1</v>
      </c>
      <c r="U624" s="1"/>
      <c r="V624" s="1"/>
      <c r="W624" s="1"/>
      <c r="X624" s="1"/>
      <c r="Y624" t="s">
        <v>7</v>
      </c>
      <c r="Z624" t="s">
        <v>4316</v>
      </c>
      <c r="AA624" t="s">
        <v>4317</v>
      </c>
      <c r="AB624" t="s">
        <v>5270</v>
      </c>
      <c r="AC624" t="s">
        <v>4371</v>
      </c>
      <c r="AD624" s="18">
        <v>46117</v>
      </c>
    </row>
    <row r="625" spans="1:30" ht="150" hidden="1">
      <c r="A625" s="1" t="s">
        <v>965</v>
      </c>
      <c r="B625" s="1">
        <v>1624</v>
      </c>
      <c r="C625" s="1">
        <v>12</v>
      </c>
      <c r="D625" s="1">
        <v>24</v>
      </c>
      <c r="E625" s="1" t="s">
        <v>4292</v>
      </c>
      <c r="F625" s="1" t="s">
        <v>4303</v>
      </c>
      <c r="G625" s="1" t="s">
        <v>20</v>
      </c>
      <c r="H625" s="1" t="s">
        <v>2877</v>
      </c>
      <c r="I625" s="1" t="s">
        <v>2878</v>
      </c>
      <c r="J625" s="1" t="s">
        <v>2879</v>
      </c>
      <c r="K625" s="1" t="s">
        <v>2880</v>
      </c>
      <c r="L625" s="1" t="s">
        <v>2881</v>
      </c>
      <c r="M625" s="1"/>
      <c r="N625" s="1"/>
      <c r="O625" s="1" t="s">
        <v>9</v>
      </c>
      <c r="P625" s="1" t="s">
        <v>4166</v>
      </c>
      <c r="Q625" s="1"/>
      <c r="R625" s="1"/>
      <c r="S625" s="1"/>
      <c r="T625" s="1"/>
      <c r="U625" s="1"/>
      <c r="V625" s="1"/>
      <c r="W625" s="1"/>
      <c r="X625" s="1"/>
      <c r="Y625" t="s">
        <v>9</v>
      </c>
      <c r="Z625" t="s">
        <v>4316</v>
      </c>
      <c r="AA625" t="s">
        <v>4317</v>
      </c>
      <c r="AB625" t="s">
        <v>5271</v>
      </c>
      <c r="AC625" t="s">
        <v>4364</v>
      </c>
      <c r="AD625" s="18">
        <v>46117</v>
      </c>
    </row>
    <row r="626" spans="1:30" ht="270" hidden="1">
      <c r="A626" s="1" t="s">
        <v>965</v>
      </c>
      <c r="B626" s="1">
        <v>1625</v>
      </c>
      <c r="C626" s="1">
        <v>12</v>
      </c>
      <c r="D626" s="1">
        <v>25</v>
      </c>
      <c r="E626" s="1" t="s">
        <v>4292</v>
      </c>
      <c r="F626" s="1" t="s">
        <v>4303</v>
      </c>
      <c r="G626" s="1" t="s">
        <v>20</v>
      </c>
      <c r="H626" s="1" t="s">
        <v>2882</v>
      </c>
      <c r="I626" s="1" t="s">
        <v>2883</v>
      </c>
      <c r="J626" s="1" t="s">
        <v>2884</v>
      </c>
      <c r="K626" s="1" t="s">
        <v>2885</v>
      </c>
      <c r="L626" s="1" t="s">
        <v>2886</v>
      </c>
      <c r="M626" s="1"/>
      <c r="N626" s="1"/>
      <c r="O626" s="1" t="s">
        <v>8</v>
      </c>
      <c r="P626" s="1" t="s">
        <v>4167</v>
      </c>
      <c r="Q626" s="1"/>
      <c r="R626" s="1"/>
      <c r="S626" s="1"/>
      <c r="T626" s="1"/>
      <c r="U626" s="1">
        <v>1</v>
      </c>
      <c r="V626" s="1"/>
      <c r="W626" s="1"/>
      <c r="X626" s="1"/>
      <c r="Y626" t="s">
        <v>8</v>
      </c>
      <c r="Z626" t="s">
        <v>4316</v>
      </c>
      <c r="AA626" t="s">
        <v>4317</v>
      </c>
      <c r="AB626" t="s">
        <v>5272</v>
      </c>
      <c r="AC626" t="s">
        <v>4484</v>
      </c>
      <c r="AD626" s="18">
        <v>46117</v>
      </c>
    </row>
    <row r="627" spans="1:30" ht="409.5" hidden="1">
      <c r="A627" s="1" t="s">
        <v>965</v>
      </c>
      <c r="B627" s="1">
        <v>1626</v>
      </c>
      <c r="C627" s="1">
        <v>12</v>
      </c>
      <c r="D627" s="1">
        <v>26</v>
      </c>
      <c r="E627" s="1" t="s">
        <v>4297</v>
      </c>
      <c r="F627" s="1" t="s">
        <v>4298</v>
      </c>
      <c r="G627" s="1" t="s">
        <v>4294</v>
      </c>
      <c r="H627" s="1" t="s">
        <v>2887</v>
      </c>
      <c r="I627" s="1" t="s">
        <v>2888</v>
      </c>
      <c r="J627" s="1" t="s">
        <v>2889</v>
      </c>
      <c r="K627" s="1" t="s">
        <v>2890</v>
      </c>
      <c r="L627" s="1" t="s">
        <v>2891</v>
      </c>
      <c r="M627" s="1"/>
      <c r="N627" s="1"/>
      <c r="O627" s="1" t="s">
        <v>9</v>
      </c>
      <c r="P627" s="1" t="s">
        <v>4168</v>
      </c>
      <c r="Q627" s="1"/>
      <c r="R627" s="1"/>
      <c r="S627" s="1"/>
      <c r="T627" s="1">
        <v>1</v>
      </c>
      <c r="U627" s="1"/>
      <c r="V627" s="1"/>
      <c r="W627" s="1"/>
      <c r="X627" s="1"/>
      <c r="Y627" t="s">
        <v>9</v>
      </c>
      <c r="Z627" t="s">
        <v>4316</v>
      </c>
      <c r="AA627" t="s">
        <v>4317</v>
      </c>
      <c r="AB627" t="s">
        <v>5273</v>
      </c>
      <c r="AC627" t="s">
        <v>5274</v>
      </c>
      <c r="AD627" s="18">
        <v>46117</v>
      </c>
    </row>
    <row r="628" spans="1:30" ht="409.5" hidden="1">
      <c r="A628" s="1" t="s">
        <v>965</v>
      </c>
      <c r="B628" s="1">
        <v>1627</v>
      </c>
      <c r="C628" s="1">
        <v>12</v>
      </c>
      <c r="D628" s="1">
        <v>27</v>
      </c>
      <c r="E628" s="1" t="s">
        <v>4292</v>
      </c>
      <c r="F628" s="1" t="s">
        <v>4293</v>
      </c>
      <c r="G628" s="1" t="s">
        <v>40</v>
      </c>
      <c r="H628" s="1" t="s">
        <v>2892</v>
      </c>
      <c r="I628" s="1" t="s">
        <v>2893</v>
      </c>
      <c r="J628" s="1" t="s">
        <v>953</v>
      </c>
      <c r="K628" s="1" t="s">
        <v>2894</v>
      </c>
      <c r="L628" s="1" t="s">
        <v>952</v>
      </c>
      <c r="M628" s="1"/>
      <c r="N628" s="1"/>
      <c r="O628" s="1" t="s">
        <v>10</v>
      </c>
      <c r="P628" s="1" t="s">
        <v>4169</v>
      </c>
      <c r="Q628" s="1"/>
      <c r="R628" s="1"/>
      <c r="S628" s="1"/>
      <c r="T628" s="1">
        <v>1</v>
      </c>
      <c r="U628" s="1">
        <v>1</v>
      </c>
      <c r="V628" s="1"/>
      <c r="W628" s="1"/>
      <c r="X628" s="1"/>
      <c r="Y628" t="s">
        <v>10</v>
      </c>
      <c r="Z628" t="s">
        <v>4316</v>
      </c>
      <c r="AA628" t="s">
        <v>4317</v>
      </c>
      <c r="AB628" t="s">
        <v>5275</v>
      </c>
      <c r="AC628" t="s">
        <v>4979</v>
      </c>
      <c r="AD628" s="18">
        <v>46117</v>
      </c>
    </row>
    <row r="629" spans="1:30" ht="409.5" hidden="1">
      <c r="A629" s="1" t="s">
        <v>965</v>
      </c>
      <c r="B629" s="1">
        <v>1628</v>
      </c>
      <c r="C629" s="1">
        <v>12</v>
      </c>
      <c r="D629" s="1">
        <v>28</v>
      </c>
      <c r="E629" s="1" t="s">
        <v>4305</v>
      </c>
      <c r="F629" s="1" t="s">
        <v>3339</v>
      </c>
      <c r="G629" s="1" t="s">
        <v>20</v>
      </c>
      <c r="H629" s="1" t="s">
        <v>2895</v>
      </c>
      <c r="I629" s="1" t="s">
        <v>2896</v>
      </c>
      <c r="J629" s="1" t="s">
        <v>2897</v>
      </c>
      <c r="K629" s="1" t="s">
        <v>2898</v>
      </c>
      <c r="L629" s="1" t="s">
        <v>2899</v>
      </c>
      <c r="M629" s="1"/>
      <c r="N629" s="1"/>
      <c r="O629" s="1" t="s">
        <v>9</v>
      </c>
      <c r="P629" s="1" t="s">
        <v>4170</v>
      </c>
      <c r="Q629" s="1"/>
      <c r="R629" s="1"/>
      <c r="S629" s="1"/>
      <c r="T629" s="1"/>
      <c r="U629" s="1">
        <v>1</v>
      </c>
      <c r="V629" s="1"/>
      <c r="W629" s="1"/>
      <c r="X629" s="1"/>
      <c r="Y629" t="s">
        <v>9</v>
      </c>
      <c r="Z629" t="s">
        <v>4316</v>
      </c>
      <c r="AA629" t="s">
        <v>4317</v>
      </c>
      <c r="AB629" t="s">
        <v>5276</v>
      </c>
      <c r="AC629" t="s">
        <v>5164</v>
      </c>
      <c r="AD629" s="18">
        <v>46117</v>
      </c>
    </row>
    <row r="630" spans="1:30" ht="375" hidden="1">
      <c r="A630" s="1" t="s">
        <v>965</v>
      </c>
      <c r="B630" s="1">
        <v>1629</v>
      </c>
      <c r="C630" s="1">
        <v>12</v>
      </c>
      <c r="D630" s="1">
        <v>29</v>
      </c>
      <c r="E630" s="1" t="s">
        <v>4297</v>
      </c>
      <c r="F630" s="1" t="s">
        <v>4301</v>
      </c>
      <c r="G630" s="1" t="s">
        <v>4294</v>
      </c>
      <c r="H630" s="1" t="s">
        <v>2900</v>
      </c>
      <c r="I630" s="1" t="s">
        <v>3810</v>
      </c>
      <c r="J630" s="1" t="s">
        <v>3811</v>
      </c>
      <c r="K630" s="1" t="s">
        <v>3812</v>
      </c>
      <c r="L630" s="1" t="s">
        <v>3813</v>
      </c>
      <c r="M630" s="1"/>
      <c r="N630" s="1"/>
      <c r="O630" s="1" t="s">
        <v>9</v>
      </c>
      <c r="P630" s="1" t="s">
        <v>4198</v>
      </c>
      <c r="Q630" s="1"/>
      <c r="R630" s="1"/>
      <c r="S630" s="1"/>
      <c r="T630" s="1"/>
      <c r="U630" s="1">
        <v>1</v>
      </c>
      <c r="V630" s="1"/>
      <c r="W630" s="1"/>
      <c r="X630" s="1"/>
      <c r="Y630" t="s">
        <v>9</v>
      </c>
      <c r="Z630" t="s">
        <v>4316</v>
      </c>
      <c r="AA630" t="s">
        <v>4317</v>
      </c>
      <c r="AB630" t="s">
        <v>5277</v>
      </c>
      <c r="AC630" t="s">
        <v>5237</v>
      </c>
      <c r="AD630" s="18">
        <v>46117</v>
      </c>
    </row>
    <row r="631" spans="1:30" ht="409.5">
      <c r="A631" s="1" t="s">
        <v>965</v>
      </c>
      <c r="B631" s="1">
        <v>1630</v>
      </c>
      <c r="C631" s="1">
        <v>12</v>
      </c>
      <c r="D631" s="1">
        <v>30</v>
      </c>
      <c r="E631" s="1" t="s">
        <v>4292</v>
      </c>
      <c r="F631" s="1" t="s">
        <v>4304</v>
      </c>
      <c r="G631" s="1" t="s">
        <v>40</v>
      </c>
      <c r="H631" s="1" t="s">
        <v>2901</v>
      </c>
      <c r="I631" s="1" t="s">
        <v>2902</v>
      </c>
      <c r="J631" s="1" t="s">
        <v>2903</v>
      </c>
      <c r="K631" s="1" t="s">
        <v>2904</v>
      </c>
      <c r="L631" s="1" t="s">
        <v>2905</v>
      </c>
      <c r="M631" s="1"/>
      <c r="N631" s="1"/>
      <c r="O631" s="1" t="s">
        <v>8</v>
      </c>
      <c r="P631" s="1" t="s">
        <v>4171</v>
      </c>
      <c r="Q631" s="1"/>
      <c r="R631" s="1"/>
      <c r="S631" s="1"/>
      <c r="T631" s="1">
        <v>1</v>
      </c>
      <c r="U631" s="1"/>
      <c r="V631" s="1"/>
      <c r="W631" s="1"/>
      <c r="X631" s="1"/>
      <c r="Y631" t="s">
        <v>7</v>
      </c>
      <c r="Z631" t="s">
        <v>4331</v>
      </c>
      <c r="AA631" t="s">
        <v>4332</v>
      </c>
      <c r="AB631" t="s">
        <v>5278</v>
      </c>
      <c r="AC631" t="s">
        <v>5053</v>
      </c>
      <c r="AD631" s="18">
        <v>46117</v>
      </c>
    </row>
    <row r="632" spans="1:30" ht="330" hidden="1">
      <c r="A632" s="1" t="s">
        <v>965</v>
      </c>
      <c r="B632" s="1">
        <v>1631</v>
      </c>
      <c r="C632" s="1">
        <v>12</v>
      </c>
      <c r="D632" s="1">
        <v>31</v>
      </c>
      <c r="E632" s="1" t="s">
        <v>4297</v>
      </c>
      <c r="F632" s="1" t="s">
        <v>4298</v>
      </c>
      <c r="G632" s="1" t="s">
        <v>4294</v>
      </c>
      <c r="H632" s="1" t="s">
        <v>2906</v>
      </c>
      <c r="I632" s="1" t="s">
        <v>2907</v>
      </c>
      <c r="J632" s="1" t="s">
        <v>2908</v>
      </c>
      <c r="K632" s="1" t="s">
        <v>2909</v>
      </c>
      <c r="L632" s="1" t="s">
        <v>2910</v>
      </c>
      <c r="M632" s="1"/>
      <c r="N632" s="1"/>
      <c r="O632" s="1" t="s">
        <v>9</v>
      </c>
      <c r="P632" s="1" t="s">
        <v>4172</v>
      </c>
      <c r="Q632" s="1"/>
      <c r="R632" s="1"/>
      <c r="S632" s="1"/>
      <c r="T632" s="1">
        <v>1</v>
      </c>
      <c r="U632" s="1"/>
      <c r="V632" s="1"/>
      <c r="W632" s="1"/>
      <c r="X632" s="1"/>
      <c r="Y632" t="s">
        <v>9</v>
      </c>
      <c r="Z632" t="s">
        <v>4316</v>
      </c>
      <c r="AA632" t="s">
        <v>4317</v>
      </c>
      <c r="AB632" t="s">
        <v>5279</v>
      </c>
      <c r="AC632" t="s">
        <v>4350</v>
      </c>
      <c r="AD632" s="18">
        <v>46117</v>
      </c>
    </row>
    <row r="633" spans="1:30" ht="180" hidden="1">
      <c r="A633" s="1" t="s">
        <v>965</v>
      </c>
      <c r="B633" s="1">
        <v>1632</v>
      </c>
      <c r="C633" s="1">
        <v>12</v>
      </c>
      <c r="D633" s="1">
        <v>32</v>
      </c>
      <c r="E633" s="1" t="s">
        <v>4305</v>
      </c>
      <c r="F633" s="1" t="s">
        <v>3339</v>
      </c>
      <c r="G633" s="1" t="s">
        <v>4294</v>
      </c>
      <c r="H633" s="1" t="s">
        <v>2911</v>
      </c>
      <c r="I633" s="1" t="s">
        <v>2912</v>
      </c>
      <c r="J633" s="1" t="s">
        <v>2913</v>
      </c>
      <c r="K633" s="1" t="s">
        <v>2914</v>
      </c>
      <c r="L633" s="1" t="s">
        <v>2915</v>
      </c>
      <c r="M633" s="1"/>
      <c r="N633" s="1"/>
      <c r="O633" s="1" t="s">
        <v>7</v>
      </c>
      <c r="P633" s="1" t="s">
        <v>4173</v>
      </c>
      <c r="Q633" s="1"/>
      <c r="R633" s="1"/>
      <c r="S633" s="1"/>
      <c r="T633" s="1"/>
      <c r="U633" s="1"/>
      <c r="V633" s="1"/>
      <c r="W633" s="1"/>
      <c r="X633" s="1"/>
      <c r="Y633" t="s">
        <v>7</v>
      </c>
      <c r="Z633" t="s">
        <v>4316</v>
      </c>
      <c r="AA633" t="s">
        <v>4317</v>
      </c>
      <c r="AB633" t="s">
        <v>5280</v>
      </c>
      <c r="AC633" t="s">
        <v>5169</v>
      </c>
      <c r="AD633" s="18">
        <v>46117</v>
      </c>
    </row>
    <row r="634" spans="1:30" ht="375" hidden="1">
      <c r="A634" s="1" t="s">
        <v>965</v>
      </c>
      <c r="B634" s="1">
        <v>1633</v>
      </c>
      <c r="C634" s="1">
        <v>12</v>
      </c>
      <c r="D634" s="1">
        <v>33</v>
      </c>
      <c r="E634" s="1" t="s">
        <v>4305</v>
      </c>
      <c r="F634" s="1" t="s">
        <v>4306</v>
      </c>
      <c r="G634" s="1" t="s">
        <v>20</v>
      </c>
      <c r="H634" s="1" t="s">
        <v>2916</v>
      </c>
      <c r="I634" s="1" t="s">
        <v>2917</v>
      </c>
      <c r="J634" s="1" t="s">
        <v>2918</v>
      </c>
      <c r="K634" s="1" t="s">
        <v>2919</v>
      </c>
      <c r="L634" s="1" t="s">
        <v>2920</v>
      </c>
      <c r="M634" s="1"/>
      <c r="N634" s="1"/>
      <c r="O634" s="1" t="s">
        <v>9</v>
      </c>
      <c r="P634" s="1" t="s">
        <v>4174</v>
      </c>
      <c r="Q634" s="1"/>
      <c r="R634" s="1"/>
      <c r="S634" s="1"/>
      <c r="T634" s="1"/>
      <c r="U634" s="1"/>
      <c r="V634" s="1"/>
      <c r="W634" s="1"/>
      <c r="X634" s="1"/>
      <c r="Y634" t="s">
        <v>9</v>
      </c>
      <c r="Z634" t="s">
        <v>4316</v>
      </c>
      <c r="AA634" t="s">
        <v>4317</v>
      </c>
      <c r="AB634" t="s">
        <v>5281</v>
      </c>
      <c r="AC634" t="s">
        <v>5201</v>
      </c>
      <c r="AD634" s="18">
        <v>46117</v>
      </c>
    </row>
    <row r="635" spans="1:30" ht="180" hidden="1">
      <c r="A635" s="1" t="s">
        <v>965</v>
      </c>
      <c r="B635" s="1">
        <v>1634</v>
      </c>
      <c r="C635" s="1">
        <v>12</v>
      </c>
      <c r="D635" s="1">
        <v>34</v>
      </c>
      <c r="E635" s="1" t="s">
        <v>4292</v>
      </c>
      <c r="F635" s="1" t="s">
        <v>4303</v>
      </c>
      <c r="G635" s="1" t="s">
        <v>4294</v>
      </c>
      <c r="H635" s="1" t="s">
        <v>2921</v>
      </c>
      <c r="I635" s="1" t="s">
        <v>2922</v>
      </c>
      <c r="J635" s="1" t="s">
        <v>2923</v>
      </c>
      <c r="K635" s="1" t="s">
        <v>2924</v>
      </c>
      <c r="L635" s="1" t="s">
        <v>2925</v>
      </c>
      <c r="M635" s="1"/>
      <c r="N635" s="1"/>
      <c r="O635" s="1" t="s">
        <v>9</v>
      </c>
      <c r="P635" s="1" t="s">
        <v>4175</v>
      </c>
      <c r="Q635" s="1"/>
      <c r="R635" s="1"/>
      <c r="S635" s="1"/>
      <c r="T635" s="1"/>
      <c r="U635" s="1"/>
      <c r="V635" s="1"/>
      <c r="W635" s="1"/>
      <c r="X635" s="1"/>
      <c r="Y635" t="s">
        <v>9</v>
      </c>
      <c r="Z635" t="s">
        <v>4316</v>
      </c>
      <c r="AA635" t="s">
        <v>4317</v>
      </c>
      <c r="AB635" t="s">
        <v>5282</v>
      </c>
      <c r="AC635" t="s">
        <v>5193</v>
      </c>
      <c r="AD635" s="18">
        <v>46117</v>
      </c>
    </row>
    <row r="636" spans="1:30" ht="300" hidden="1">
      <c r="A636" s="1" t="s">
        <v>965</v>
      </c>
      <c r="B636" s="1">
        <v>1635</v>
      </c>
      <c r="C636" s="1">
        <v>12</v>
      </c>
      <c r="D636" s="1">
        <v>35</v>
      </c>
      <c r="E636" s="1" t="s">
        <v>4292</v>
      </c>
      <c r="F636" s="1" t="s">
        <v>4303</v>
      </c>
      <c r="G636" s="1" t="s">
        <v>20</v>
      </c>
      <c r="H636" s="1" t="s">
        <v>2926</v>
      </c>
      <c r="I636" s="1" t="s">
        <v>2927</v>
      </c>
      <c r="J636" s="1" t="s">
        <v>227</v>
      </c>
      <c r="K636" s="1" t="s">
        <v>2928</v>
      </c>
      <c r="L636" s="1" t="s">
        <v>2929</v>
      </c>
      <c r="M636" s="1"/>
      <c r="N636" s="1"/>
      <c r="O636" s="1" t="s">
        <v>8</v>
      </c>
      <c r="P636" s="1" t="s">
        <v>4176</v>
      </c>
      <c r="Q636" s="1"/>
      <c r="R636" s="1"/>
      <c r="S636" s="1"/>
      <c r="T636" s="1">
        <v>1</v>
      </c>
      <c r="U636" s="1"/>
      <c r="V636" s="1"/>
      <c r="W636" s="1"/>
      <c r="X636" s="1"/>
      <c r="Y636" t="s">
        <v>8</v>
      </c>
      <c r="Z636" t="s">
        <v>4316</v>
      </c>
      <c r="AA636" t="s">
        <v>4317</v>
      </c>
      <c r="AB636" t="s">
        <v>5283</v>
      </c>
      <c r="AC636" t="s">
        <v>4844</v>
      </c>
      <c r="AD636" s="18">
        <v>46117</v>
      </c>
    </row>
    <row r="637" spans="1:30" ht="225" hidden="1">
      <c r="A637" s="1" t="s">
        <v>965</v>
      </c>
      <c r="B637" s="1">
        <v>1636</v>
      </c>
      <c r="C637" s="1">
        <v>12</v>
      </c>
      <c r="D637" s="1">
        <v>36</v>
      </c>
      <c r="E637" s="1" t="s">
        <v>4290</v>
      </c>
      <c r="F637" s="1" t="s">
        <v>4291</v>
      </c>
      <c r="G637" s="1" t="s">
        <v>4294</v>
      </c>
      <c r="H637" s="1" t="s">
        <v>2930</v>
      </c>
      <c r="I637" s="1" t="s">
        <v>2931</v>
      </c>
      <c r="J637" s="1" t="s">
        <v>2932</v>
      </c>
      <c r="K637" s="1" t="s">
        <v>2933</v>
      </c>
      <c r="L637" s="1" t="s">
        <v>2934</v>
      </c>
      <c r="M637" s="1"/>
      <c r="N637" s="1"/>
      <c r="O637" s="1" t="s">
        <v>9</v>
      </c>
      <c r="P637" s="1" t="s">
        <v>4177</v>
      </c>
      <c r="Q637" s="1"/>
      <c r="R637" s="1"/>
      <c r="S637" s="1"/>
      <c r="T637" s="1">
        <v>1</v>
      </c>
      <c r="U637" s="1"/>
      <c r="V637" s="1"/>
      <c r="W637" s="1"/>
      <c r="X637" s="1"/>
      <c r="Y637" t="s">
        <v>9</v>
      </c>
      <c r="Z637" t="s">
        <v>4316</v>
      </c>
      <c r="AA637" t="s">
        <v>4317</v>
      </c>
      <c r="AB637" t="s">
        <v>5284</v>
      </c>
      <c r="AC637" t="s">
        <v>4481</v>
      </c>
      <c r="AD637" s="18">
        <v>46117</v>
      </c>
    </row>
    <row r="638" spans="1:30" ht="195" hidden="1">
      <c r="A638" s="1" t="s">
        <v>965</v>
      </c>
      <c r="B638" s="1">
        <v>1637</v>
      </c>
      <c r="C638" s="1">
        <v>12</v>
      </c>
      <c r="D638" s="1">
        <v>37</v>
      </c>
      <c r="E638" s="1" t="s">
        <v>4292</v>
      </c>
      <c r="F638" s="1" t="s">
        <v>4293</v>
      </c>
      <c r="G638" s="1" t="s">
        <v>4294</v>
      </c>
      <c r="H638" s="1" t="s">
        <v>2935</v>
      </c>
      <c r="I638" s="1" t="s">
        <v>2936</v>
      </c>
      <c r="J638" s="1" t="s">
        <v>2937</v>
      </c>
      <c r="K638" s="1" t="s">
        <v>2938</v>
      </c>
      <c r="L638" s="1" t="s">
        <v>2939</v>
      </c>
      <c r="M638" s="1"/>
      <c r="N638" s="1"/>
      <c r="O638" s="1" t="s">
        <v>7</v>
      </c>
      <c r="P638" s="1" t="s">
        <v>5521</v>
      </c>
      <c r="Q638" s="1"/>
      <c r="R638" s="1"/>
      <c r="S638" s="1"/>
      <c r="T638" s="1"/>
      <c r="U638" s="1"/>
      <c r="V638" s="1"/>
      <c r="W638" s="1"/>
      <c r="X638" s="1"/>
      <c r="Y638" t="s">
        <v>7</v>
      </c>
      <c r="Z638" t="s">
        <v>4316</v>
      </c>
      <c r="AA638" t="s">
        <v>4317</v>
      </c>
      <c r="AB638" t="s">
        <v>5285</v>
      </c>
      <c r="AC638" t="s">
        <v>5286</v>
      </c>
      <c r="AD638" s="18">
        <v>46117</v>
      </c>
    </row>
    <row r="639" spans="1:30" ht="150" hidden="1">
      <c r="A639" s="1" t="s">
        <v>965</v>
      </c>
      <c r="B639" s="1">
        <v>1638</v>
      </c>
      <c r="C639" s="1">
        <v>12</v>
      </c>
      <c r="D639" s="1">
        <v>38</v>
      </c>
      <c r="E639" s="1" t="s">
        <v>4297</v>
      </c>
      <c r="F639" s="1" t="s">
        <v>4301</v>
      </c>
      <c r="G639" s="1" t="s">
        <v>4294</v>
      </c>
      <c r="H639" s="1" t="s">
        <v>2940</v>
      </c>
      <c r="I639" s="1" t="s">
        <v>2941</v>
      </c>
      <c r="J639" s="1" t="s">
        <v>2942</v>
      </c>
      <c r="K639" s="1" t="s">
        <v>2943</v>
      </c>
      <c r="L639" s="1" t="s">
        <v>2944</v>
      </c>
      <c r="M639" s="1"/>
      <c r="N639" s="1"/>
      <c r="O639" s="1" t="s">
        <v>9</v>
      </c>
      <c r="P639" s="1" t="s">
        <v>4178</v>
      </c>
      <c r="Q639" s="1"/>
      <c r="R639" s="1"/>
      <c r="S639" s="1"/>
      <c r="T639" s="1"/>
      <c r="U639" s="1">
        <v>1</v>
      </c>
      <c r="V639" s="1"/>
      <c r="W639" s="1"/>
      <c r="X639" s="1"/>
      <c r="Y639" t="s">
        <v>9</v>
      </c>
      <c r="Z639" t="s">
        <v>4316</v>
      </c>
      <c r="AA639" t="s">
        <v>4317</v>
      </c>
      <c r="AB639" t="s">
        <v>5287</v>
      </c>
      <c r="AC639" t="s">
        <v>4350</v>
      </c>
      <c r="AD639" s="18">
        <v>46117</v>
      </c>
    </row>
    <row r="640" spans="1:30" ht="360" hidden="1">
      <c r="A640" s="1" t="s">
        <v>965</v>
      </c>
      <c r="B640" s="1">
        <v>1639</v>
      </c>
      <c r="C640" s="1">
        <v>12</v>
      </c>
      <c r="D640" s="1">
        <v>39</v>
      </c>
      <c r="E640" s="1" t="s">
        <v>4290</v>
      </c>
      <c r="F640" s="1" t="s">
        <v>4291</v>
      </c>
      <c r="G640" s="1" t="s">
        <v>4294</v>
      </c>
      <c r="H640" s="1" t="s">
        <v>2945</v>
      </c>
      <c r="I640" s="1" t="s">
        <v>2946</v>
      </c>
      <c r="J640" s="1" t="s">
        <v>2947</v>
      </c>
      <c r="K640" s="1" t="s">
        <v>2948</v>
      </c>
      <c r="L640" s="1" t="s">
        <v>2949</v>
      </c>
      <c r="M640" s="1"/>
      <c r="N640" s="1"/>
      <c r="O640" s="1" t="s">
        <v>7</v>
      </c>
      <c r="P640" s="1" t="s">
        <v>4179</v>
      </c>
      <c r="Q640" s="1"/>
      <c r="R640" s="1"/>
      <c r="S640" s="1"/>
      <c r="T640" s="1"/>
      <c r="U640" s="1">
        <v>1</v>
      </c>
      <c r="V640" s="1"/>
      <c r="W640" s="1"/>
      <c r="X640" s="1"/>
      <c r="Y640" t="s">
        <v>7</v>
      </c>
      <c r="Z640" t="s">
        <v>4316</v>
      </c>
      <c r="AA640" t="s">
        <v>4317</v>
      </c>
      <c r="AB640" t="s">
        <v>5288</v>
      </c>
      <c r="AC640" t="s">
        <v>4407</v>
      </c>
      <c r="AD640" s="18">
        <v>46117</v>
      </c>
    </row>
    <row r="641" spans="1:30" ht="330" hidden="1">
      <c r="A641" s="1" t="s">
        <v>965</v>
      </c>
      <c r="B641" s="1">
        <v>1640</v>
      </c>
      <c r="C641" s="1">
        <v>12</v>
      </c>
      <c r="D641" s="1">
        <v>40</v>
      </c>
      <c r="E641" s="1" t="s">
        <v>4297</v>
      </c>
      <c r="F641" s="1" t="s">
        <v>4299</v>
      </c>
      <c r="G641" s="1" t="s">
        <v>20</v>
      </c>
      <c r="H641" s="1" t="s">
        <v>2950</v>
      </c>
      <c r="I641" s="1" t="s">
        <v>2951</v>
      </c>
      <c r="J641" s="1" t="s">
        <v>2952</v>
      </c>
      <c r="K641" s="1" t="s">
        <v>2953</v>
      </c>
      <c r="L641" s="1" t="s">
        <v>2954</v>
      </c>
      <c r="M641" s="1"/>
      <c r="N641" s="1"/>
      <c r="O641" s="1" t="s">
        <v>9</v>
      </c>
      <c r="P641" s="1" t="s">
        <v>4180</v>
      </c>
      <c r="Q641" s="1"/>
      <c r="R641" s="1"/>
      <c r="S641" s="1"/>
      <c r="T641" s="1">
        <v>1</v>
      </c>
      <c r="U641" s="1"/>
      <c r="V641" s="1"/>
      <c r="W641" s="1"/>
      <c r="X641" s="1"/>
      <c r="Y641" t="s">
        <v>9</v>
      </c>
      <c r="Z641" t="s">
        <v>4316</v>
      </c>
      <c r="AA641" t="s">
        <v>4317</v>
      </c>
      <c r="AB641" t="s">
        <v>5289</v>
      </c>
      <c r="AD641" s="18">
        <v>46117</v>
      </c>
    </row>
    <row r="642" spans="1:30" ht="135" hidden="1">
      <c r="A642" s="1" t="s">
        <v>965</v>
      </c>
      <c r="B642" s="1">
        <v>1641</v>
      </c>
      <c r="C642" s="1">
        <v>12</v>
      </c>
      <c r="D642" s="1">
        <v>41</v>
      </c>
      <c r="E642" s="1" t="s">
        <v>4290</v>
      </c>
      <c r="F642" s="1" t="s">
        <v>4302</v>
      </c>
      <c r="G642" s="1" t="s">
        <v>20</v>
      </c>
      <c r="H642" s="1" t="s">
        <v>2955</v>
      </c>
      <c r="I642" s="1" t="s">
        <v>2956</v>
      </c>
      <c r="J642" s="1" t="s">
        <v>2957</v>
      </c>
      <c r="K642" s="1" t="s">
        <v>2958</v>
      </c>
      <c r="L642" s="1" t="s">
        <v>2959</v>
      </c>
      <c r="M642" s="1"/>
      <c r="N642" s="1"/>
      <c r="O642" s="1" t="s">
        <v>9</v>
      </c>
      <c r="P642" s="1" t="s">
        <v>4181</v>
      </c>
      <c r="Q642" s="1"/>
      <c r="R642" s="1"/>
      <c r="S642" s="1"/>
      <c r="T642" s="1"/>
      <c r="U642" s="1"/>
      <c r="V642" s="1"/>
      <c r="W642" s="1"/>
      <c r="X642" s="1"/>
      <c r="Y642" t="s">
        <v>9</v>
      </c>
      <c r="Z642" t="s">
        <v>4316</v>
      </c>
      <c r="AA642" t="s">
        <v>4317</v>
      </c>
      <c r="AB642" t="s">
        <v>5290</v>
      </c>
      <c r="AC642" t="s">
        <v>4371</v>
      </c>
      <c r="AD642" s="18">
        <v>46117</v>
      </c>
    </row>
    <row r="643" spans="1:30" ht="135" hidden="1">
      <c r="A643" s="1" t="s">
        <v>965</v>
      </c>
      <c r="B643" s="1">
        <v>1642</v>
      </c>
      <c r="C643" s="1">
        <v>12</v>
      </c>
      <c r="D643" s="1">
        <v>42</v>
      </c>
      <c r="E643" s="1" t="s">
        <v>4290</v>
      </c>
      <c r="F643" s="1" t="s">
        <v>4291</v>
      </c>
      <c r="G643" s="1" t="s">
        <v>20</v>
      </c>
      <c r="H643" s="1" t="s">
        <v>2960</v>
      </c>
      <c r="I643" s="1" t="s">
        <v>2961</v>
      </c>
      <c r="J643" s="1" t="s">
        <v>2962</v>
      </c>
      <c r="K643" s="1" t="s">
        <v>2963</v>
      </c>
      <c r="L643" s="1" t="s">
        <v>2964</v>
      </c>
      <c r="M643" s="1"/>
      <c r="N643" s="1"/>
      <c r="O643" s="1" t="s">
        <v>9</v>
      </c>
      <c r="P643" s="1" t="s">
        <v>4182</v>
      </c>
      <c r="Q643" s="1"/>
      <c r="R643" s="1"/>
      <c r="S643" s="1"/>
      <c r="T643" s="1"/>
      <c r="U643" s="1"/>
      <c r="V643" s="1"/>
      <c r="W643" s="1"/>
      <c r="X643" s="1"/>
      <c r="Y643" t="s">
        <v>9</v>
      </c>
      <c r="Z643" t="s">
        <v>4316</v>
      </c>
      <c r="AA643" t="s">
        <v>4317</v>
      </c>
      <c r="AB643" t="s">
        <v>5291</v>
      </c>
      <c r="AC643" t="s">
        <v>4481</v>
      </c>
      <c r="AD643" s="18">
        <v>46117</v>
      </c>
    </row>
    <row r="644" spans="1:30" ht="195" hidden="1">
      <c r="A644" s="1" t="s">
        <v>965</v>
      </c>
      <c r="B644" s="1">
        <v>1643</v>
      </c>
      <c r="C644" s="1">
        <v>12</v>
      </c>
      <c r="D644" s="1">
        <v>43</v>
      </c>
      <c r="E644" s="1" t="s">
        <v>4297</v>
      </c>
      <c r="F644" s="1" t="s">
        <v>4298</v>
      </c>
      <c r="G644" s="1" t="s">
        <v>20</v>
      </c>
      <c r="H644" s="1" t="s">
        <v>2965</v>
      </c>
      <c r="I644" s="1" t="s">
        <v>3814</v>
      </c>
      <c r="J644" s="1" t="s">
        <v>3815</v>
      </c>
      <c r="K644" s="1" t="s">
        <v>3816</v>
      </c>
      <c r="L644" s="1" t="s">
        <v>3817</v>
      </c>
      <c r="M644" s="1"/>
      <c r="N644" s="1"/>
      <c r="O644" s="1" t="s">
        <v>9</v>
      </c>
      <c r="P644" s="1" t="s">
        <v>5522</v>
      </c>
      <c r="Q644" s="1"/>
      <c r="R644" s="1"/>
      <c r="S644" s="1"/>
      <c r="T644" s="1">
        <v>1</v>
      </c>
      <c r="U644" s="1"/>
      <c r="V644" s="1"/>
      <c r="W644" s="1"/>
      <c r="X644" s="1"/>
      <c r="Z644" t="s">
        <v>4386</v>
      </c>
      <c r="AB644" t="s">
        <v>5292</v>
      </c>
      <c r="AC644" t="s">
        <v>5293</v>
      </c>
      <c r="AD644" s="18">
        <v>46117</v>
      </c>
    </row>
    <row r="645" spans="1:30" ht="270" hidden="1">
      <c r="A645" s="1" t="s">
        <v>965</v>
      </c>
      <c r="B645" s="1">
        <v>1644</v>
      </c>
      <c r="C645" s="1">
        <v>12</v>
      </c>
      <c r="D645" s="1">
        <v>44</v>
      </c>
      <c r="E645" s="1" t="s">
        <v>4297</v>
      </c>
      <c r="F645" s="1" t="s">
        <v>4301</v>
      </c>
      <c r="G645" s="1" t="s">
        <v>20</v>
      </c>
      <c r="H645" s="1" t="s">
        <v>2966</v>
      </c>
      <c r="I645" s="1" t="s">
        <v>2967</v>
      </c>
      <c r="J645" s="1" t="s">
        <v>2968</v>
      </c>
      <c r="K645" s="1" t="s">
        <v>2969</v>
      </c>
      <c r="L645" s="1" t="s">
        <v>2970</v>
      </c>
      <c r="M645" s="1"/>
      <c r="N645" s="1"/>
      <c r="O645" s="1" t="s">
        <v>8</v>
      </c>
      <c r="P645" s="1" t="s">
        <v>4183</v>
      </c>
      <c r="Q645" s="1"/>
      <c r="R645" s="1"/>
      <c r="S645" s="1"/>
      <c r="T645" s="1">
        <v>1</v>
      </c>
      <c r="U645" s="1"/>
      <c r="V645" s="1"/>
      <c r="W645" s="1"/>
      <c r="X645" s="1"/>
      <c r="Z645" t="s">
        <v>4386</v>
      </c>
      <c r="AB645" t="s">
        <v>5294</v>
      </c>
      <c r="AC645" t="s">
        <v>5295</v>
      </c>
      <c r="AD645" s="18">
        <v>46117</v>
      </c>
    </row>
    <row r="646" spans="1:30" ht="195" hidden="1">
      <c r="A646" s="1" t="s">
        <v>965</v>
      </c>
      <c r="B646" s="1">
        <v>1645</v>
      </c>
      <c r="C646" s="1">
        <v>12</v>
      </c>
      <c r="D646" s="1">
        <v>45</v>
      </c>
      <c r="E646" s="1" t="s">
        <v>4292</v>
      </c>
      <c r="F646" s="1" t="s">
        <v>4293</v>
      </c>
      <c r="G646" s="1" t="s">
        <v>20</v>
      </c>
      <c r="H646" s="1" t="s">
        <v>2971</v>
      </c>
      <c r="I646" s="1" t="s">
        <v>2972</v>
      </c>
      <c r="J646" s="1" t="s">
        <v>2973</v>
      </c>
      <c r="K646" s="1" t="s">
        <v>2974</v>
      </c>
      <c r="L646" s="1" t="s">
        <v>2975</v>
      </c>
      <c r="M646" s="1"/>
      <c r="N646" s="1"/>
      <c r="O646" s="1" t="s">
        <v>7</v>
      </c>
      <c r="P646" s="1" t="s">
        <v>4184</v>
      </c>
      <c r="Q646" s="1"/>
      <c r="R646" s="1"/>
      <c r="S646" s="1"/>
      <c r="T646" s="1"/>
      <c r="U646" s="1"/>
      <c r="V646" s="1"/>
      <c r="W646" s="1"/>
      <c r="X646" s="1"/>
      <c r="Y646" t="s">
        <v>7</v>
      </c>
      <c r="Z646" t="s">
        <v>4316</v>
      </c>
      <c r="AA646" t="s">
        <v>4317</v>
      </c>
      <c r="AB646" t="s">
        <v>5296</v>
      </c>
      <c r="AC646" t="s">
        <v>4823</v>
      </c>
      <c r="AD646" s="18">
        <v>46117</v>
      </c>
    </row>
    <row r="647" spans="1:30" ht="409.5" hidden="1">
      <c r="A647" s="1" t="s">
        <v>965</v>
      </c>
      <c r="B647" s="1">
        <v>1646</v>
      </c>
      <c r="C647" s="1">
        <v>12</v>
      </c>
      <c r="D647" s="1">
        <v>46</v>
      </c>
      <c r="E647" s="1" t="s">
        <v>4305</v>
      </c>
      <c r="F647" s="1" t="s">
        <v>3339</v>
      </c>
      <c r="G647" s="1" t="s">
        <v>4294</v>
      </c>
      <c r="H647" s="1" t="s">
        <v>2976</v>
      </c>
      <c r="I647" s="1" t="s">
        <v>2977</v>
      </c>
      <c r="J647" s="1" t="s">
        <v>2978</v>
      </c>
      <c r="K647" s="1" t="s">
        <v>2979</v>
      </c>
      <c r="L647" s="1" t="s">
        <v>2980</v>
      </c>
      <c r="M647" s="1"/>
      <c r="N647" s="1"/>
      <c r="O647" s="1" t="s">
        <v>8</v>
      </c>
      <c r="P647" s="1" t="s">
        <v>5523</v>
      </c>
      <c r="Q647" s="1"/>
      <c r="R647" s="1"/>
      <c r="S647" s="1"/>
      <c r="T647" s="1"/>
      <c r="U647" s="1">
        <v>1</v>
      </c>
      <c r="V647" s="1"/>
      <c r="W647" s="1"/>
      <c r="X647" s="1"/>
      <c r="Y647" t="s">
        <v>8</v>
      </c>
      <c r="Z647" t="s">
        <v>4316</v>
      </c>
      <c r="AA647" t="s">
        <v>4317</v>
      </c>
      <c r="AB647" t="s">
        <v>5297</v>
      </c>
      <c r="AC647" t="s">
        <v>5298</v>
      </c>
      <c r="AD647" s="18">
        <v>46117</v>
      </c>
    </row>
    <row r="648" spans="1:30" ht="210" hidden="1">
      <c r="A648" s="1" t="s">
        <v>965</v>
      </c>
      <c r="B648" s="1">
        <v>1647</v>
      </c>
      <c r="C648" s="1">
        <v>12</v>
      </c>
      <c r="D648" s="1">
        <v>47</v>
      </c>
      <c r="E648" s="1" t="s">
        <v>4305</v>
      </c>
      <c r="F648" s="1" t="s">
        <v>4307</v>
      </c>
      <c r="G648" s="1" t="s">
        <v>4294</v>
      </c>
      <c r="H648" s="1" t="s">
        <v>2981</v>
      </c>
      <c r="I648" s="1" t="s">
        <v>2982</v>
      </c>
      <c r="J648" s="1" t="s">
        <v>2983</v>
      </c>
      <c r="K648" s="1" t="s">
        <v>2984</v>
      </c>
      <c r="L648" s="1" t="s">
        <v>2985</v>
      </c>
      <c r="M648" s="1"/>
      <c r="N648" s="1"/>
      <c r="O648" s="1" t="s">
        <v>7</v>
      </c>
      <c r="P648" s="1" t="s">
        <v>4185</v>
      </c>
      <c r="Q648" s="1"/>
      <c r="R648" s="1"/>
      <c r="S648" s="1"/>
      <c r="T648" s="1"/>
      <c r="U648" s="1"/>
      <c r="V648" s="1"/>
      <c r="W648" s="1"/>
      <c r="X648" s="1"/>
      <c r="Y648" t="s">
        <v>7</v>
      </c>
      <c r="Z648" t="s">
        <v>4316</v>
      </c>
      <c r="AA648" t="s">
        <v>4317</v>
      </c>
      <c r="AB648" t="s">
        <v>5299</v>
      </c>
      <c r="AC648" t="s">
        <v>4865</v>
      </c>
      <c r="AD648" s="18">
        <v>46117</v>
      </c>
    </row>
    <row r="649" spans="1:30" ht="180" hidden="1">
      <c r="A649" s="1" t="s">
        <v>965</v>
      </c>
      <c r="B649" s="1">
        <v>1648</v>
      </c>
      <c r="C649" s="1">
        <v>12</v>
      </c>
      <c r="D649" s="1">
        <v>48</v>
      </c>
      <c r="E649" s="1" t="s">
        <v>4305</v>
      </c>
      <c r="F649" s="1" t="s">
        <v>4307</v>
      </c>
      <c r="G649" s="1" t="s">
        <v>40</v>
      </c>
      <c r="H649" s="1" t="s">
        <v>2986</v>
      </c>
      <c r="I649" s="1" t="s">
        <v>573</v>
      </c>
      <c r="J649" s="1" t="s">
        <v>1480</v>
      </c>
      <c r="K649" s="1" t="s">
        <v>365</v>
      </c>
      <c r="L649" s="1" t="s">
        <v>2987</v>
      </c>
      <c r="M649" s="1"/>
      <c r="N649" s="1"/>
      <c r="O649" s="1" t="s">
        <v>9</v>
      </c>
      <c r="P649" s="1" t="s">
        <v>5524</v>
      </c>
      <c r="Q649" s="1"/>
      <c r="R649" s="1"/>
      <c r="S649" s="1"/>
      <c r="T649" s="1"/>
      <c r="U649" s="1"/>
      <c r="V649" s="1"/>
      <c r="W649" s="1"/>
      <c r="X649" s="1"/>
      <c r="Z649" t="s">
        <v>4386</v>
      </c>
      <c r="AB649" t="s">
        <v>5300</v>
      </c>
      <c r="AC649" t="s">
        <v>4871</v>
      </c>
      <c r="AD649" s="18">
        <v>46117</v>
      </c>
    </row>
    <row r="650" spans="1:30" ht="409.5" hidden="1">
      <c r="A650" s="1" t="s">
        <v>965</v>
      </c>
      <c r="B650" s="1">
        <v>1649</v>
      </c>
      <c r="C650" s="1">
        <v>12</v>
      </c>
      <c r="D650" s="1">
        <v>49</v>
      </c>
      <c r="E650" s="1" t="s">
        <v>4297</v>
      </c>
      <c r="F650" s="1" t="s">
        <v>4298</v>
      </c>
      <c r="G650" s="1" t="s">
        <v>20</v>
      </c>
      <c r="H650" s="1" t="s">
        <v>2988</v>
      </c>
      <c r="I650" s="1" t="s">
        <v>2989</v>
      </c>
      <c r="J650" s="1" t="s">
        <v>2990</v>
      </c>
      <c r="K650" s="1" t="s">
        <v>2991</v>
      </c>
      <c r="L650" s="1" t="s">
        <v>2992</v>
      </c>
      <c r="M650" s="1"/>
      <c r="N650" s="1"/>
      <c r="O650" s="1" t="s">
        <v>7</v>
      </c>
      <c r="P650" s="1" t="s">
        <v>4186</v>
      </c>
      <c r="Q650" s="1"/>
      <c r="R650" s="1"/>
      <c r="S650" s="1"/>
      <c r="T650" s="1"/>
      <c r="U650" s="1">
        <v>1</v>
      </c>
      <c r="V650" s="1"/>
      <c r="W650" s="1"/>
      <c r="X650" s="1"/>
      <c r="Y650" t="s">
        <v>7</v>
      </c>
      <c r="Z650" t="s">
        <v>4316</v>
      </c>
      <c r="AA650" t="s">
        <v>4317</v>
      </c>
      <c r="AB650" t="s">
        <v>5301</v>
      </c>
      <c r="AC650" t="s">
        <v>4979</v>
      </c>
      <c r="AD650" s="18">
        <v>46117</v>
      </c>
    </row>
    <row r="651" spans="1:30" ht="135" hidden="1">
      <c r="A651" s="1" t="s">
        <v>965</v>
      </c>
      <c r="B651" s="1">
        <v>1650</v>
      </c>
      <c r="C651" s="1">
        <v>12</v>
      </c>
      <c r="D651" s="1">
        <v>50</v>
      </c>
      <c r="E651" s="1" t="s">
        <v>4305</v>
      </c>
      <c r="F651" s="1" t="s">
        <v>3339</v>
      </c>
      <c r="G651" s="1" t="s">
        <v>20</v>
      </c>
      <c r="H651" s="1" t="s">
        <v>2993</v>
      </c>
      <c r="I651" s="1" t="s">
        <v>2994</v>
      </c>
      <c r="J651" s="1" t="s">
        <v>2995</v>
      </c>
      <c r="K651" s="1" t="s">
        <v>2996</v>
      </c>
      <c r="L651" s="1" t="s">
        <v>2997</v>
      </c>
      <c r="M651" s="1"/>
      <c r="N651" s="1"/>
      <c r="O651" s="1" t="s">
        <v>8</v>
      </c>
      <c r="P651" s="1" t="s">
        <v>4187</v>
      </c>
      <c r="Q651" s="1"/>
      <c r="R651" s="1"/>
      <c r="S651" s="1"/>
      <c r="T651" s="1">
        <v>1</v>
      </c>
      <c r="U651" s="1"/>
      <c r="V651" s="1"/>
      <c r="W651" s="1"/>
      <c r="X651" s="1"/>
      <c r="Y651" t="s">
        <v>8</v>
      </c>
      <c r="Z651" t="s">
        <v>4316</v>
      </c>
      <c r="AA651" t="s">
        <v>4317</v>
      </c>
      <c r="AB651" t="s">
        <v>5302</v>
      </c>
      <c r="AC651" t="s">
        <v>5164</v>
      </c>
      <c r="AD651" s="18">
        <v>46117</v>
      </c>
    </row>
    <row r="652" spans="1:30" ht="180" hidden="1">
      <c r="A652" s="1" t="s">
        <v>965</v>
      </c>
      <c r="B652" s="1">
        <v>1651</v>
      </c>
      <c r="C652" s="1">
        <v>12</v>
      </c>
      <c r="D652" s="1">
        <v>51</v>
      </c>
      <c r="E652" s="1" t="s">
        <v>4305</v>
      </c>
      <c r="F652" s="1" t="s">
        <v>3339</v>
      </c>
      <c r="G652" s="1" t="s">
        <v>20</v>
      </c>
      <c r="H652" s="1" t="s">
        <v>2998</v>
      </c>
      <c r="I652" s="1" t="s">
        <v>2999</v>
      </c>
      <c r="J652" s="1" t="s">
        <v>3000</v>
      </c>
      <c r="K652" s="1" t="s">
        <v>3001</v>
      </c>
      <c r="L652" s="1" t="s">
        <v>3002</v>
      </c>
      <c r="M652" s="1"/>
      <c r="N652" s="1"/>
      <c r="O652" s="1" t="s">
        <v>7</v>
      </c>
      <c r="P652" s="1" t="s">
        <v>4188</v>
      </c>
      <c r="Q652" s="1"/>
      <c r="R652" s="1"/>
      <c r="S652" s="1"/>
      <c r="T652" s="1"/>
      <c r="U652" s="1">
        <v>1</v>
      </c>
      <c r="V652" s="1"/>
      <c r="W652" s="1"/>
      <c r="X652" s="1"/>
      <c r="Y652" t="s">
        <v>7</v>
      </c>
      <c r="Z652" t="s">
        <v>4316</v>
      </c>
      <c r="AA652" t="s">
        <v>4317</v>
      </c>
      <c r="AB652" t="s">
        <v>5311</v>
      </c>
      <c r="AC652" t="s">
        <v>5298</v>
      </c>
      <c r="AD652" s="18">
        <v>46117</v>
      </c>
    </row>
    <row r="653" spans="1:30" ht="90" hidden="1">
      <c r="A653" s="1" t="s">
        <v>965</v>
      </c>
      <c r="B653" s="1">
        <v>1652</v>
      </c>
      <c r="C653" s="1">
        <v>12</v>
      </c>
      <c r="D653" s="1">
        <v>52</v>
      </c>
      <c r="E653" s="1" t="s">
        <v>4305</v>
      </c>
      <c r="F653" s="1" t="s">
        <v>3339</v>
      </c>
      <c r="G653" s="1" t="s">
        <v>4294</v>
      </c>
      <c r="H653" s="1" t="s">
        <v>3003</v>
      </c>
      <c r="I653" s="1" t="s">
        <v>3004</v>
      </c>
      <c r="J653" s="1" t="s">
        <v>3005</v>
      </c>
      <c r="K653" s="1" t="s">
        <v>3006</v>
      </c>
      <c r="L653" s="1" t="s">
        <v>5525</v>
      </c>
      <c r="M653" s="1"/>
      <c r="N653" s="1"/>
      <c r="O653" s="1" t="s">
        <v>8</v>
      </c>
      <c r="P653" s="1" t="s">
        <v>4189</v>
      </c>
      <c r="Q653" s="1"/>
      <c r="R653" s="1"/>
      <c r="S653" s="1"/>
      <c r="T653" s="1"/>
      <c r="U653" s="1">
        <v>1</v>
      </c>
      <c r="V653" s="1"/>
      <c r="W653" s="1"/>
      <c r="X653" s="1"/>
      <c r="Y653" t="s">
        <v>8</v>
      </c>
      <c r="Z653" t="s">
        <v>4316</v>
      </c>
      <c r="AA653" t="s">
        <v>4317</v>
      </c>
      <c r="AB653" t="s">
        <v>5312</v>
      </c>
      <c r="AC653" t="s">
        <v>5298</v>
      </c>
      <c r="AD653" s="18">
        <v>46117</v>
      </c>
    </row>
    <row r="654" spans="1:30" ht="409.5" hidden="1">
      <c r="A654" s="1" t="s">
        <v>965</v>
      </c>
      <c r="B654" s="1">
        <v>1653</v>
      </c>
      <c r="C654" s="1">
        <v>12</v>
      </c>
      <c r="D654" s="1">
        <v>53</v>
      </c>
      <c r="E654" s="1" t="s">
        <v>4305</v>
      </c>
      <c r="F654" s="1" t="s">
        <v>4307</v>
      </c>
      <c r="G654" s="1" t="s">
        <v>40</v>
      </c>
      <c r="H654" s="1" t="s">
        <v>3007</v>
      </c>
      <c r="I654" s="1" t="s">
        <v>3818</v>
      </c>
      <c r="J654" s="1" t="s">
        <v>3819</v>
      </c>
      <c r="K654" s="1" t="s">
        <v>3820</v>
      </c>
      <c r="L654" s="1"/>
      <c r="M654" s="1"/>
      <c r="N654" s="1"/>
      <c r="O654" s="1" t="s">
        <v>8</v>
      </c>
      <c r="P654" s="1" t="s">
        <v>4190</v>
      </c>
      <c r="Q654" s="1"/>
      <c r="R654" s="1"/>
      <c r="S654" s="1"/>
      <c r="T654" s="1"/>
      <c r="U654" s="1">
        <v>1</v>
      </c>
      <c r="V654" s="1"/>
      <c r="W654" s="1"/>
      <c r="X654" s="1"/>
      <c r="Y654" t="s">
        <v>8</v>
      </c>
      <c r="Z654" t="s">
        <v>4316</v>
      </c>
      <c r="AA654" t="s">
        <v>4317</v>
      </c>
      <c r="AB654" t="s">
        <v>5313</v>
      </c>
      <c r="AC654" t="s">
        <v>4865</v>
      </c>
      <c r="AD654" s="18">
        <v>46117</v>
      </c>
    </row>
    <row r="655" spans="1:30" ht="165" hidden="1">
      <c r="A655" s="1" t="s">
        <v>965</v>
      </c>
      <c r="B655" s="1">
        <v>1654</v>
      </c>
      <c r="C655" s="1">
        <v>12</v>
      </c>
      <c r="D655" s="1">
        <v>54</v>
      </c>
      <c r="E655" s="1" t="s">
        <v>4297</v>
      </c>
      <c r="F655" s="1" t="s">
        <v>4298</v>
      </c>
      <c r="G655" s="1" t="s">
        <v>4294</v>
      </c>
      <c r="H655" s="1" t="s">
        <v>3008</v>
      </c>
      <c r="I655" s="1" t="s">
        <v>3009</v>
      </c>
      <c r="J655" s="1" t="s">
        <v>3010</v>
      </c>
      <c r="K655" s="1" t="s">
        <v>3011</v>
      </c>
      <c r="L655" s="1" t="s">
        <v>3012</v>
      </c>
      <c r="M655" s="1"/>
      <c r="N655" s="1"/>
      <c r="O655" s="1" t="s">
        <v>8</v>
      </c>
      <c r="P655" s="1" t="s">
        <v>4191</v>
      </c>
      <c r="Q655" s="1"/>
      <c r="R655" s="1"/>
      <c r="S655" s="1"/>
      <c r="T655" s="1">
        <v>1</v>
      </c>
      <c r="U655" s="1"/>
      <c r="V655" s="1"/>
      <c r="W655" s="1"/>
      <c r="X655" s="1"/>
      <c r="Y655" t="s">
        <v>8</v>
      </c>
      <c r="Z655" t="s">
        <v>4316</v>
      </c>
      <c r="AA655" t="s">
        <v>4317</v>
      </c>
      <c r="AB655" t="s">
        <v>5314</v>
      </c>
      <c r="AD655" s="18">
        <v>46117</v>
      </c>
    </row>
    <row r="656" spans="1:30" ht="240" hidden="1">
      <c r="A656" s="1" t="s">
        <v>965</v>
      </c>
      <c r="B656" s="1">
        <v>1655</v>
      </c>
      <c r="C656" s="1">
        <v>12</v>
      </c>
      <c r="D656" s="1">
        <v>55</v>
      </c>
      <c r="E656" s="1" t="s">
        <v>4292</v>
      </c>
      <c r="F656" s="1" t="s">
        <v>4293</v>
      </c>
      <c r="G656" s="1" t="s">
        <v>20</v>
      </c>
      <c r="H656" s="1" t="s">
        <v>3013</v>
      </c>
      <c r="I656" s="1" t="s">
        <v>3014</v>
      </c>
      <c r="J656" s="1" t="s">
        <v>3015</v>
      </c>
      <c r="K656" s="1" t="s">
        <v>3016</v>
      </c>
      <c r="L656" s="1" t="s">
        <v>3017</v>
      </c>
      <c r="M656" s="1"/>
      <c r="N656" s="1"/>
      <c r="O656" s="1" t="s">
        <v>10</v>
      </c>
      <c r="P656" s="1" t="s">
        <v>5526</v>
      </c>
      <c r="Q656" s="1"/>
      <c r="R656" s="1"/>
      <c r="S656" s="1"/>
      <c r="T656" s="1">
        <v>1</v>
      </c>
      <c r="U656" s="1"/>
      <c r="V656" s="1"/>
      <c r="W656" s="1"/>
      <c r="X656" s="1"/>
      <c r="Y656" t="s">
        <v>10</v>
      </c>
      <c r="Z656" t="s">
        <v>4316</v>
      </c>
      <c r="AA656" t="s">
        <v>4317</v>
      </c>
      <c r="AB656" t="s">
        <v>5315</v>
      </c>
      <c r="AC656" t="s">
        <v>4352</v>
      </c>
      <c r="AD656" s="18">
        <v>46117</v>
      </c>
    </row>
    <row r="657" spans="1:30" ht="210" hidden="1">
      <c r="A657" s="1" t="s">
        <v>965</v>
      </c>
      <c r="B657" s="1">
        <v>1656</v>
      </c>
      <c r="C657" s="1">
        <v>12</v>
      </c>
      <c r="D657" s="1">
        <v>56</v>
      </c>
      <c r="E657" s="1" t="s">
        <v>4305</v>
      </c>
      <c r="F657" s="1" t="s">
        <v>4307</v>
      </c>
      <c r="G657" s="1" t="s">
        <v>40</v>
      </c>
      <c r="H657" s="1" t="s">
        <v>3018</v>
      </c>
      <c r="I657" s="1" t="s">
        <v>3019</v>
      </c>
      <c r="J657" s="1" t="s">
        <v>3020</v>
      </c>
      <c r="K657" s="1" t="s">
        <v>3021</v>
      </c>
      <c r="L657" s="1" t="s">
        <v>3022</v>
      </c>
      <c r="M657" s="1"/>
      <c r="N657" s="1"/>
      <c r="O657" s="1" t="s">
        <v>9</v>
      </c>
      <c r="P657" s="1" t="s">
        <v>4193</v>
      </c>
      <c r="Q657" s="1"/>
      <c r="R657" s="1"/>
      <c r="S657" s="1"/>
      <c r="T657" s="1"/>
      <c r="U657" s="1">
        <v>1</v>
      </c>
      <c r="V657" s="1"/>
      <c r="W657" s="1"/>
      <c r="X657" s="1" t="s">
        <v>4192</v>
      </c>
      <c r="Y657" t="s">
        <v>9</v>
      </c>
      <c r="Z657" t="s">
        <v>4316</v>
      </c>
      <c r="AA657" t="s">
        <v>4317</v>
      </c>
      <c r="AB657" t="s">
        <v>5316</v>
      </c>
      <c r="AC657" t="s">
        <v>4865</v>
      </c>
      <c r="AD657" s="18">
        <v>46117</v>
      </c>
    </row>
    <row r="658" spans="1:30" ht="225" hidden="1">
      <c r="A658" s="1" t="s">
        <v>965</v>
      </c>
      <c r="B658" s="1">
        <v>1657</v>
      </c>
      <c r="C658" s="1">
        <v>12</v>
      </c>
      <c r="D658" s="1">
        <v>57</v>
      </c>
      <c r="E658" s="1" t="s">
        <v>4305</v>
      </c>
      <c r="F658" s="1" t="s">
        <v>4307</v>
      </c>
      <c r="G658" s="1" t="s">
        <v>40</v>
      </c>
      <c r="H658" s="1" t="s">
        <v>3023</v>
      </c>
      <c r="I658" s="1" t="s">
        <v>3821</v>
      </c>
      <c r="J658" s="1" t="s">
        <v>3822</v>
      </c>
      <c r="K658" s="1" t="s">
        <v>3823</v>
      </c>
      <c r="L658" s="1"/>
      <c r="M658" s="1"/>
      <c r="N658" s="1"/>
      <c r="O658" s="1" t="s">
        <v>8</v>
      </c>
      <c r="P658" s="1" t="s">
        <v>4194</v>
      </c>
      <c r="Q658" s="1"/>
      <c r="R658" s="1"/>
      <c r="S658" s="1"/>
      <c r="T658" s="1">
        <v>1</v>
      </c>
      <c r="U658" s="1"/>
      <c r="V658" s="1"/>
      <c r="W658" s="1"/>
      <c r="X658" s="1"/>
      <c r="Z658" t="s">
        <v>4386</v>
      </c>
      <c r="AB658" t="s">
        <v>5317</v>
      </c>
      <c r="AC658" t="s">
        <v>4865</v>
      </c>
      <c r="AD658" s="18">
        <v>46117</v>
      </c>
    </row>
    <row r="659" spans="1:30" ht="165" hidden="1">
      <c r="A659" s="1" t="s">
        <v>965</v>
      </c>
      <c r="B659" s="1">
        <v>1658</v>
      </c>
      <c r="C659" s="1">
        <v>12</v>
      </c>
      <c r="D659" s="1">
        <v>58</v>
      </c>
      <c r="E659" s="1" t="s">
        <v>4295</v>
      </c>
      <c r="F659" s="1" t="s">
        <v>4309</v>
      </c>
      <c r="G659" s="1" t="s">
        <v>40</v>
      </c>
      <c r="H659" s="1" t="s">
        <v>3024</v>
      </c>
      <c r="I659" s="1" t="s">
        <v>3025</v>
      </c>
      <c r="J659" s="1" t="s">
        <v>3026</v>
      </c>
      <c r="K659" s="1" t="s">
        <v>3027</v>
      </c>
      <c r="L659" s="1" t="s">
        <v>3028</v>
      </c>
      <c r="M659" s="1"/>
      <c r="N659" s="1"/>
      <c r="O659" s="1" t="s">
        <v>7</v>
      </c>
      <c r="P659" s="1" t="s">
        <v>4195</v>
      </c>
      <c r="Q659" s="1"/>
      <c r="R659" s="1"/>
      <c r="S659" s="1"/>
      <c r="T659" s="1">
        <v>1</v>
      </c>
      <c r="U659" s="1"/>
      <c r="V659" s="1"/>
      <c r="W659" s="1"/>
      <c r="X659" s="1"/>
      <c r="Y659" t="s">
        <v>7</v>
      </c>
      <c r="Z659" t="s">
        <v>4316</v>
      </c>
      <c r="AA659" t="s">
        <v>4317</v>
      </c>
      <c r="AB659" t="s">
        <v>5318</v>
      </c>
      <c r="AD659" s="18">
        <v>46117</v>
      </c>
    </row>
    <row r="660" spans="1:30" ht="255" hidden="1">
      <c r="A660" s="1" t="s">
        <v>965</v>
      </c>
      <c r="B660" s="1">
        <v>1659</v>
      </c>
      <c r="C660" s="1">
        <v>12</v>
      </c>
      <c r="D660" s="1">
        <v>59</v>
      </c>
      <c r="E660" s="1" t="s">
        <v>4295</v>
      </c>
      <c r="F660" s="1" t="s">
        <v>4309</v>
      </c>
      <c r="G660" s="1" t="s">
        <v>4294</v>
      </c>
      <c r="H660" s="1" t="s">
        <v>3029</v>
      </c>
      <c r="I660" s="1" t="s">
        <v>3030</v>
      </c>
      <c r="J660" s="1" t="s">
        <v>3031</v>
      </c>
      <c r="K660" s="1" t="s">
        <v>3032</v>
      </c>
      <c r="L660" s="1" t="s">
        <v>3033</v>
      </c>
      <c r="M660" s="1"/>
      <c r="N660" s="1"/>
      <c r="O660" s="1" t="s">
        <v>9</v>
      </c>
      <c r="P660" s="1" t="s">
        <v>4196</v>
      </c>
      <c r="Q660" s="1"/>
      <c r="R660" s="1"/>
      <c r="S660" s="1"/>
      <c r="T660" s="1"/>
      <c r="U660" s="1">
        <v>1</v>
      </c>
      <c r="V660" s="1"/>
      <c r="W660" s="1"/>
      <c r="X660" s="1"/>
      <c r="Y660" t="s">
        <v>9</v>
      </c>
      <c r="Z660" t="s">
        <v>4316</v>
      </c>
      <c r="AA660" t="s">
        <v>4317</v>
      </c>
      <c r="AB660" t="s">
        <v>5319</v>
      </c>
      <c r="AD660" s="18">
        <v>46117</v>
      </c>
    </row>
    <row r="661" spans="1:30" ht="105" hidden="1">
      <c r="A661" s="1" t="s">
        <v>965</v>
      </c>
      <c r="B661" s="1">
        <v>1660</v>
      </c>
      <c r="C661" s="1">
        <v>12</v>
      </c>
      <c r="D661" s="1">
        <v>60</v>
      </c>
      <c r="E661" s="1" t="s">
        <v>4295</v>
      </c>
      <c r="F661" s="1" t="s">
        <v>2580</v>
      </c>
      <c r="G661" s="1" t="s">
        <v>20</v>
      </c>
      <c r="H661" s="1" t="s">
        <v>3034</v>
      </c>
      <c r="I661" s="1" t="s">
        <v>3824</v>
      </c>
      <c r="J661" s="1" t="s">
        <v>3825</v>
      </c>
      <c r="K661" s="1" t="s">
        <v>3826</v>
      </c>
      <c r="L661" s="1" t="s">
        <v>3827</v>
      </c>
      <c r="M661" s="1"/>
      <c r="N661" s="1"/>
      <c r="O661" s="1" t="s">
        <v>7</v>
      </c>
      <c r="P661" s="1" t="s">
        <v>4197</v>
      </c>
      <c r="Q661" s="1"/>
      <c r="R661" s="1"/>
      <c r="S661" s="1"/>
      <c r="T661" s="1">
        <v>1</v>
      </c>
      <c r="U661" s="1">
        <v>1</v>
      </c>
      <c r="V661" s="1"/>
      <c r="W661" s="1"/>
      <c r="X661" s="1" t="s">
        <v>2662</v>
      </c>
      <c r="Z661" t="s">
        <v>4386</v>
      </c>
      <c r="AB661" t="s">
        <v>5320</v>
      </c>
      <c r="AC661" t="s">
        <v>5321</v>
      </c>
      <c r="AD661" s="18">
        <v>46117</v>
      </c>
    </row>
    <row r="662" spans="1:30" ht="165" hidden="1">
      <c r="A662" s="1" t="s">
        <v>965</v>
      </c>
      <c r="B662" s="1">
        <v>1661</v>
      </c>
      <c r="C662" s="1">
        <v>13</v>
      </c>
      <c r="D662" s="1">
        <v>1</v>
      </c>
      <c r="E662" s="1" t="s">
        <v>4292</v>
      </c>
      <c r="F662" s="1" t="s">
        <v>4293</v>
      </c>
      <c r="G662" s="1" t="s">
        <v>40</v>
      </c>
      <c r="H662" s="1" t="s">
        <v>3035</v>
      </c>
      <c r="I662" s="1" t="s">
        <v>3036</v>
      </c>
      <c r="J662" s="1" t="s">
        <v>3037</v>
      </c>
      <c r="K662" s="1" t="s">
        <v>3038</v>
      </c>
      <c r="L662" s="1" t="s">
        <v>3039</v>
      </c>
      <c r="M662" s="1" t="s">
        <v>3040</v>
      </c>
      <c r="N662" s="1"/>
      <c r="O662" s="1" t="s">
        <v>11</v>
      </c>
      <c r="P662" s="1" t="s">
        <v>5527</v>
      </c>
      <c r="Q662" s="1"/>
      <c r="R662" s="1"/>
      <c r="S662" s="1"/>
      <c r="T662" s="1"/>
      <c r="U662" s="1"/>
      <c r="V662" s="1"/>
      <c r="W662" s="1"/>
      <c r="X662" s="1"/>
      <c r="Y662" t="s">
        <v>11</v>
      </c>
      <c r="Z662" t="s">
        <v>4316</v>
      </c>
      <c r="AA662" t="s">
        <v>4317</v>
      </c>
      <c r="AB662" t="s">
        <v>5322</v>
      </c>
      <c r="AC662" t="s">
        <v>4441</v>
      </c>
      <c r="AD662" s="18">
        <v>46117</v>
      </c>
    </row>
    <row r="663" spans="1:30" ht="135" hidden="1">
      <c r="A663" s="1" t="s">
        <v>965</v>
      </c>
      <c r="B663" s="1">
        <v>1662</v>
      </c>
      <c r="C663" s="1">
        <v>13</v>
      </c>
      <c r="D663" s="1">
        <v>2</v>
      </c>
      <c r="E663" s="1" t="s">
        <v>4290</v>
      </c>
      <c r="F663" s="1" t="s">
        <v>4302</v>
      </c>
      <c r="G663" s="1" t="s">
        <v>40</v>
      </c>
      <c r="H663" s="1" t="s">
        <v>3041</v>
      </c>
      <c r="I663" s="1" t="s">
        <v>3042</v>
      </c>
      <c r="J663" s="1" t="s">
        <v>3043</v>
      </c>
      <c r="K663" s="1" t="s">
        <v>3044</v>
      </c>
      <c r="L663" s="1" t="s">
        <v>3045</v>
      </c>
      <c r="M663" s="1" t="s">
        <v>5528</v>
      </c>
      <c r="N663" s="1"/>
      <c r="O663" s="1" t="s">
        <v>8</v>
      </c>
      <c r="P663" s="1" t="s">
        <v>5529</v>
      </c>
      <c r="Q663" s="1"/>
      <c r="R663" s="1"/>
      <c r="S663" s="1"/>
      <c r="T663" s="1"/>
      <c r="U663" s="1"/>
      <c r="V663" s="1"/>
      <c r="W663" s="1"/>
      <c r="X663" s="1"/>
      <c r="Y663" t="s">
        <v>11</v>
      </c>
      <c r="Z663" t="s">
        <v>4316</v>
      </c>
      <c r="AA663" t="s">
        <v>4317</v>
      </c>
      <c r="AB663" t="s">
        <v>5323</v>
      </c>
      <c r="AC663" t="s">
        <v>5108</v>
      </c>
      <c r="AD663" s="18">
        <v>46117</v>
      </c>
    </row>
    <row r="664" spans="1:30" ht="105" hidden="1">
      <c r="A664" s="1" t="s">
        <v>965</v>
      </c>
      <c r="B664" s="1">
        <v>1663</v>
      </c>
      <c r="C664" s="1">
        <v>13</v>
      </c>
      <c r="D664" s="1">
        <v>3</v>
      </c>
      <c r="E664" s="1" t="s">
        <v>4297</v>
      </c>
      <c r="F664" s="1" t="s">
        <v>4298</v>
      </c>
      <c r="G664" s="1" t="s">
        <v>4294</v>
      </c>
      <c r="H664" s="1" t="s">
        <v>3046</v>
      </c>
      <c r="I664" s="1" t="s">
        <v>3833</v>
      </c>
      <c r="J664" s="1" t="s">
        <v>3834</v>
      </c>
      <c r="K664" s="1" t="s">
        <v>3835</v>
      </c>
      <c r="L664" s="1" t="s">
        <v>3836</v>
      </c>
      <c r="M664" s="1" t="s">
        <v>3837</v>
      </c>
      <c r="N664" s="1"/>
      <c r="O664" s="1" t="s">
        <v>9</v>
      </c>
      <c r="P664" s="1" t="s">
        <v>4200</v>
      </c>
      <c r="Q664" s="1"/>
      <c r="R664" s="1"/>
      <c r="S664" s="1"/>
      <c r="T664" s="1"/>
      <c r="U664" s="1"/>
      <c r="V664" s="1"/>
      <c r="W664" s="1"/>
      <c r="X664" s="1"/>
      <c r="Y664" t="s">
        <v>9</v>
      </c>
      <c r="Z664" t="s">
        <v>4316</v>
      </c>
      <c r="AA664" t="s">
        <v>4317</v>
      </c>
      <c r="AB664" t="s">
        <v>5324</v>
      </c>
      <c r="AD664" s="18">
        <v>46117</v>
      </c>
    </row>
    <row r="665" spans="1:30" ht="270" hidden="1">
      <c r="A665" s="1" t="s">
        <v>965</v>
      </c>
      <c r="B665" s="1">
        <v>1664</v>
      </c>
      <c r="C665" s="1">
        <v>13</v>
      </c>
      <c r="D665" s="1">
        <v>4</v>
      </c>
      <c r="E665" s="1" t="s">
        <v>4297</v>
      </c>
      <c r="F665" s="1" t="s">
        <v>4298</v>
      </c>
      <c r="G665" s="1" t="s">
        <v>4294</v>
      </c>
      <c r="H665" s="1" t="s">
        <v>3047</v>
      </c>
      <c r="I665" s="1" t="s">
        <v>3048</v>
      </c>
      <c r="J665" s="1" t="s">
        <v>3049</v>
      </c>
      <c r="K665" s="1" t="s">
        <v>3050</v>
      </c>
      <c r="L665" s="1" t="s">
        <v>3051</v>
      </c>
      <c r="M665" s="1" t="s">
        <v>3052</v>
      </c>
      <c r="N665" s="1"/>
      <c r="O665" s="1" t="s">
        <v>11</v>
      </c>
      <c r="P665" s="1" t="s">
        <v>4201</v>
      </c>
      <c r="Q665" s="1"/>
      <c r="R665" s="1"/>
      <c r="S665" s="1"/>
      <c r="T665" s="1"/>
      <c r="U665" s="1">
        <v>1</v>
      </c>
      <c r="V665" s="1"/>
      <c r="W665" s="1"/>
      <c r="X665" s="1"/>
      <c r="Y665" t="s">
        <v>11</v>
      </c>
      <c r="Z665" t="s">
        <v>4316</v>
      </c>
      <c r="AA665" t="s">
        <v>4317</v>
      </c>
      <c r="AB665" t="s">
        <v>5325</v>
      </c>
      <c r="AD665" s="18">
        <v>46117</v>
      </c>
    </row>
    <row r="666" spans="1:30" ht="150" hidden="1">
      <c r="A666" s="1" t="s">
        <v>965</v>
      </c>
      <c r="B666" s="1">
        <v>1665</v>
      </c>
      <c r="C666" s="1">
        <v>13</v>
      </c>
      <c r="D666" s="1">
        <v>5</v>
      </c>
      <c r="E666" s="1" t="s">
        <v>4290</v>
      </c>
      <c r="F666" s="1" t="s">
        <v>4302</v>
      </c>
      <c r="G666" s="1" t="s">
        <v>20</v>
      </c>
      <c r="H666" s="1" t="s">
        <v>3053</v>
      </c>
      <c r="I666" s="1" t="s">
        <v>3054</v>
      </c>
      <c r="J666" s="1" t="s">
        <v>3055</v>
      </c>
      <c r="K666" s="1" t="s">
        <v>3056</v>
      </c>
      <c r="L666" s="1" t="s">
        <v>3057</v>
      </c>
      <c r="M666" s="1" t="s">
        <v>3058</v>
      </c>
      <c r="N666" s="1"/>
      <c r="O666" s="1" t="s">
        <v>9</v>
      </c>
      <c r="P666" s="1" t="s">
        <v>4202</v>
      </c>
      <c r="Q666" s="1"/>
      <c r="R666" s="1"/>
      <c r="S666" s="1"/>
      <c r="T666" s="1"/>
      <c r="U666" s="1">
        <v>1</v>
      </c>
      <c r="V666" s="1"/>
      <c r="W666" s="1"/>
      <c r="X666" s="1"/>
      <c r="Y666" t="s">
        <v>9</v>
      </c>
      <c r="Z666" t="s">
        <v>4316</v>
      </c>
      <c r="AA666" t="s">
        <v>4317</v>
      </c>
      <c r="AB666" t="s">
        <v>5326</v>
      </c>
      <c r="AC666" t="s">
        <v>5108</v>
      </c>
      <c r="AD666" s="18">
        <v>46117</v>
      </c>
    </row>
    <row r="667" spans="1:30" ht="285" hidden="1">
      <c r="A667" s="1" t="s">
        <v>965</v>
      </c>
      <c r="B667" s="1">
        <v>1666</v>
      </c>
      <c r="C667" s="1">
        <v>13</v>
      </c>
      <c r="D667" s="1">
        <v>6</v>
      </c>
      <c r="E667" s="1" t="s">
        <v>4295</v>
      </c>
      <c r="F667" s="1" t="s">
        <v>2580</v>
      </c>
      <c r="G667" s="1" t="s">
        <v>4294</v>
      </c>
      <c r="H667" s="1" t="s">
        <v>3059</v>
      </c>
      <c r="I667" s="1" t="s">
        <v>3060</v>
      </c>
      <c r="J667" s="1" t="s">
        <v>2648</v>
      </c>
      <c r="K667" s="1" t="s">
        <v>3061</v>
      </c>
      <c r="L667" s="1" t="s">
        <v>3062</v>
      </c>
      <c r="M667" s="1" t="s">
        <v>3063</v>
      </c>
      <c r="N667" s="1"/>
      <c r="O667" s="1" t="s">
        <v>8</v>
      </c>
      <c r="P667" s="1" t="s">
        <v>5530</v>
      </c>
      <c r="Q667" s="1"/>
      <c r="R667" s="1"/>
      <c r="S667" s="1"/>
      <c r="T667" s="1"/>
      <c r="U667" s="1">
        <v>1</v>
      </c>
      <c r="V667" s="1"/>
      <c r="W667" s="1"/>
      <c r="X667" s="1"/>
      <c r="Y667" t="s">
        <v>8</v>
      </c>
      <c r="Z667" t="s">
        <v>4316</v>
      </c>
      <c r="AA667" t="s">
        <v>4317</v>
      </c>
      <c r="AB667" t="s">
        <v>5327</v>
      </c>
      <c r="AC667" t="s">
        <v>5172</v>
      </c>
      <c r="AD667" s="18">
        <v>46117</v>
      </c>
    </row>
    <row r="668" spans="1:30" ht="120" hidden="1">
      <c r="A668" s="1" t="s">
        <v>965</v>
      </c>
      <c r="B668" s="1">
        <v>1667</v>
      </c>
      <c r="C668" s="1">
        <v>13</v>
      </c>
      <c r="D668" s="1">
        <v>7</v>
      </c>
      <c r="E668" s="1" t="s">
        <v>4305</v>
      </c>
      <c r="F668" s="1" t="s">
        <v>4306</v>
      </c>
      <c r="G668" s="1" t="s">
        <v>4294</v>
      </c>
      <c r="H668" s="1" t="s">
        <v>3064</v>
      </c>
      <c r="I668" s="1" t="s">
        <v>3065</v>
      </c>
      <c r="J668" s="1" t="s">
        <v>3066</v>
      </c>
      <c r="K668" s="1" t="s">
        <v>3067</v>
      </c>
      <c r="L668" s="1" t="s">
        <v>3068</v>
      </c>
      <c r="M668" s="1" t="s">
        <v>3069</v>
      </c>
      <c r="N668" s="1"/>
      <c r="O668" s="1" t="s">
        <v>8</v>
      </c>
      <c r="P668" s="1" t="s">
        <v>4203</v>
      </c>
      <c r="Q668" s="1"/>
      <c r="R668" s="1"/>
      <c r="S668" s="1"/>
      <c r="T668" s="1"/>
      <c r="U668" s="1"/>
      <c r="V668" s="1"/>
      <c r="W668" s="1"/>
      <c r="X668" s="1"/>
      <c r="Y668" t="s">
        <v>8</v>
      </c>
      <c r="Z668" t="s">
        <v>4316</v>
      </c>
      <c r="AA668" t="s">
        <v>4317</v>
      </c>
      <c r="AB668" t="s">
        <v>5328</v>
      </c>
      <c r="AC668" t="s">
        <v>5329</v>
      </c>
      <c r="AD668" s="18">
        <v>46117</v>
      </c>
    </row>
    <row r="669" spans="1:30" ht="315" hidden="1">
      <c r="A669" s="1" t="s">
        <v>965</v>
      </c>
      <c r="B669" s="1">
        <v>1668</v>
      </c>
      <c r="C669" s="1">
        <v>13</v>
      </c>
      <c r="D669" s="1">
        <v>8</v>
      </c>
      <c r="E669" s="1" t="s">
        <v>4297</v>
      </c>
      <c r="F669" s="1" t="s">
        <v>4299</v>
      </c>
      <c r="G669" s="1" t="s">
        <v>4294</v>
      </c>
      <c r="H669" s="1" t="s">
        <v>3070</v>
      </c>
      <c r="I669" s="1" t="s">
        <v>3071</v>
      </c>
      <c r="J669" s="1" t="s">
        <v>3072</v>
      </c>
      <c r="K669" s="1" t="s">
        <v>3073</v>
      </c>
      <c r="L669" s="1" t="s">
        <v>3074</v>
      </c>
      <c r="M669" s="1" t="s">
        <v>3075</v>
      </c>
      <c r="N669" s="1"/>
      <c r="O669" s="1" t="s">
        <v>7</v>
      </c>
      <c r="P669" s="1" t="s">
        <v>4204</v>
      </c>
      <c r="Q669" s="1"/>
      <c r="R669" s="1"/>
      <c r="S669" s="1"/>
      <c r="T669" s="1"/>
      <c r="U669" s="1"/>
      <c r="V669" s="1"/>
      <c r="W669" s="1"/>
      <c r="X669" s="1"/>
      <c r="Y669" t="s">
        <v>7</v>
      </c>
      <c r="Z669" t="s">
        <v>4316</v>
      </c>
      <c r="AA669" t="s">
        <v>4317</v>
      </c>
      <c r="AB669" t="s">
        <v>5330</v>
      </c>
      <c r="AC669" t="s">
        <v>4371</v>
      </c>
      <c r="AD669" s="18">
        <v>46117</v>
      </c>
    </row>
    <row r="670" spans="1:30" ht="135" hidden="1">
      <c r="A670" s="1" t="s">
        <v>965</v>
      </c>
      <c r="B670" s="1">
        <v>1669</v>
      </c>
      <c r="C670" s="1">
        <v>13</v>
      </c>
      <c r="D670" s="1">
        <v>9</v>
      </c>
      <c r="E670" s="1" t="s">
        <v>4290</v>
      </c>
      <c r="F670" s="1" t="s">
        <v>4302</v>
      </c>
      <c r="G670" s="1" t="s">
        <v>40</v>
      </c>
      <c r="H670" s="1" t="s">
        <v>3076</v>
      </c>
      <c r="I670" s="1" t="s">
        <v>3077</v>
      </c>
      <c r="J670" s="1" t="s">
        <v>3078</v>
      </c>
      <c r="K670" s="1" t="s">
        <v>3079</v>
      </c>
      <c r="L670" s="1" t="s">
        <v>3080</v>
      </c>
      <c r="M670" s="1" t="s">
        <v>3081</v>
      </c>
      <c r="N670" s="1"/>
      <c r="O670" s="1" t="s">
        <v>9</v>
      </c>
      <c r="P670" s="1" t="s">
        <v>4205</v>
      </c>
      <c r="Q670" s="1"/>
      <c r="R670" s="1"/>
      <c r="S670" s="1"/>
      <c r="T670" s="1"/>
      <c r="U670" s="1"/>
      <c r="V670" s="1"/>
      <c r="W670" s="1"/>
      <c r="X670" s="1"/>
      <c r="Y670" t="s">
        <v>9</v>
      </c>
      <c r="Z670" t="s">
        <v>4316</v>
      </c>
      <c r="AA670" t="s">
        <v>4317</v>
      </c>
      <c r="AB670" t="s">
        <v>5331</v>
      </c>
      <c r="AC670" t="s">
        <v>5108</v>
      </c>
      <c r="AD670" s="18">
        <v>46117</v>
      </c>
    </row>
    <row r="671" spans="1:30" ht="210" hidden="1">
      <c r="A671" s="1" t="s">
        <v>965</v>
      </c>
      <c r="B671" s="1">
        <v>1670</v>
      </c>
      <c r="C671" s="1">
        <v>13</v>
      </c>
      <c r="D671" s="1">
        <v>10</v>
      </c>
      <c r="E671" s="1" t="s">
        <v>4290</v>
      </c>
      <c r="F671" s="1" t="s">
        <v>4302</v>
      </c>
      <c r="G671" s="1" t="s">
        <v>4294</v>
      </c>
      <c r="H671" s="1" t="s">
        <v>3082</v>
      </c>
      <c r="I671" s="1" t="s">
        <v>3083</v>
      </c>
      <c r="J671" s="1" t="s">
        <v>153</v>
      </c>
      <c r="K671" s="1" t="s">
        <v>1634</v>
      </c>
      <c r="L671" s="1" t="s">
        <v>3084</v>
      </c>
      <c r="M671" s="1" t="s">
        <v>154</v>
      </c>
      <c r="N671" s="1"/>
      <c r="O671" s="1" t="s">
        <v>11</v>
      </c>
      <c r="P671" s="1" t="s">
        <v>4206</v>
      </c>
      <c r="Q671" s="1"/>
      <c r="R671" s="1"/>
      <c r="S671" s="1"/>
      <c r="T671" s="1"/>
      <c r="U671" s="1"/>
      <c r="V671" s="1"/>
      <c r="W671" s="1"/>
      <c r="X671" s="1"/>
      <c r="Y671" t="s">
        <v>11</v>
      </c>
      <c r="Z671" t="s">
        <v>4316</v>
      </c>
      <c r="AA671" t="s">
        <v>4317</v>
      </c>
      <c r="AB671" t="s">
        <v>5332</v>
      </c>
      <c r="AC671" t="s">
        <v>4327</v>
      </c>
      <c r="AD671" s="18">
        <v>46117</v>
      </c>
    </row>
    <row r="672" spans="1:30" ht="255" hidden="1">
      <c r="A672" s="1" t="s">
        <v>965</v>
      </c>
      <c r="B672" s="1">
        <v>1671</v>
      </c>
      <c r="C672" s="1">
        <v>13</v>
      </c>
      <c r="D672" s="1">
        <v>11</v>
      </c>
      <c r="E672" s="1" t="s">
        <v>4297</v>
      </c>
      <c r="F672" s="1" t="s">
        <v>4299</v>
      </c>
      <c r="G672" s="1" t="s">
        <v>4294</v>
      </c>
      <c r="H672" s="1" t="s">
        <v>3085</v>
      </c>
      <c r="I672" s="1" t="s">
        <v>3086</v>
      </c>
      <c r="J672" s="1" t="s">
        <v>3087</v>
      </c>
      <c r="K672" s="1" t="s">
        <v>3088</v>
      </c>
      <c r="L672" s="1" t="s">
        <v>3089</v>
      </c>
      <c r="M672" s="1" t="s">
        <v>3090</v>
      </c>
      <c r="N672" s="1"/>
      <c r="O672" s="1" t="s">
        <v>3936</v>
      </c>
      <c r="P672" s="1" t="s">
        <v>5531</v>
      </c>
      <c r="Q672" s="1"/>
      <c r="R672" s="1"/>
      <c r="S672" s="1"/>
      <c r="T672" s="1">
        <v>1</v>
      </c>
      <c r="U672" s="1"/>
      <c r="V672" s="1"/>
      <c r="W672" s="1"/>
      <c r="X672" s="1"/>
      <c r="Y672" t="s">
        <v>3936</v>
      </c>
      <c r="Z672" t="s">
        <v>4316</v>
      </c>
      <c r="AA672" t="s">
        <v>4317</v>
      </c>
      <c r="AB672" t="s">
        <v>5333</v>
      </c>
      <c r="AC672" t="s">
        <v>4887</v>
      </c>
      <c r="AD672" s="18">
        <v>46117</v>
      </c>
    </row>
    <row r="673" spans="1:30" ht="135" hidden="1">
      <c r="A673" s="1" t="s">
        <v>965</v>
      </c>
      <c r="B673" s="1">
        <v>1672</v>
      </c>
      <c r="C673" s="1">
        <v>13</v>
      </c>
      <c r="D673" s="1">
        <v>12</v>
      </c>
      <c r="E673" s="1" t="s">
        <v>4292</v>
      </c>
      <c r="F673" s="1" t="s">
        <v>4293</v>
      </c>
      <c r="G673" s="1" t="s">
        <v>40</v>
      </c>
      <c r="H673" s="1" t="s">
        <v>3091</v>
      </c>
      <c r="I673" s="1" t="s">
        <v>5532</v>
      </c>
      <c r="J673" s="1" t="s">
        <v>3092</v>
      </c>
      <c r="K673" s="1" t="s">
        <v>3093</v>
      </c>
      <c r="L673" s="1" t="s">
        <v>3094</v>
      </c>
      <c r="M673" s="1" t="s">
        <v>3095</v>
      </c>
      <c r="N673" s="1"/>
      <c r="O673" s="1" t="s">
        <v>7</v>
      </c>
      <c r="P673" s="1" t="s">
        <v>5533</v>
      </c>
      <c r="Q673" s="1"/>
      <c r="R673" s="1"/>
      <c r="S673" s="1"/>
      <c r="T673" s="1"/>
      <c r="U673" s="1"/>
      <c r="V673" s="1"/>
      <c r="W673" s="1"/>
      <c r="X673" s="1"/>
      <c r="Y673" t="s">
        <v>7</v>
      </c>
      <c r="Z673" t="s">
        <v>4316</v>
      </c>
      <c r="AA673" t="s">
        <v>4317</v>
      </c>
      <c r="AB673" t="s">
        <v>5334</v>
      </c>
      <c r="AC673" t="s">
        <v>4999</v>
      </c>
      <c r="AD673" s="18">
        <v>46117</v>
      </c>
    </row>
    <row r="674" spans="1:30" ht="210" hidden="1">
      <c r="A674" s="1" t="s">
        <v>965</v>
      </c>
      <c r="B674" s="1">
        <v>1673</v>
      </c>
      <c r="C674" s="1">
        <v>13</v>
      </c>
      <c r="D674" s="1">
        <v>13</v>
      </c>
      <c r="E674" s="1" t="s">
        <v>4297</v>
      </c>
      <c r="F674" s="1" t="s">
        <v>4300</v>
      </c>
      <c r="G674" s="1" t="s">
        <v>20</v>
      </c>
      <c r="H674" s="1" t="s">
        <v>3096</v>
      </c>
      <c r="I674" s="1" t="s">
        <v>3838</v>
      </c>
      <c r="J674" s="1" t="s">
        <v>3839</v>
      </c>
      <c r="K674" s="1" t="s">
        <v>3840</v>
      </c>
      <c r="L674" s="1" t="s">
        <v>3841</v>
      </c>
      <c r="M674" s="1" t="s">
        <v>3842</v>
      </c>
      <c r="N674" s="1"/>
      <c r="O674" s="1" t="s">
        <v>10</v>
      </c>
      <c r="P674" s="1" t="s">
        <v>4207</v>
      </c>
      <c r="Q674" s="1"/>
      <c r="R674" s="1"/>
      <c r="S674" s="1"/>
      <c r="T674" s="1"/>
      <c r="U674" s="1"/>
      <c r="V674" s="1"/>
      <c r="W674" s="1"/>
      <c r="X674" s="1"/>
      <c r="Y674" t="s">
        <v>10</v>
      </c>
      <c r="Z674" t="s">
        <v>4316</v>
      </c>
      <c r="AA674" t="s">
        <v>4317</v>
      </c>
      <c r="AB674" t="s">
        <v>5335</v>
      </c>
      <c r="AC674" t="s">
        <v>4344</v>
      </c>
      <c r="AD674" s="18">
        <v>46117</v>
      </c>
    </row>
    <row r="675" spans="1:30" ht="210" hidden="1">
      <c r="A675" s="1" t="s">
        <v>965</v>
      </c>
      <c r="B675" s="1">
        <v>1674</v>
      </c>
      <c r="C675" s="1">
        <v>13</v>
      </c>
      <c r="D675" s="1">
        <v>14</v>
      </c>
      <c r="E675" s="1" t="s">
        <v>4297</v>
      </c>
      <c r="F675" s="1" t="s">
        <v>4298</v>
      </c>
      <c r="G675" s="1" t="s">
        <v>40</v>
      </c>
      <c r="H675" s="1" t="s">
        <v>3097</v>
      </c>
      <c r="I675" s="1" t="s">
        <v>3843</v>
      </c>
      <c r="J675" s="1" t="s">
        <v>3844</v>
      </c>
      <c r="K675" s="1" t="s">
        <v>3845</v>
      </c>
      <c r="L675" s="1" t="s">
        <v>3846</v>
      </c>
      <c r="M675" s="1" t="s">
        <v>3847</v>
      </c>
      <c r="N675" s="1"/>
      <c r="O675" s="1" t="s">
        <v>4208</v>
      </c>
      <c r="P675" s="1" t="s">
        <v>4209</v>
      </c>
      <c r="Q675" s="1"/>
      <c r="R675" s="1"/>
      <c r="S675" s="1"/>
      <c r="T675" s="1">
        <v>1</v>
      </c>
      <c r="U675" s="1"/>
      <c r="V675" s="1"/>
      <c r="W675" s="1"/>
      <c r="X675" s="1"/>
      <c r="Y675" t="s">
        <v>4208</v>
      </c>
      <c r="Z675" t="s">
        <v>4316</v>
      </c>
      <c r="AA675" t="s">
        <v>4317</v>
      </c>
      <c r="AB675" t="s">
        <v>5336</v>
      </c>
      <c r="AD675" s="18">
        <v>46117</v>
      </c>
    </row>
    <row r="676" spans="1:30" ht="345" hidden="1">
      <c r="A676" s="1" t="s">
        <v>965</v>
      </c>
      <c r="B676" s="1">
        <v>1675</v>
      </c>
      <c r="C676" s="1">
        <v>13</v>
      </c>
      <c r="D676" s="1">
        <v>15</v>
      </c>
      <c r="E676" s="1" t="s">
        <v>4297</v>
      </c>
      <c r="F676" s="1" t="s">
        <v>4298</v>
      </c>
      <c r="G676" s="1" t="s">
        <v>20</v>
      </c>
      <c r="H676" s="1" t="s">
        <v>3098</v>
      </c>
      <c r="I676" s="1" t="s">
        <v>3848</v>
      </c>
      <c r="J676" s="1" t="s">
        <v>3849</v>
      </c>
      <c r="K676" s="1" t="s">
        <v>3850</v>
      </c>
      <c r="L676" s="1" t="s">
        <v>3050</v>
      </c>
      <c r="M676" s="1" t="s">
        <v>3049</v>
      </c>
      <c r="N676" s="1"/>
      <c r="O676" s="1" t="s">
        <v>10</v>
      </c>
      <c r="P676" s="1" t="s">
        <v>4210</v>
      </c>
      <c r="Q676" s="1"/>
      <c r="R676" s="1"/>
      <c r="S676" s="1"/>
      <c r="T676" s="1">
        <v>1</v>
      </c>
      <c r="U676" s="1"/>
      <c r="V676" s="1"/>
      <c r="W676" s="1"/>
      <c r="X676" s="1"/>
      <c r="Y676" t="s">
        <v>10</v>
      </c>
      <c r="Z676" t="s">
        <v>4316</v>
      </c>
      <c r="AA676" t="s">
        <v>4317</v>
      </c>
      <c r="AB676" t="s">
        <v>5337</v>
      </c>
      <c r="AC676" t="s">
        <v>5338</v>
      </c>
      <c r="AD676" s="18">
        <v>46117</v>
      </c>
    </row>
    <row r="677" spans="1:30" ht="120" hidden="1">
      <c r="A677" s="1" t="s">
        <v>965</v>
      </c>
      <c r="B677" s="1">
        <v>1676</v>
      </c>
      <c r="C677" s="1">
        <v>13</v>
      </c>
      <c r="D677" s="1">
        <v>16</v>
      </c>
      <c r="E677" s="1" t="s">
        <v>4290</v>
      </c>
      <c r="F677" s="1" t="s">
        <v>4302</v>
      </c>
      <c r="G677" s="1" t="s">
        <v>20</v>
      </c>
      <c r="H677" s="1" t="s">
        <v>3099</v>
      </c>
      <c r="I677" s="1" t="s">
        <v>3100</v>
      </c>
      <c r="J677" s="1" t="s">
        <v>3101</v>
      </c>
      <c r="K677" s="1" t="s">
        <v>3102</v>
      </c>
      <c r="L677" s="1" t="s">
        <v>3103</v>
      </c>
      <c r="M677" s="1" t="s">
        <v>3104</v>
      </c>
      <c r="N677" s="1"/>
      <c r="O677" s="1" t="s">
        <v>9</v>
      </c>
      <c r="P677" s="1" t="s">
        <v>4211</v>
      </c>
      <c r="Q677" s="1"/>
      <c r="R677" s="1"/>
      <c r="S677" s="1"/>
      <c r="T677" s="1">
        <v>1</v>
      </c>
      <c r="U677" s="1"/>
      <c r="V677" s="1"/>
      <c r="W677" s="1"/>
      <c r="X677" s="1"/>
      <c r="Y677" t="s">
        <v>9</v>
      </c>
      <c r="Z677" t="s">
        <v>4316</v>
      </c>
      <c r="AA677" t="s">
        <v>4317</v>
      </c>
      <c r="AB677" t="s">
        <v>5339</v>
      </c>
      <c r="AC677" t="s">
        <v>5340</v>
      </c>
      <c r="AD677" s="18">
        <v>46117</v>
      </c>
    </row>
    <row r="678" spans="1:30" ht="285">
      <c r="A678" s="1" t="s">
        <v>965</v>
      </c>
      <c r="B678" s="1">
        <v>1677</v>
      </c>
      <c r="C678" s="1">
        <v>13</v>
      </c>
      <c r="D678" s="1">
        <v>17</v>
      </c>
      <c r="E678" s="1" t="s">
        <v>4297</v>
      </c>
      <c r="F678" s="1" t="s">
        <v>4298</v>
      </c>
      <c r="G678" s="1" t="s">
        <v>4294</v>
      </c>
      <c r="H678" s="1" t="s">
        <v>5534</v>
      </c>
      <c r="I678" s="1" t="s">
        <v>3105</v>
      </c>
      <c r="J678" s="1" t="s">
        <v>3106</v>
      </c>
      <c r="K678" s="1" t="s">
        <v>3107</v>
      </c>
      <c r="L678" s="1" t="s">
        <v>3108</v>
      </c>
      <c r="M678" s="1" t="s">
        <v>3109</v>
      </c>
      <c r="N678" s="1"/>
      <c r="O678" s="1" t="s">
        <v>4208</v>
      </c>
      <c r="P678" s="1" t="s">
        <v>4212</v>
      </c>
      <c r="Q678" s="1"/>
      <c r="R678" s="1"/>
      <c r="S678" s="1"/>
      <c r="T678" s="1">
        <v>1</v>
      </c>
      <c r="U678" s="1"/>
      <c r="V678" s="1"/>
      <c r="W678" s="1"/>
      <c r="X678" s="1"/>
      <c r="Y678" t="s">
        <v>3936</v>
      </c>
      <c r="Z678" t="s">
        <v>4331</v>
      </c>
      <c r="AA678" t="s">
        <v>4332</v>
      </c>
      <c r="AB678" t="s">
        <v>5341</v>
      </c>
      <c r="AC678" t="s">
        <v>5342</v>
      </c>
      <c r="AD678" s="18">
        <v>46117</v>
      </c>
    </row>
    <row r="679" spans="1:30" ht="255" hidden="1">
      <c r="A679" s="1" t="s">
        <v>965</v>
      </c>
      <c r="B679" s="1">
        <v>1678</v>
      </c>
      <c r="C679" s="1">
        <v>13</v>
      </c>
      <c r="D679" s="1">
        <v>18</v>
      </c>
      <c r="E679" s="1" t="s">
        <v>4297</v>
      </c>
      <c r="F679" s="1" t="s">
        <v>4301</v>
      </c>
      <c r="G679" s="1" t="s">
        <v>40</v>
      </c>
      <c r="H679" s="1" t="s">
        <v>3110</v>
      </c>
      <c r="I679" s="1" t="s">
        <v>3111</v>
      </c>
      <c r="J679" s="1" t="s">
        <v>3112</v>
      </c>
      <c r="K679" s="1" t="s">
        <v>3113</v>
      </c>
      <c r="L679" s="1" t="s">
        <v>3114</v>
      </c>
      <c r="M679" s="1" t="s">
        <v>3115</v>
      </c>
      <c r="N679" s="1"/>
      <c r="O679" s="1" t="s">
        <v>10</v>
      </c>
      <c r="P679" s="1" t="s">
        <v>4213</v>
      </c>
      <c r="Q679" s="1"/>
      <c r="R679" s="1"/>
      <c r="S679" s="1"/>
      <c r="T679" s="1"/>
      <c r="U679" s="1"/>
      <c r="V679" s="1"/>
      <c r="W679" s="1"/>
      <c r="X679" s="1"/>
      <c r="Y679" t="s">
        <v>10</v>
      </c>
      <c r="Z679" t="s">
        <v>4316</v>
      </c>
      <c r="AA679" t="s">
        <v>4317</v>
      </c>
      <c r="AB679" t="s">
        <v>5343</v>
      </c>
      <c r="AC679" t="s">
        <v>4979</v>
      </c>
      <c r="AD679" s="18">
        <v>46117</v>
      </c>
    </row>
    <row r="680" spans="1:30" ht="135" hidden="1">
      <c r="A680" s="1" t="s">
        <v>965</v>
      </c>
      <c r="B680" s="1">
        <v>1679</v>
      </c>
      <c r="C680" s="1">
        <v>13</v>
      </c>
      <c r="D680" s="1">
        <v>19</v>
      </c>
      <c r="E680" s="1" t="s">
        <v>4295</v>
      </c>
      <c r="F680" s="1" t="s">
        <v>4296</v>
      </c>
      <c r="G680" s="1" t="s">
        <v>40</v>
      </c>
      <c r="H680" s="1" t="s">
        <v>3116</v>
      </c>
      <c r="I680" s="1" t="s">
        <v>3117</v>
      </c>
      <c r="J680" s="1" t="s">
        <v>3118</v>
      </c>
      <c r="K680" s="1" t="s">
        <v>3119</v>
      </c>
      <c r="L680" s="1" t="s">
        <v>3120</v>
      </c>
      <c r="M680" s="1" t="s">
        <v>3121</v>
      </c>
      <c r="N680" s="1"/>
      <c r="O680" s="1" t="s">
        <v>7</v>
      </c>
      <c r="P680" s="1" t="s">
        <v>4214</v>
      </c>
      <c r="Q680" s="1"/>
      <c r="R680" s="1"/>
      <c r="S680" s="1"/>
      <c r="T680" s="1"/>
      <c r="U680" s="1"/>
      <c r="V680" s="1"/>
      <c r="W680" s="1"/>
      <c r="X680" s="1"/>
      <c r="Y680" t="s">
        <v>7</v>
      </c>
      <c r="Z680" t="s">
        <v>4316</v>
      </c>
      <c r="AA680" t="s">
        <v>4317</v>
      </c>
      <c r="AB680" t="s">
        <v>5344</v>
      </c>
      <c r="AC680" t="s">
        <v>5153</v>
      </c>
      <c r="AD680" s="18">
        <v>46117</v>
      </c>
    </row>
    <row r="681" spans="1:30" ht="210" hidden="1">
      <c r="A681" s="1" t="s">
        <v>965</v>
      </c>
      <c r="B681" s="1">
        <v>1680</v>
      </c>
      <c r="C681" s="1">
        <v>13</v>
      </c>
      <c r="D681" s="1">
        <v>20</v>
      </c>
      <c r="E681" s="1" t="s">
        <v>4305</v>
      </c>
      <c r="F681" s="1" t="s">
        <v>4307</v>
      </c>
      <c r="G681" s="1" t="s">
        <v>40</v>
      </c>
      <c r="H681" s="1" t="s">
        <v>3122</v>
      </c>
      <c r="I681" s="1" t="s">
        <v>3123</v>
      </c>
      <c r="J681" s="1" t="s">
        <v>3124</v>
      </c>
      <c r="K681" s="1" t="s">
        <v>3125</v>
      </c>
      <c r="L681" s="1" t="s">
        <v>3126</v>
      </c>
      <c r="M681" s="1" t="s">
        <v>3127</v>
      </c>
      <c r="N681" s="1"/>
      <c r="O681" s="1" t="s">
        <v>11</v>
      </c>
      <c r="P681" s="1" t="s">
        <v>5535</v>
      </c>
      <c r="Q681" s="1"/>
      <c r="R681" s="1"/>
      <c r="S681" s="1"/>
      <c r="T681" s="1"/>
      <c r="U681" s="1"/>
      <c r="V681" s="1"/>
      <c r="W681" s="1"/>
      <c r="X681" s="1"/>
      <c r="Y681" t="s">
        <v>11</v>
      </c>
      <c r="Z681" t="s">
        <v>4316</v>
      </c>
      <c r="AA681" t="s">
        <v>4317</v>
      </c>
      <c r="AB681" t="s">
        <v>5345</v>
      </c>
      <c r="AC681" t="s">
        <v>4871</v>
      </c>
      <c r="AD681" s="18">
        <v>46117</v>
      </c>
    </row>
    <row r="682" spans="1:30" ht="150" hidden="1">
      <c r="A682" s="1" t="s">
        <v>965</v>
      </c>
      <c r="B682" s="1">
        <v>1681</v>
      </c>
      <c r="C682" s="1">
        <v>13</v>
      </c>
      <c r="D682" s="1">
        <v>21</v>
      </c>
      <c r="E682" s="1" t="s">
        <v>4292</v>
      </c>
      <c r="F682" s="1" t="s">
        <v>4303</v>
      </c>
      <c r="G682" s="1" t="s">
        <v>20</v>
      </c>
      <c r="H682" s="1" t="s">
        <v>3128</v>
      </c>
      <c r="I682" s="1" t="s">
        <v>3129</v>
      </c>
      <c r="J682" s="1" t="s">
        <v>3130</v>
      </c>
      <c r="K682" s="1" t="s">
        <v>3131</v>
      </c>
      <c r="L682" s="1" t="s">
        <v>3132</v>
      </c>
      <c r="M682" s="1" t="s">
        <v>3133</v>
      </c>
      <c r="N682" s="1"/>
      <c r="O682" s="1" t="s">
        <v>10</v>
      </c>
      <c r="P682" s="1" t="s">
        <v>4215</v>
      </c>
      <c r="Q682" s="1"/>
      <c r="R682" s="1"/>
      <c r="S682" s="1"/>
      <c r="T682" s="1">
        <v>1</v>
      </c>
      <c r="U682" s="1"/>
      <c r="V682" s="1"/>
      <c r="W682" s="1"/>
      <c r="X682" s="1"/>
      <c r="Y682" t="s">
        <v>10</v>
      </c>
      <c r="Z682" t="s">
        <v>4316</v>
      </c>
      <c r="AA682" t="s">
        <v>4317</v>
      </c>
      <c r="AB682" t="s">
        <v>5346</v>
      </c>
      <c r="AC682" t="s">
        <v>5193</v>
      </c>
      <c r="AD682" s="18">
        <v>46117</v>
      </c>
    </row>
    <row r="683" spans="1:30" ht="285" hidden="1">
      <c r="A683" s="1" t="s">
        <v>965</v>
      </c>
      <c r="B683" s="1">
        <v>1682</v>
      </c>
      <c r="C683" s="1">
        <v>13</v>
      </c>
      <c r="D683" s="1">
        <v>22</v>
      </c>
      <c r="E683" s="1" t="s">
        <v>4297</v>
      </c>
      <c r="F683" s="1" t="s">
        <v>4298</v>
      </c>
      <c r="G683" s="1" t="s">
        <v>4294</v>
      </c>
      <c r="H683" s="1" t="s">
        <v>3134</v>
      </c>
      <c r="I683" s="1" t="s">
        <v>3851</v>
      </c>
      <c r="J683" s="1" t="s">
        <v>3852</v>
      </c>
      <c r="K683" s="1" t="s">
        <v>3853</v>
      </c>
      <c r="L683" s="1" t="s">
        <v>3854</v>
      </c>
      <c r="M683" s="1" t="s">
        <v>3855</v>
      </c>
      <c r="N683" s="1"/>
      <c r="O683" s="1" t="s">
        <v>7</v>
      </c>
      <c r="P683" s="1" t="s">
        <v>4216</v>
      </c>
      <c r="Q683" s="1"/>
      <c r="R683" s="1"/>
      <c r="S683" s="1"/>
      <c r="T683" s="1">
        <v>1</v>
      </c>
      <c r="U683" s="1"/>
      <c r="V683" s="1"/>
      <c r="W683" s="1"/>
      <c r="X683" s="1"/>
      <c r="Y683" t="s">
        <v>7</v>
      </c>
      <c r="Z683" t="s">
        <v>4316</v>
      </c>
      <c r="AA683" t="s">
        <v>4317</v>
      </c>
      <c r="AB683" t="s">
        <v>5347</v>
      </c>
      <c r="AD683" s="18">
        <v>46117</v>
      </c>
    </row>
    <row r="684" spans="1:30" ht="195" hidden="1">
      <c r="A684" s="1" t="s">
        <v>965</v>
      </c>
      <c r="B684" s="1">
        <v>1683</v>
      </c>
      <c r="C684" s="1">
        <v>13</v>
      </c>
      <c r="D684" s="1">
        <v>23</v>
      </c>
      <c r="E684" s="1" t="s">
        <v>4297</v>
      </c>
      <c r="F684" s="1" t="s">
        <v>4298</v>
      </c>
      <c r="G684" s="1" t="s">
        <v>40</v>
      </c>
      <c r="H684" s="1" t="s">
        <v>3135</v>
      </c>
      <c r="I684" s="1" t="s">
        <v>3136</v>
      </c>
      <c r="J684" s="1" t="s">
        <v>3137</v>
      </c>
      <c r="K684" s="1" t="s">
        <v>3138</v>
      </c>
      <c r="L684" s="1" t="s">
        <v>3139</v>
      </c>
      <c r="M684" s="1" t="s">
        <v>3140</v>
      </c>
      <c r="N684" s="1"/>
      <c r="O684" s="1" t="s">
        <v>10</v>
      </c>
      <c r="P684" s="1" t="s">
        <v>4217</v>
      </c>
      <c r="Q684" s="1"/>
      <c r="R684" s="1"/>
      <c r="S684" s="1"/>
      <c r="T684" s="1">
        <v>1</v>
      </c>
      <c r="U684" s="1"/>
      <c r="V684" s="1"/>
      <c r="W684" s="1"/>
      <c r="X684" s="1"/>
      <c r="Y684" t="s">
        <v>10</v>
      </c>
      <c r="Z684" t="s">
        <v>4316</v>
      </c>
      <c r="AA684" t="s">
        <v>4317</v>
      </c>
      <c r="AB684" t="s">
        <v>5348</v>
      </c>
      <c r="AC684" t="s">
        <v>5349</v>
      </c>
      <c r="AD684" s="18">
        <v>46117</v>
      </c>
    </row>
    <row r="685" spans="1:30" ht="90" hidden="1">
      <c r="A685" s="1" t="s">
        <v>965</v>
      </c>
      <c r="B685" s="1">
        <v>1684</v>
      </c>
      <c r="C685" s="1">
        <v>13</v>
      </c>
      <c r="D685" s="1">
        <v>24</v>
      </c>
      <c r="E685" s="1" t="s">
        <v>4292</v>
      </c>
      <c r="F685" s="1" t="s">
        <v>4293</v>
      </c>
      <c r="G685" s="1" t="s">
        <v>40</v>
      </c>
      <c r="H685" s="1" t="s">
        <v>5536</v>
      </c>
      <c r="I685" s="1" t="s">
        <v>3141</v>
      </c>
      <c r="J685" s="1" t="s">
        <v>3142</v>
      </c>
      <c r="K685" s="1" t="s">
        <v>3143</v>
      </c>
      <c r="L685" s="1" t="s">
        <v>3144</v>
      </c>
      <c r="M685" s="1" t="s">
        <v>3145</v>
      </c>
      <c r="N685" s="1"/>
      <c r="O685" s="1" t="s">
        <v>9</v>
      </c>
      <c r="P685" s="1" t="s">
        <v>4218</v>
      </c>
      <c r="Q685" s="1"/>
      <c r="R685" s="1"/>
      <c r="S685" s="1"/>
      <c r="T685" s="1"/>
      <c r="U685" s="1">
        <v>1</v>
      </c>
      <c r="V685" s="1"/>
      <c r="W685" s="1"/>
      <c r="X685" s="1"/>
      <c r="Y685" t="s">
        <v>9</v>
      </c>
      <c r="Z685" t="s">
        <v>4316</v>
      </c>
      <c r="AA685" t="s">
        <v>4317</v>
      </c>
      <c r="AB685" t="s">
        <v>5350</v>
      </c>
      <c r="AC685" t="s">
        <v>4441</v>
      </c>
      <c r="AD685" s="18">
        <v>46117</v>
      </c>
    </row>
    <row r="686" spans="1:30" ht="405" hidden="1">
      <c r="A686" s="1" t="s">
        <v>965</v>
      </c>
      <c r="B686" s="1">
        <v>1685</v>
      </c>
      <c r="C686" s="1">
        <v>13</v>
      </c>
      <c r="D686" s="1">
        <v>25</v>
      </c>
      <c r="E686" s="1" t="s">
        <v>4292</v>
      </c>
      <c r="F686" s="1" t="s">
        <v>4293</v>
      </c>
      <c r="G686" s="1" t="s">
        <v>40</v>
      </c>
      <c r="H686" s="1" t="s">
        <v>5537</v>
      </c>
      <c r="I686" s="1" t="s">
        <v>3146</v>
      </c>
      <c r="J686" s="1" t="s">
        <v>3147</v>
      </c>
      <c r="K686" s="1" t="s">
        <v>3148</v>
      </c>
      <c r="L686" s="1" t="s">
        <v>3149</v>
      </c>
      <c r="M686" s="1" t="s">
        <v>3150</v>
      </c>
      <c r="N686" s="1"/>
      <c r="O686" s="1" t="s">
        <v>8</v>
      </c>
      <c r="P686" s="1" t="s">
        <v>5538</v>
      </c>
      <c r="Q686" s="1"/>
      <c r="R686" s="1"/>
      <c r="S686" s="1"/>
      <c r="T686" s="1"/>
      <c r="U686" s="1"/>
      <c r="V686" s="1"/>
      <c r="W686" s="1"/>
      <c r="X686" s="1" t="s">
        <v>4219</v>
      </c>
      <c r="Y686" t="s">
        <v>8</v>
      </c>
      <c r="Z686" t="s">
        <v>4316</v>
      </c>
      <c r="AA686" t="s">
        <v>4317</v>
      </c>
      <c r="AB686" t="s">
        <v>5351</v>
      </c>
      <c r="AC686" t="s">
        <v>4823</v>
      </c>
      <c r="AD686" s="18">
        <v>46117</v>
      </c>
    </row>
    <row r="687" spans="1:30" ht="375" hidden="1">
      <c r="A687" s="1" t="s">
        <v>965</v>
      </c>
      <c r="B687" s="1">
        <v>1686</v>
      </c>
      <c r="C687" s="1">
        <v>13</v>
      </c>
      <c r="D687" s="1">
        <v>26</v>
      </c>
      <c r="E687" s="1" t="s">
        <v>4297</v>
      </c>
      <c r="F687" s="1" t="s">
        <v>4298</v>
      </c>
      <c r="G687" s="1" t="s">
        <v>20</v>
      </c>
      <c r="H687" s="1" t="s">
        <v>3151</v>
      </c>
      <c r="I687" s="1" t="s">
        <v>3856</v>
      </c>
      <c r="J687" s="1" t="s">
        <v>3857</v>
      </c>
      <c r="K687" s="1" t="s">
        <v>3858</v>
      </c>
      <c r="L687" s="1" t="s">
        <v>3859</v>
      </c>
      <c r="M687" s="1" t="s">
        <v>3860</v>
      </c>
      <c r="N687" s="1"/>
      <c r="O687" s="1" t="s">
        <v>7</v>
      </c>
      <c r="P687" s="1" t="s">
        <v>4220</v>
      </c>
      <c r="Q687" s="1"/>
      <c r="R687" s="1"/>
      <c r="S687" s="1"/>
      <c r="T687" s="1"/>
      <c r="U687" s="1">
        <v>1</v>
      </c>
      <c r="V687" s="1"/>
      <c r="W687" s="1"/>
      <c r="X687" s="1"/>
      <c r="Y687" t="s">
        <v>7</v>
      </c>
      <c r="Z687" t="s">
        <v>4316</v>
      </c>
      <c r="AA687" t="s">
        <v>4317</v>
      </c>
      <c r="AB687" t="s">
        <v>5352</v>
      </c>
      <c r="AD687" s="18">
        <v>46117</v>
      </c>
    </row>
    <row r="688" spans="1:30" ht="409.5" hidden="1">
      <c r="A688" s="1" t="s">
        <v>965</v>
      </c>
      <c r="B688" s="1">
        <v>1687</v>
      </c>
      <c r="C688" s="1">
        <v>13</v>
      </c>
      <c r="D688" s="1">
        <v>27</v>
      </c>
      <c r="E688" s="1" t="s">
        <v>4295</v>
      </c>
      <c r="F688" s="1" t="s">
        <v>4296</v>
      </c>
      <c r="G688" s="1" t="s">
        <v>4294</v>
      </c>
      <c r="H688" s="1" t="s">
        <v>3152</v>
      </c>
      <c r="I688" s="1" t="s">
        <v>3153</v>
      </c>
      <c r="J688" s="1" t="s">
        <v>3154</v>
      </c>
      <c r="K688" s="1" t="s">
        <v>5539</v>
      </c>
      <c r="L688" s="1" t="s">
        <v>3155</v>
      </c>
      <c r="M688" s="1" t="s">
        <v>3156</v>
      </c>
      <c r="N688" s="1" t="s">
        <v>3157</v>
      </c>
      <c r="O688" s="1" t="s">
        <v>11</v>
      </c>
      <c r="P688" s="1" t="s">
        <v>4221</v>
      </c>
      <c r="Q688" s="1"/>
      <c r="R688" s="1"/>
      <c r="S688" s="1"/>
      <c r="T688" s="1"/>
      <c r="U688" s="1">
        <v>1</v>
      </c>
      <c r="V688" s="1"/>
      <c r="W688" s="1"/>
      <c r="X688" s="1"/>
      <c r="Z688" t="s">
        <v>4386</v>
      </c>
      <c r="AB688" t="s">
        <v>5353</v>
      </c>
      <c r="AC688" t="s">
        <v>4354</v>
      </c>
      <c r="AD688" s="18">
        <v>46117</v>
      </c>
    </row>
    <row r="689" spans="1:30" ht="409.5" hidden="1">
      <c r="A689" s="1" t="s">
        <v>965</v>
      </c>
      <c r="B689" s="1">
        <v>1688</v>
      </c>
      <c r="C689" s="1">
        <v>13</v>
      </c>
      <c r="D689" s="1">
        <v>28</v>
      </c>
      <c r="E689" s="1" t="s">
        <v>4292</v>
      </c>
      <c r="F689" s="1" t="s">
        <v>4293</v>
      </c>
      <c r="G689" s="1" t="s">
        <v>40</v>
      </c>
      <c r="H689" s="1" t="s">
        <v>3158</v>
      </c>
      <c r="I689" s="1" t="s">
        <v>3159</v>
      </c>
      <c r="J689" s="1" t="s">
        <v>3160</v>
      </c>
      <c r="K689" s="1" t="s">
        <v>3161</v>
      </c>
      <c r="L689" s="1" t="s">
        <v>3162</v>
      </c>
      <c r="M689" s="1" t="s">
        <v>3163</v>
      </c>
      <c r="N689" s="1"/>
      <c r="O689" s="1" t="s">
        <v>7</v>
      </c>
      <c r="P689" s="1" t="s">
        <v>4222</v>
      </c>
      <c r="Q689" s="1"/>
      <c r="R689" s="1"/>
      <c r="S689" s="1"/>
      <c r="T689" s="1"/>
      <c r="U689" s="1">
        <v>1</v>
      </c>
      <c r="V689" s="1"/>
      <c r="W689" s="1"/>
      <c r="X689" s="1"/>
      <c r="Y689" t="s">
        <v>7</v>
      </c>
      <c r="Z689" t="s">
        <v>4316</v>
      </c>
      <c r="AA689" t="s">
        <v>4317</v>
      </c>
      <c r="AB689" t="s">
        <v>5354</v>
      </c>
      <c r="AC689" t="s">
        <v>4444</v>
      </c>
      <c r="AD689" s="18">
        <v>46117</v>
      </c>
    </row>
    <row r="690" spans="1:30" ht="409.5" hidden="1">
      <c r="A690" s="1" t="s">
        <v>965</v>
      </c>
      <c r="B690" s="1">
        <v>1689</v>
      </c>
      <c r="C690" s="1">
        <v>13</v>
      </c>
      <c r="D690" s="1">
        <v>29</v>
      </c>
      <c r="E690" s="1" t="s">
        <v>4297</v>
      </c>
      <c r="F690" s="1" t="s">
        <v>4298</v>
      </c>
      <c r="G690" s="1" t="s">
        <v>4294</v>
      </c>
      <c r="H690" s="1" t="s">
        <v>3554</v>
      </c>
      <c r="I690" s="1" t="s">
        <v>3555</v>
      </c>
      <c r="J690" s="1" t="s">
        <v>3556</v>
      </c>
      <c r="K690" s="1" t="s">
        <v>3557</v>
      </c>
      <c r="L690" s="1" t="s">
        <v>3558</v>
      </c>
      <c r="M690" s="1" t="s">
        <v>3559</v>
      </c>
      <c r="N690" s="1"/>
      <c r="O690" s="1" t="s">
        <v>9</v>
      </c>
      <c r="P690" s="1" t="s">
        <v>4223</v>
      </c>
      <c r="Q690" s="1"/>
      <c r="R690" s="1"/>
      <c r="S690" s="1"/>
      <c r="T690" s="1"/>
      <c r="U690" s="1">
        <v>1</v>
      </c>
      <c r="V690" s="1"/>
      <c r="W690" s="1"/>
      <c r="X690" s="1"/>
      <c r="Y690" t="s">
        <v>9</v>
      </c>
      <c r="Z690" t="s">
        <v>4316</v>
      </c>
      <c r="AA690" t="s">
        <v>4317</v>
      </c>
      <c r="AB690" t="s">
        <v>5355</v>
      </c>
      <c r="AC690" t="s">
        <v>4338</v>
      </c>
      <c r="AD690" s="18">
        <v>46117</v>
      </c>
    </row>
    <row r="691" spans="1:30" ht="409.5" hidden="1">
      <c r="A691" s="1" t="s">
        <v>965</v>
      </c>
      <c r="B691" s="1">
        <v>1690</v>
      </c>
      <c r="C691" s="1">
        <v>13</v>
      </c>
      <c r="D691" s="1">
        <v>30</v>
      </c>
      <c r="E691" s="1" t="s">
        <v>4292</v>
      </c>
      <c r="F691" s="1" t="s">
        <v>4293</v>
      </c>
      <c r="G691" s="1" t="s">
        <v>4294</v>
      </c>
      <c r="H691" s="1" t="s">
        <v>3164</v>
      </c>
      <c r="I691" s="1" t="s">
        <v>3165</v>
      </c>
      <c r="J691" s="1" t="s">
        <v>3166</v>
      </c>
      <c r="K691" s="1" t="s">
        <v>3167</v>
      </c>
      <c r="L691" s="1" t="s">
        <v>3168</v>
      </c>
      <c r="M691" s="1" t="s">
        <v>3169</v>
      </c>
      <c r="N691" s="1"/>
      <c r="O691" s="1" t="s">
        <v>9</v>
      </c>
      <c r="P691" s="1" t="s">
        <v>4224</v>
      </c>
      <c r="Q691" s="1"/>
      <c r="R691" s="1"/>
      <c r="S691" s="1"/>
      <c r="T691" s="1"/>
      <c r="U691" s="1"/>
      <c r="V691" s="1"/>
      <c r="W691" s="1"/>
      <c r="X691" s="1"/>
      <c r="Y691" t="s">
        <v>9</v>
      </c>
      <c r="Z691" t="s">
        <v>4316</v>
      </c>
      <c r="AA691" t="s">
        <v>4317</v>
      </c>
      <c r="AB691" t="s">
        <v>5356</v>
      </c>
      <c r="AC691" t="s">
        <v>4823</v>
      </c>
      <c r="AD691" s="18">
        <v>46117</v>
      </c>
    </row>
    <row r="692" spans="1:30" ht="330" hidden="1">
      <c r="A692" s="1" t="s">
        <v>965</v>
      </c>
      <c r="B692" s="1">
        <v>1691</v>
      </c>
      <c r="C692" s="1">
        <v>13</v>
      </c>
      <c r="D692" s="1">
        <v>31</v>
      </c>
      <c r="E692" s="1" t="s">
        <v>4290</v>
      </c>
      <c r="F692" s="1" t="s">
        <v>4302</v>
      </c>
      <c r="G692" s="1" t="s">
        <v>20</v>
      </c>
      <c r="H692" s="1" t="s">
        <v>3170</v>
      </c>
      <c r="I692" s="1" t="s">
        <v>3171</v>
      </c>
      <c r="J692" s="1" t="s">
        <v>3172</v>
      </c>
      <c r="K692" s="1" t="s">
        <v>3173</v>
      </c>
      <c r="L692" s="1" t="s">
        <v>3174</v>
      </c>
      <c r="M692" s="1" t="s">
        <v>3175</v>
      </c>
      <c r="N692" s="1"/>
      <c r="O692" s="1" t="s">
        <v>10</v>
      </c>
      <c r="P692" s="1" t="s">
        <v>4225</v>
      </c>
      <c r="Q692" s="1"/>
      <c r="R692" s="1"/>
      <c r="S692" s="1"/>
      <c r="T692" s="1"/>
      <c r="U692" s="1"/>
      <c r="V692" s="1"/>
      <c r="W692" s="1"/>
      <c r="X692" s="1"/>
      <c r="Y692" t="s">
        <v>10</v>
      </c>
      <c r="Z692" t="s">
        <v>4316</v>
      </c>
      <c r="AA692" t="s">
        <v>4317</v>
      </c>
      <c r="AB692" t="s">
        <v>5357</v>
      </c>
      <c r="AC692" t="s">
        <v>4371</v>
      </c>
      <c r="AD692" s="18">
        <v>46117</v>
      </c>
    </row>
    <row r="693" spans="1:30" ht="180" hidden="1">
      <c r="A693" s="1" t="s">
        <v>965</v>
      </c>
      <c r="B693" s="1">
        <v>1692</v>
      </c>
      <c r="C693" s="1">
        <v>13</v>
      </c>
      <c r="D693" s="1">
        <v>32</v>
      </c>
      <c r="E693" s="1" t="s">
        <v>4297</v>
      </c>
      <c r="F693" s="1" t="s">
        <v>4298</v>
      </c>
      <c r="G693" s="1" t="s">
        <v>4294</v>
      </c>
      <c r="H693" s="1" t="s">
        <v>3176</v>
      </c>
      <c r="I693" s="1" t="s">
        <v>3861</v>
      </c>
      <c r="J693" s="1" t="s">
        <v>3862</v>
      </c>
      <c r="K693" s="1" t="s">
        <v>3863</v>
      </c>
      <c r="L693" s="1" t="s">
        <v>3864</v>
      </c>
      <c r="M693" s="1"/>
      <c r="N693" s="1"/>
      <c r="O693" s="1" t="s">
        <v>8</v>
      </c>
      <c r="P693" s="1" t="s">
        <v>4226</v>
      </c>
      <c r="Q693" s="1"/>
      <c r="R693" s="1"/>
      <c r="S693" s="1"/>
      <c r="T693" s="1"/>
      <c r="U693" s="1"/>
      <c r="V693" s="1"/>
      <c r="W693" s="1"/>
      <c r="X693" s="1"/>
      <c r="Y693" t="s">
        <v>8</v>
      </c>
      <c r="Z693" t="s">
        <v>4316</v>
      </c>
      <c r="AA693" t="s">
        <v>4317</v>
      </c>
      <c r="AB693" t="s">
        <v>5358</v>
      </c>
      <c r="AC693" t="s">
        <v>4330</v>
      </c>
      <c r="AD693" s="18">
        <v>46117</v>
      </c>
    </row>
    <row r="694" spans="1:30" ht="345" hidden="1">
      <c r="A694" s="1" t="s">
        <v>965</v>
      </c>
      <c r="B694" s="1">
        <v>1693</v>
      </c>
      <c r="C694" s="1">
        <v>13</v>
      </c>
      <c r="D694" s="1">
        <v>33</v>
      </c>
      <c r="E694" s="1" t="s">
        <v>4292</v>
      </c>
      <c r="F694" s="1" t="s">
        <v>4304</v>
      </c>
      <c r="G694" s="1" t="s">
        <v>40</v>
      </c>
      <c r="H694" s="1" t="s">
        <v>3177</v>
      </c>
      <c r="I694" s="1" t="s">
        <v>3178</v>
      </c>
      <c r="J694" s="1" t="s">
        <v>3179</v>
      </c>
      <c r="K694" s="1" t="s">
        <v>3180</v>
      </c>
      <c r="L694" s="1" t="s">
        <v>3181</v>
      </c>
      <c r="M694" s="1"/>
      <c r="N694" s="1"/>
      <c r="O694" s="1" t="s">
        <v>8</v>
      </c>
      <c r="P694" s="1" t="s">
        <v>4227</v>
      </c>
      <c r="Q694" s="1"/>
      <c r="R694" s="1"/>
      <c r="S694" s="1"/>
      <c r="T694" s="1"/>
      <c r="U694" s="1"/>
      <c r="V694" s="1"/>
      <c r="W694" s="1"/>
      <c r="X694" s="1"/>
      <c r="Y694" t="s">
        <v>8</v>
      </c>
      <c r="Z694" t="s">
        <v>4316</v>
      </c>
      <c r="AA694" t="s">
        <v>4317</v>
      </c>
      <c r="AB694" t="s">
        <v>5359</v>
      </c>
      <c r="AC694" t="s">
        <v>4844</v>
      </c>
      <c r="AD694" s="18">
        <v>46117</v>
      </c>
    </row>
    <row r="695" spans="1:30" ht="285" hidden="1">
      <c r="A695" s="1" t="s">
        <v>965</v>
      </c>
      <c r="B695" s="1">
        <v>1694</v>
      </c>
      <c r="C695" s="1">
        <v>13</v>
      </c>
      <c r="D695" s="1">
        <v>34</v>
      </c>
      <c r="E695" s="1" t="s">
        <v>4292</v>
      </c>
      <c r="F695" s="1" t="s">
        <v>4303</v>
      </c>
      <c r="G695" s="1" t="s">
        <v>4294</v>
      </c>
      <c r="H695" s="1" t="s">
        <v>3182</v>
      </c>
      <c r="I695" s="1" t="s">
        <v>3183</v>
      </c>
      <c r="J695" s="1" t="s">
        <v>3184</v>
      </c>
      <c r="K695" s="1" t="s">
        <v>3185</v>
      </c>
      <c r="L695" s="1" t="s">
        <v>3186</v>
      </c>
      <c r="M695" s="1"/>
      <c r="N695" s="1"/>
      <c r="O695" s="1" t="s">
        <v>9</v>
      </c>
      <c r="P695" s="1" t="s">
        <v>4228</v>
      </c>
      <c r="Q695" s="1"/>
      <c r="R695" s="1"/>
      <c r="S695" s="1"/>
      <c r="T695" s="1"/>
      <c r="U695" s="1">
        <v>1</v>
      </c>
      <c r="V695" s="1"/>
      <c r="W695" s="1"/>
      <c r="X695" s="1"/>
      <c r="Y695" t="s">
        <v>9</v>
      </c>
      <c r="Z695" t="s">
        <v>4316</v>
      </c>
      <c r="AA695" t="s">
        <v>4317</v>
      </c>
      <c r="AB695" t="s">
        <v>5360</v>
      </c>
      <c r="AC695" t="s">
        <v>4484</v>
      </c>
      <c r="AD695" s="18">
        <v>46117</v>
      </c>
    </row>
    <row r="696" spans="1:30" ht="225" hidden="1">
      <c r="A696" s="1" t="s">
        <v>965</v>
      </c>
      <c r="B696" s="1">
        <v>1695</v>
      </c>
      <c r="C696" s="1">
        <v>13</v>
      </c>
      <c r="D696" s="1">
        <v>35</v>
      </c>
      <c r="E696" s="1" t="s">
        <v>4305</v>
      </c>
      <c r="F696" s="1" t="s">
        <v>3339</v>
      </c>
      <c r="G696" s="1" t="s">
        <v>4294</v>
      </c>
      <c r="H696" s="1" t="s">
        <v>3187</v>
      </c>
      <c r="I696" s="1" t="s">
        <v>3188</v>
      </c>
      <c r="J696" s="1" t="s">
        <v>3189</v>
      </c>
      <c r="K696" s="1" t="s">
        <v>3190</v>
      </c>
      <c r="L696" s="1" t="s">
        <v>3191</v>
      </c>
      <c r="M696" s="1"/>
      <c r="N696" s="1"/>
      <c r="O696" s="1" t="s">
        <v>9</v>
      </c>
      <c r="P696" s="1" t="s">
        <v>5540</v>
      </c>
      <c r="Q696" s="1"/>
      <c r="R696" s="1"/>
      <c r="S696" s="1"/>
      <c r="T696" s="1"/>
      <c r="U696" s="1"/>
      <c r="V696" s="1"/>
      <c r="W696" s="1"/>
      <c r="X696" s="1"/>
      <c r="Y696" t="s">
        <v>9</v>
      </c>
      <c r="Z696" t="s">
        <v>4316</v>
      </c>
      <c r="AA696" t="s">
        <v>4317</v>
      </c>
      <c r="AB696" t="s">
        <v>5361</v>
      </c>
      <c r="AC696" t="s">
        <v>5258</v>
      </c>
      <c r="AD696" s="18">
        <v>46117</v>
      </c>
    </row>
    <row r="697" spans="1:30" ht="105" hidden="1">
      <c r="A697" s="1" t="s">
        <v>965</v>
      </c>
      <c r="B697" s="1">
        <v>1696</v>
      </c>
      <c r="C697" s="1">
        <v>13</v>
      </c>
      <c r="D697" s="1">
        <v>36</v>
      </c>
      <c r="E697" s="1" t="s">
        <v>4305</v>
      </c>
      <c r="F697" s="1" t="s">
        <v>3339</v>
      </c>
      <c r="G697" s="1" t="s">
        <v>20</v>
      </c>
      <c r="H697" s="1" t="s">
        <v>3192</v>
      </c>
      <c r="I697" s="1" t="s">
        <v>3193</v>
      </c>
      <c r="J697" s="1" t="s">
        <v>3194</v>
      </c>
      <c r="K697" s="1" t="s">
        <v>3195</v>
      </c>
      <c r="L697" s="1" t="s">
        <v>3196</v>
      </c>
      <c r="M697" s="1"/>
      <c r="N697" s="1"/>
      <c r="O697" s="1" t="s">
        <v>8</v>
      </c>
      <c r="P697" s="1" t="s">
        <v>4230</v>
      </c>
      <c r="Q697" s="1"/>
      <c r="R697" s="1"/>
      <c r="S697" s="1"/>
      <c r="T697" s="1"/>
      <c r="U697" s="1"/>
      <c r="V697" s="1"/>
      <c r="W697" s="1"/>
      <c r="X697" s="1"/>
      <c r="Y697" t="s">
        <v>8</v>
      </c>
      <c r="Z697" t="s">
        <v>4316</v>
      </c>
      <c r="AA697" t="s">
        <v>4317</v>
      </c>
      <c r="AB697" t="s">
        <v>5362</v>
      </c>
      <c r="AC697" t="s">
        <v>5162</v>
      </c>
      <c r="AD697" s="18">
        <v>46117</v>
      </c>
    </row>
    <row r="698" spans="1:30" ht="180" hidden="1">
      <c r="A698" s="1" t="s">
        <v>965</v>
      </c>
      <c r="B698" s="1">
        <v>1697</v>
      </c>
      <c r="C698" s="1">
        <v>13</v>
      </c>
      <c r="D698" s="1">
        <v>37</v>
      </c>
      <c r="E698" s="1" t="s">
        <v>4297</v>
      </c>
      <c r="F698" s="1" t="s">
        <v>4298</v>
      </c>
      <c r="G698" s="1" t="s">
        <v>4294</v>
      </c>
      <c r="H698" s="1" t="s">
        <v>3197</v>
      </c>
      <c r="I698" s="1" t="s">
        <v>3198</v>
      </c>
      <c r="J698" s="1" t="s">
        <v>3199</v>
      </c>
      <c r="K698" s="1" t="s">
        <v>3200</v>
      </c>
      <c r="L698" s="1" t="s">
        <v>3201</v>
      </c>
      <c r="M698" s="1"/>
      <c r="N698" s="1"/>
      <c r="O698" s="1" t="s">
        <v>8</v>
      </c>
      <c r="P698" s="1" t="s">
        <v>4231</v>
      </c>
      <c r="Q698" s="1"/>
      <c r="R698" s="1"/>
      <c r="S698" s="1"/>
      <c r="T698" s="1">
        <v>1</v>
      </c>
      <c r="U698" s="1"/>
      <c r="V698" s="1"/>
      <c r="W698" s="1"/>
      <c r="X698" s="1"/>
      <c r="Y698" t="s">
        <v>8</v>
      </c>
      <c r="Z698" t="s">
        <v>4316</v>
      </c>
      <c r="AA698" t="s">
        <v>4317</v>
      </c>
      <c r="AB698" t="s">
        <v>5363</v>
      </c>
      <c r="AD698" s="18">
        <v>46117</v>
      </c>
    </row>
    <row r="699" spans="1:30" ht="270" hidden="1">
      <c r="A699" s="1" t="s">
        <v>965</v>
      </c>
      <c r="B699" s="1">
        <v>1698</v>
      </c>
      <c r="C699" s="1">
        <v>13</v>
      </c>
      <c r="D699" s="1">
        <v>38</v>
      </c>
      <c r="E699" s="1" t="s">
        <v>4290</v>
      </c>
      <c r="F699" s="1" t="s">
        <v>4302</v>
      </c>
      <c r="G699" s="1" t="s">
        <v>20</v>
      </c>
      <c r="H699" s="1" t="s">
        <v>3202</v>
      </c>
      <c r="I699" s="1" t="s">
        <v>3203</v>
      </c>
      <c r="J699" s="1" t="s">
        <v>3204</v>
      </c>
      <c r="K699" s="1" t="s">
        <v>3205</v>
      </c>
      <c r="L699" s="1" t="s">
        <v>3206</v>
      </c>
      <c r="M699" s="1" t="s">
        <v>3207</v>
      </c>
      <c r="N699" s="1"/>
      <c r="O699" s="1" t="s">
        <v>7</v>
      </c>
      <c r="P699" s="1" t="s">
        <v>4232</v>
      </c>
      <c r="Q699" s="1"/>
      <c r="R699" s="1"/>
      <c r="S699" s="1"/>
      <c r="T699" s="1"/>
      <c r="U699" s="1"/>
      <c r="V699" s="1"/>
      <c r="W699" s="1"/>
      <c r="X699" s="1"/>
      <c r="Y699" t="s">
        <v>7</v>
      </c>
      <c r="Z699" t="s">
        <v>4316</v>
      </c>
      <c r="AA699" t="s">
        <v>4317</v>
      </c>
      <c r="AB699" t="s">
        <v>5364</v>
      </c>
      <c r="AC699" t="s">
        <v>4820</v>
      </c>
      <c r="AD699" s="18">
        <v>46117</v>
      </c>
    </row>
    <row r="700" spans="1:30" ht="409.5" hidden="1">
      <c r="A700" s="1" t="s">
        <v>965</v>
      </c>
      <c r="B700" s="1">
        <v>1699</v>
      </c>
      <c r="C700" s="1">
        <v>13</v>
      </c>
      <c r="D700" s="1">
        <v>39</v>
      </c>
      <c r="E700" s="1" t="s">
        <v>4297</v>
      </c>
      <c r="F700" s="1" t="s">
        <v>4300</v>
      </c>
      <c r="G700" s="1" t="s">
        <v>20</v>
      </c>
      <c r="H700" s="1" t="s">
        <v>3208</v>
      </c>
      <c r="I700" s="1" t="s">
        <v>3209</v>
      </c>
      <c r="J700" s="1" t="s">
        <v>3210</v>
      </c>
      <c r="K700" s="1" t="s">
        <v>3211</v>
      </c>
      <c r="L700" s="1" t="s">
        <v>3212</v>
      </c>
      <c r="M700" s="1" t="s">
        <v>3213</v>
      </c>
      <c r="N700" s="1" t="s">
        <v>3214</v>
      </c>
      <c r="O700" s="1" t="s">
        <v>9</v>
      </c>
      <c r="P700" s="1" t="s">
        <v>4233</v>
      </c>
      <c r="Q700" s="1"/>
      <c r="R700" s="1"/>
      <c r="S700" s="1"/>
      <c r="T700" s="1"/>
      <c r="U700" s="1">
        <v>1</v>
      </c>
      <c r="V700" s="1"/>
      <c r="W700" s="1"/>
      <c r="X700" s="1"/>
      <c r="Z700" t="s">
        <v>4386</v>
      </c>
      <c r="AB700" t="s">
        <v>5365</v>
      </c>
      <c r="AC700" t="s">
        <v>4430</v>
      </c>
      <c r="AD700" s="18">
        <v>46117</v>
      </c>
    </row>
    <row r="701" spans="1:30" ht="315" hidden="1">
      <c r="A701" s="1" t="s">
        <v>965</v>
      </c>
      <c r="B701" s="1">
        <v>1700</v>
      </c>
      <c r="C701" s="1">
        <v>13</v>
      </c>
      <c r="D701" s="1">
        <v>40</v>
      </c>
      <c r="E701" s="1" t="s">
        <v>4292</v>
      </c>
      <c r="F701" s="1" t="s">
        <v>4303</v>
      </c>
      <c r="G701" s="1" t="s">
        <v>20</v>
      </c>
      <c r="H701" s="1" t="s">
        <v>3215</v>
      </c>
      <c r="I701" s="1" t="s">
        <v>3216</v>
      </c>
      <c r="J701" s="1" t="s">
        <v>3217</v>
      </c>
      <c r="K701" s="1" t="s">
        <v>3218</v>
      </c>
      <c r="L701" s="1" t="s">
        <v>3219</v>
      </c>
      <c r="M701" s="1" t="s">
        <v>3220</v>
      </c>
      <c r="N701" s="1"/>
      <c r="O701" s="1" t="s">
        <v>4154</v>
      </c>
      <c r="P701" s="1" t="s">
        <v>5541</v>
      </c>
      <c r="Q701" s="1"/>
      <c r="R701" s="1"/>
      <c r="S701" s="1"/>
      <c r="T701" s="1"/>
      <c r="U701" s="1"/>
      <c r="V701" s="1"/>
      <c r="W701" s="1"/>
      <c r="X701" s="1"/>
      <c r="Y701" t="s">
        <v>4154</v>
      </c>
      <c r="Z701" t="s">
        <v>4316</v>
      </c>
      <c r="AA701" t="s">
        <v>4317</v>
      </c>
      <c r="AB701" t="s">
        <v>5366</v>
      </c>
      <c r="AD701" s="18">
        <v>46117</v>
      </c>
    </row>
    <row r="702" spans="1:30" ht="375" hidden="1">
      <c r="A702" s="1" t="s">
        <v>965</v>
      </c>
      <c r="B702" s="1">
        <v>1701</v>
      </c>
      <c r="C702" s="1">
        <v>13</v>
      </c>
      <c r="D702" s="1">
        <v>41</v>
      </c>
      <c r="E702" s="1" t="s">
        <v>4292</v>
      </c>
      <c r="F702" s="1" t="s">
        <v>4293</v>
      </c>
      <c r="G702" s="1" t="s">
        <v>40</v>
      </c>
      <c r="H702" s="1" t="s">
        <v>3560</v>
      </c>
      <c r="I702" s="1" t="s">
        <v>3561</v>
      </c>
      <c r="J702" s="1" t="s">
        <v>3562</v>
      </c>
      <c r="K702" s="1" t="s">
        <v>3563</v>
      </c>
      <c r="L702" s="1" t="s">
        <v>5542</v>
      </c>
      <c r="M702" s="1" t="s">
        <v>3564</v>
      </c>
      <c r="N702" s="1"/>
      <c r="O702" s="1" t="s">
        <v>8</v>
      </c>
      <c r="P702" s="1" t="s">
        <v>4234</v>
      </c>
      <c r="Q702" s="1"/>
      <c r="R702" s="1"/>
      <c r="S702" s="1"/>
      <c r="T702" s="1"/>
      <c r="U702" s="1"/>
      <c r="V702" s="1"/>
      <c r="W702" s="1"/>
      <c r="X702" s="1"/>
      <c r="Y702" t="s">
        <v>8</v>
      </c>
      <c r="Z702" t="s">
        <v>4316</v>
      </c>
      <c r="AA702" t="s">
        <v>4317</v>
      </c>
      <c r="AB702" t="s">
        <v>5378</v>
      </c>
      <c r="AC702" t="s">
        <v>5379</v>
      </c>
      <c r="AD702" s="18">
        <v>46117</v>
      </c>
    </row>
    <row r="703" spans="1:30" ht="105" hidden="1">
      <c r="A703" s="1" t="s">
        <v>965</v>
      </c>
      <c r="B703" s="1">
        <v>1702</v>
      </c>
      <c r="C703" s="1">
        <v>13</v>
      </c>
      <c r="D703" s="1">
        <v>42</v>
      </c>
      <c r="E703" s="1" t="s">
        <v>4305</v>
      </c>
      <c r="F703" s="1" t="s">
        <v>3339</v>
      </c>
      <c r="G703" s="1" t="s">
        <v>20</v>
      </c>
      <c r="H703" s="1" t="s">
        <v>3221</v>
      </c>
      <c r="I703" s="1" t="s">
        <v>3222</v>
      </c>
      <c r="J703" s="1" t="s">
        <v>3223</v>
      </c>
      <c r="K703" s="1" t="s">
        <v>3224</v>
      </c>
      <c r="L703" s="1" t="s">
        <v>3225</v>
      </c>
      <c r="M703" s="1" t="s">
        <v>3226</v>
      </c>
      <c r="N703" s="1"/>
      <c r="O703" s="1" t="s">
        <v>11</v>
      </c>
      <c r="P703" s="1" t="s">
        <v>4235</v>
      </c>
      <c r="Q703" s="1"/>
      <c r="R703" s="1"/>
      <c r="S703" s="1"/>
      <c r="T703" s="1">
        <v>1</v>
      </c>
      <c r="U703" s="1"/>
      <c r="V703" s="1"/>
      <c r="W703" s="1"/>
      <c r="X703" s="1"/>
      <c r="Y703" t="s">
        <v>11</v>
      </c>
      <c r="Z703" t="s">
        <v>4316</v>
      </c>
      <c r="AA703" t="s">
        <v>4317</v>
      </c>
      <c r="AB703" t="s">
        <v>5380</v>
      </c>
      <c r="AC703" t="s">
        <v>5164</v>
      </c>
      <c r="AD703" s="18">
        <v>46117</v>
      </c>
    </row>
    <row r="704" spans="1:30" ht="150" hidden="1">
      <c r="A704" s="1" t="s">
        <v>965</v>
      </c>
      <c r="B704" s="1">
        <v>1703</v>
      </c>
      <c r="C704" s="1">
        <v>13</v>
      </c>
      <c r="D704" s="1">
        <v>43</v>
      </c>
      <c r="E704" s="1" t="s">
        <v>4297</v>
      </c>
      <c r="F704" s="1" t="s">
        <v>4301</v>
      </c>
      <c r="G704" s="1" t="s">
        <v>40</v>
      </c>
      <c r="H704" s="1" t="s">
        <v>3227</v>
      </c>
      <c r="I704" s="1" t="s">
        <v>3228</v>
      </c>
      <c r="J704" s="1" t="s">
        <v>3229</v>
      </c>
      <c r="K704" s="1" t="s">
        <v>3230</v>
      </c>
      <c r="L704" s="1" t="s">
        <v>3231</v>
      </c>
      <c r="M704" s="1" t="s">
        <v>3232</v>
      </c>
      <c r="N704" s="1"/>
      <c r="O704" s="1" t="s">
        <v>9</v>
      </c>
      <c r="P704" s="1" t="s">
        <v>4236</v>
      </c>
      <c r="Q704" s="1"/>
      <c r="R704" s="1"/>
      <c r="S704" s="1"/>
      <c r="T704" s="1">
        <v>1</v>
      </c>
      <c r="U704" s="1"/>
      <c r="V704" s="1"/>
      <c r="W704" s="1"/>
      <c r="X704" s="1"/>
      <c r="Y704" t="s">
        <v>9</v>
      </c>
      <c r="Z704" t="s">
        <v>4316</v>
      </c>
      <c r="AA704" t="s">
        <v>4317</v>
      </c>
      <c r="AB704" t="s">
        <v>5381</v>
      </c>
      <c r="AC704" t="s">
        <v>4979</v>
      </c>
      <c r="AD704" s="18">
        <v>46117</v>
      </c>
    </row>
    <row r="705" spans="1:30" ht="180" hidden="1">
      <c r="A705" s="1" t="s">
        <v>965</v>
      </c>
      <c r="B705" s="1">
        <v>1704</v>
      </c>
      <c r="C705" s="1">
        <v>13</v>
      </c>
      <c r="D705" s="1">
        <v>44</v>
      </c>
      <c r="E705" s="1" t="s">
        <v>4305</v>
      </c>
      <c r="F705" s="1" t="s">
        <v>3339</v>
      </c>
      <c r="G705" s="1" t="s">
        <v>4294</v>
      </c>
      <c r="H705" s="1" t="s">
        <v>3233</v>
      </c>
      <c r="I705" s="1" t="s">
        <v>3234</v>
      </c>
      <c r="J705" s="1" t="s">
        <v>3235</v>
      </c>
      <c r="K705" s="1" t="s">
        <v>3236</v>
      </c>
      <c r="L705" s="1" t="s">
        <v>3237</v>
      </c>
      <c r="M705" s="1" t="s">
        <v>3238</v>
      </c>
      <c r="N705" s="1"/>
      <c r="O705" s="1" t="s">
        <v>8</v>
      </c>
      <c r="P705" s="1" t="s">
        <v>4237</v>
      </c>
      <c r="Q705" s="1"/>
      <c r="R705" s="1"/>
      <c r="S705" s="1"/>
      <c r="T705" s="1">
        <v>1</v>
      </c>
      <c r="U705" s="1"/>
      <c r="V705" s="1"/>
      <c r="W705" s="1"/>
      <c r="X705" s="1"/>
      <c r="Y705" t="s">
        <v>8</v>
      </c>
      <c r="Z705" t="s">
        <v>4316</v>
      </c>
      <c r="AA705" t="s">
        <v>4317</v>
      </c>
      <c r="AB705" t="s">
        <v>5382</v>
      </c>
      <c r="AC705" t="s">
        <v>5298</v>
      </c>
      <c r="AD705" s="18">
        <v>46117</v>
      </c>
    </row>
    <row r="706" spans="1:30" ht="150" hidden="1">
      <c r="A706" s="1" t="s">
        <v>965</v>
      </c>
      <c r="B706" s="1">
        <v>1705</v>
      </c>
      <c r="C706" s="1">
        <v>13</v>
      </c>
      <c r="D706" s="1">
        <v>45</v>
      </c>
      <c r="E706" s="1" t="s">
        <v>4292</v>
      </c>
      <c r="F706" s="1" t="s">
        <v>4303</v>
      </c>
      <c r="G706" s="1" t="s">
        <v>20</v>
      </c>
      <c r="H706" s="1" t="s">
        <v>3239</v>
      </c>
      <c r="I706" s="1" t="s">
        <v>3240</v>
      </c>
      <c r="J706" s="1" t="s">
        <v>3241</v>
      </c>
      <c r="K706" s="1" t="s">
        <v>3242</v>
      </c>
      <c r="L706" s="1" t="s">
        <v>3243</v>
      </c>
      <c r="M706" s="1" t="s">
        <v>3244</v>
      </c>
      <c r="N706" s="1"/>
      <c r="O706" s="1" t="s">
        <v>8</v>
      </c>
      <c r="P706" s="1" t="s">
        <v>4238</v>
      </c>
      <c r="Q706" s="1"/>
      <c r="R706" s="1"/>
      <c r="S706" s="1"/>
      <c r="T706" s="1"/>
      <c r="U706" s="1"/>
      <c r="V706" s="1"/>
      <c r="W706" s="1"/>
      <c r="X706" s="1"/>
      <c r="Y706" t="s">
        <v>8</v>
      </c>
      <c r="Z706" t="s">
        <v>4316</v>
      </c>
      <c r="AA706" t="s">
        <v>4317</v>
      </c>
      <c r="AB706" t="s">
        <v>5383</v>
      </c>
      <c r="AC706" t="s">
        <v>4999</v>
      </c>
      <c r="AD706" s="18">
        <v>46117</v>
      </c>
    </row>
    <row r="707" spans="1:30" ht="240" hidden="1">
      <c r="A707" s="1" t="s">
        <v>965</v>
      </c>
      <c r="B707" s="1">
        <v>1706</v>
      </c>
      <c r="C707" s="1">
        <v>13</v>
      </c>
      <c r="D707" s="1">
        <v>46</v>
      </c>
      <c r="E707" s="1" t="s">
        <v>4297</v>
      </c>
      <c r="F707" s="1" t="s">
        <v>4298</v>
      </c>
      <c r="G707" s="1" t="s">
        <v>4294</v>
      </c>
      <c r="H707" s="1" t="s">
        <v>3245</v>
      </c>
      <c r="I707" s="1" t="s">
        <v>224</v>
      </c>
      <c r="J707" s="1" t="s">
        <v>3865</v>
      </c>
      <c r="K707" s="1" t="s">
        <v>3866</v>
      </c>
      <c r="L707" s="1" t="s">
        <v>3867</v>
      </c>
      <c r="M707" s="1"/>
      <c r="N707" s="1"/>
      <c r="O707" s="1" t="s">
        <v>8</v>
      </c>
      <c r="P707" s="1" t="s">
        <v>5543</v>
      </c>
      <c r="Q707" s="1"/>
      <c r="R707" s="1"/>
      <c r="S707" s="1"/>
      <c r="T707" s="1"/>
      <c r="U707" s="1"/>
      <c r="V707" s="1"/>
      <c r="W707" s="1"/>
      <c r="X707" s="1"/>
      <c r="Y707" t="s">
        <v>8</v>
      </c>
      <c r="Z707" t="s">
        <v>4316</v>
      </c>
      <c r="AA707" t="s">
        <v>4317</v>
      </c>
      <c r="AB707" t="s">
        <v>5384</v>
      </c>
      <c r="AC707" t="s">
        <v>4366</v>
      </c>
      <c r="AD707" s="18">
        <v>46117</v>
      </c>
    </row>
    <row r="708" spans="1:30" ht="225">
      <c r="A708" s="1" t="s">
        <v>965</v>
      </c>
      <c r="B708" s="1">
        <v>1707</v>
      </c>
      <c r="C708" s="1">
        <v>13</v>
      </c>
      <c r="D708" s="1">
        <v>47</v>
      </c>
      <c r="E708" s="1" t="s">
        <v>4297</v>
      </c>
      <c r="F708" s="1" t="s">
        <v>4298</v>
      </c>
      <c r="G708" s="1" t="s">
        <v>4294</v>
      </c>
      <c r="H708" s="1" t="s">
        <v>3246</v>
      </c>
      <c r="I708" s="1" t="s">
        <v>3247</v>
      </c>
      <c r="J708" s="1" t="s">
        <v>3248</v>
      </c>
      <c r="K708" s="1" t="s">
        <v>3249</v>
      </c>
      <c r="L708" s="1" t="s">
        <v>3250</v>
      </c>
      <c r="M708" s="1" t="s">
        <v>3251</v>
      </c>
      <c r="N708" s="1"/>
      <c r="O708" s="1" t="s">
        <v>10</v>
      </c>
      <c r="P708" s="1" t="s">
        <v>5544</v>
      </c>
      <c r="Q708" s="1"/>
      <c r="R708" s="1"/>
      <c r="S708" s="1"/>
      <c r="T708" s="1">
        <v>1</v>
      </c>
      <c r="U708" s="1"/>
      <c r="V708" s="1"/>
      <c r="W708" s="1"/>
      <c r="X708" s="1"/>
      <c r="Y708" t="s">
        <v>11</v>
      </c>
      <c r="Z708" t="s">
        <v>4331</v>
      </c>
      <c r="AA708" t="s">
        <v>4332</v>
      </c>
      <c r="AB708" t="s">
        <v>5385</v>
      </c>
      <c r="AC708" t="s">
        <v>5386</v>
      </c>
      <c r="AD708" s="18">
        <v>46117</v>
      </c>
    </row>
    <row r="709" spans="1:30" ht="105" hidden="1">
      <c r="A709" s="1" t="s">
        <v>965</v>
      </c>
      <c r="B709" s="1">
        <v>1708</v>
      </c>
      <c r="C709" s="1">
        <v>13</v>
      </c>
      <c r="D709" s="1">
        <v>48</v>
      </c>
      <c r="E709" s="1" t="s">
        <v>4292</v>
      </c>
      <c r="F709" s="1" t="s">
        <v>4304</v>
      </c>
      <c r="G709" s="1" t="s">
        <v>4294</v>
      </c>
      <c r="H709" s="1" t="s">
        <v>3252</v>
      </c>
      <c r="I709" s="1" t="s">
        <v>224</v>
      </c>
      <c r="J709" s="1" t="s">
        <v>3868</v>
      </c>
      <c r="K709" s="1" t="s">
        <v>91</v>
      </c>
      <c r="L709" s="1" t="s">
        <v>3869</v>
      </c>
      <c r="M709" s="1" t="s">
        <v>221</v>
      </c>
      <c r="N709" s="1"/>
      <c r="O709" s="1" t="s">
        <v>11</v>
      </c>
      <c r="P709" s="1" t="s">
        <v>4239</v>
      </c>
      <c r="Q709" s="1"/>
      <c r="R709" s="1"/>
      <c r="S709" s="1"/>
      <c r="T709" s="1"/>
      <c r="U709" s="1"/>
      <c r="V709" s="1"/>
      <c r="W709" s="1"/>
      <c r="X709" s="1"/>
      <c r="Y709" t="s">
        <v>11</v>
      </c>
      <c r="Z709" t="s">
        <v>4316</v>
      </c>
      <c r="AA709" t="s">
        <v>4317</v>
      </c>
      <c r="AB709" t="s">
        <v>5387</v>
      </c>
      <c r="AC709" t="s">
        <v>4778</v>
      </c>
      <c r="AD709" s="18">
        <v>46117</v>
      </c>
    </row>
    <row r="710" spans="1:30" ht="150" hidden="1">
      <c r="A710" s="1" t="s">
        <v>965</v>
      </c>
      <c r="B710" s="1">
        <v>1709</v>
      </c>
      <c r="C710" s="1">
        <v>13</v>
      </c>
      <c r="D710" s="1">
        <v>49</v>
      </c>
      <c r="E710" s="1" t="s">
        <v>4297</v>
      </c>
      <c r="F710" s="1" t="s">
        <v>4300</v>
      </c>
      <c r="G710" s="1" t="s">
        <v>4294</v>
      </c>
      <c r="H710" s="1" t="s">
        <v>5545</v>
      </c>
      <c r="I710" s="1" t="s">
        <v>3253</v>
      </c>
      <c r="J710" s="1" t="s">
        <v>3254</v>
      </c>
      <c r="K710" s="1" t="s">
        <v>3255</v>
      </c>
      <c r="L710" s="1" t="s">
        <v>3256</v>
      </c>
      <c r="M710" s="1" t="s">
        <v>3257</v>
      </c>
      <c r="N710" s="1"/>
      <c r="O710" s="1" t="s">
        <v>8</v>
      </c>
      <c r="P710" s="1" t="s">
        <v>4240</v>
      </c>
      <c r="Q710" s="1"/>
      <c r="R710" s="1"/>
      <c r="S710" s="1"/>
      <c r="T710" s="1"/>
      <c r="U710" s="1"/>
      <c r="V710" s="1"/>
      <c r="W710" s="1"/>
      <c r="X710" s="1"/>
      <c r="Y710" t="s">
        <v>8</v>
      </c>
      <c r="Z710" t="s">
        <v>4316</v>
      </c>
      <c r="AA710" t="s">
        <v>4317</v>
      </c>
      <c r="AB710" t="s">
        <v>5388</v>
      </c>
      <c r="AC710" t="s">
        <v>4436</v>
      </c>
      <c r="AD710" s="18">
        <v>46117</v>
      </c>
    </row>
    <row r="711" spans="1:30" ht="135" hidden="1">
      <c r="A711" s="1" t="s">
        <v>965</v>
      </c>
      <c r="B711" s="1">
        <v>1710</v>
      </c>
      <c r="C711" s="1">
        <v>13</v>
      </c>
      <c r="D711" s="1">
        <v>50</v>
      </c>
      <c r="E711" s="1" t="s">
        <v>4295</v>
      </c>
      <c r="F711" s="1" t="s">
        <v>4296</v>
      </c>
      <c r="G711" s="1" t="s">
        <v>40</v>
      </c>
      <c r="H711" s="1" t="s">
        <v>3258</v>
      </c>
      <c r="I711" s="1" t="s">
        <v>3259</v>
      </c>
      <c r="J711" s="1" t="s">
        <v>3260</v>
      </c>
      <c r="K711" s="1" t="s">
        <v>3261</v>
      </c>
      <c r="L711" s="1" t="s">
        <v>3262</v>
      </c>
      <c r="M711" s="1" t="s">
        <v>3263</v>
      </c>
      <c r="N711" s="1"/>
      <c r="O711" s="1" t="s">
        <v>10</v>
      </c>
      <c r="P711" s="1" t="s">
        <v>4241</v>
      </c>
      <c r="Q711" s="1"/>
      <c r="R711" s="1"/>
      <c r="S711" s="1"/>
      <c r="T711" s="1">
        <v>1</v>
      </c>
      <c r="U711" s="1"/>
      <c r="V711" s="1"/>
      <c r="W711" s="1"/>
      <c r="X711" s="1"/>
      <c r="Y711" t="s">
        <v>10</v>
      </c>
      <c r="Z711" t="s">
        <v>4316</v>
      </c>
      <c r="AA711" t="s">
        <v>4317</v>
      </c>
      <c r="AB711" t="s">
        <v>5389</v>
      </c>
      <c r="AC711" t="s">
        <v>4478</v>
      </c>
      <c r="AD711" s="18">
        <v>46117</v>
      </c>
    </row>
    <row r="712" spans="1:30" ht="240" hidden="1">
      <c r="A712" s="1" t="s">
        <v>965</v>
      </c>
      <c r="B712" s="1">
        <v>1711</v>
      </c>
      <c r="C712" s="1">
        <v>13</v>
      </c>
      <c r="D712" s="1">
        <v>51</v>
      </c>
      <c r="E712" s="1" t="s">
        <v>4290</v>
      </c>
      <c r="F712" s="1" t="s">
        <v>4308</v>
      </c>
      <c r="G712" s="1" t="s">
        <v>4294</v>
      </c>
      <c r="H712" s="1" t="s">
        <v>3264</v>
      </c>
      <c r="I712" s="1" t="s">
        <v>3265</v>
      </c>
      <c r="J712" s="1" t="s">
        <v>3266</v>
      </c>
      <c r="K712" s="1" t="s">
        <v>3267</v>
      </c>
      <c r="L712" s="1" t="s">
        <v>3268</v>
      </c>
      <c r="M712" s="1" t="s">
        <v>3269</v>
      </c>
      <c r="N712" s="1"/>
      <c r="O712" s="1" t="s">
        <v>9</v>
      </c>
      <c r="P712" s="1" t="s">
        <v>4242</v>
      </c>
      <c r="Q712" s="1"/>
      <c r="R712" s="1"/>
      <c r="S712" s="1"/>
      <c r="T712" s="1">
        <v>1</v>
      </c>
      <c r="U712" s="1"/>
      <c r="V712" s="1"/>
      <c r="W712" s="1"/>
      <c r="X712" s="1"/>
      <c r="Y712" t="s">
        <v>9</v>
      </c>
      <c r="Z712" t="s">
        <v>4316</v>
      </c>
      <c r="AA712" t="s">
        <v>4317</v>
      </c>
      <c r="AB712" t="s">
        <v>5390</v>
      </c>
      <c r="AC712" t="s">
        <v>4336</v>
      </c>
      <c r="AD712" s="18">
        <v>46117</v>
      </c>
    </row>
    <row r="713" spans="1:30" ht="180" hidden="1">
      <c r="A713" s="1" t="s">
        <v>965</v>
      </c>
      <c r="B713" s="1">
        <v>1712</v>
      </c>
      <c r="C713" s="1">
        <v>13</v>
      </c>
      <c r="D713" s="1">
        <v>52</v>
      </c>
      <c r="E713" s="1" t="s">
        <v>4295</v>
      </c>
      <c r="F713" s="1" t="s">
        <v>4296</v>
      </c>
      <c r="G713" s="1" t="s">
        <v>40</v>
      </c>
      <c r="H713" s="1" t="s">
        <v>3270</v>
      </c>
      <c r="I713" s="1" t="s">
        <v>3271</v>
      </c>
      <c r="J713" s="1" t="s">
        <v>3272</v>
      </c>
      <c r="K713" s="1" t="s">
        <v>3273</v>
      </c>
      <c r="L713" s="1" t="s">
        <v>3274</v>
      </c>
      <c r="M713" s="1" t="s">
        <v>3275</v>
      </c>
      <c r="N713" s="1"/>
      <c r="O713" s="1" t="s">
        <v>8</v>
      </c>
      <c r="P713" s="1" t="s">
        <v>4243</v>
      </c>
      <c r="Q713" s="1"/>
      <c r="R713" s="1"/>
      <c r="S713" s="1"/>
      <c r="T713" s="1"/>
      <c r="U713" s="1"/>
      <c r="V713" s="1"/>
      <c r="W713" s="1"/>
      <c r="X713" s="1"/>
      <c r="Y713" t="s">
        <v>8</v>
      </c>
      <c r="Z713" t="s">
        <v>4316</v>
      </c>
      <c r="AA713" t="s">
        <v>4317</v>
      </c>
      <c r="AB713" t="s">
        <v>5391</v>
      </c>
      <c r="AC713" t="s">
        <v>5392</v>
      </c>
      <c r="AD713" s="18">
        <v>46117</v>
      </c>
    </row>
    <row r="714" spans="1:30" ht="285" hidden="1">
      <c r="A714" s="1" t="s">
        <v>965</v>
      </c>
      <c r="B714" s="1">
        <v>1713</v>
      </c>
      <c r="C714" s="1">
        <v>13</v>
      </c>
      <c r="D714" s="1">
        <v>53</v>
      </c>
      <c r="E714" s="1" t="s">
        <v>4305</v>
      </c>
      <c r="F714" s="1" t="s">
        <v>4307</v>
      </c>
      <c r="G714" s="1" t="s">
        <v>4294</v>
      </c>
      <c r="H714" s="1" t="s">
        <v>3276</v>
      </c>
      <c r="I714" s="1" t="s">
        <v>3277</v>
      </c>
      <c r="J714" s="1" t="s">
        <v>3278</v>
      </c>
      <c r="K714" s="1" t="s">
        <v>3279</v>
      </c>
      <c r="L714" s="1" t="s">
        <v>3280</v>
      </c>
      <c r="M714" s="1" t="s">
        <v>3281</v>
      </c>
      <c r="N714" s="1"/>
      <c r="O714" s="1" t="s">
        <v>9</v>
      </c>
      <c r="P714" s="1" t="s">
        <v>5546</v>
      </c>
      <c r="Q714" s="1"/>
      <c r="R714" s="1"/>
      <c r="S714" s="1"/>
      <c r="T714" s="1">
        <v>1</v>
      </c>
      <c r="U714" s="1"/>
      <c r="V714" s="1"/>
      <c r="W714" s="1"/>
      <c r="X714" s="1"/>
      <c r="Y714" t="s">
        <v>9</v>
      </c>
      <c r="Z714" t="s">
        <v>4316</v>
      </c>
      <c r="AA714" t="s">
        <v>4317</v>
      </c>
      <c r="AB714" t="s">
        <v>5393</v>
      </c>
      <c r="AC714" t="s">
        <v>5394</v>
      </c>
      <c r="AD714" s="18">
        <v>46117</v>
      </c>
    </row>
    <row r="715" spans="1:30" ht="135" hidden="1">
      <c r="A715" s="1" t="s">
        <v>965</v>
      </c>
      <c r="B715" s="1">
        <v>1714</v>
      </c>
      <c r="C715" s="1">
        <v>13</v>
      </c>
      <c r="D715" s="1">
        <v>54</v>
      </c>
      <c r="E715" s="1" t="s">
        <v>4290</v>
      </c>
      <c r="F715" s="1" t="s">
        <v>4291</v>
      </c>
      <c r="G715" s="1" t="s">
        <v>4294</v>
      </c>
      <c r="H715" s="1" t="s">
        <v>3282</v>
      </c>
      <c r="I715" s="1" t="s">
        <v>3283</v>
      </c>
      <c r="J715" s="1" t="s">
        <v>5547</v>
      </c>
      <c r="K715" s="1" t="s">
        <v>3284</v>
      </c>
      <c r="L715" s="1" t="s">
        <v>3285</v>
      </c>
      <c r="M715" s="1" t="s">
        <v>3286</v>
      </c>
      <c r="N715" s="1"/>
      <c r="O715" s="1" t="s">
        <v>10</v>
      </c>
      <c r="P715" s="1" t="s">
        <v>5548</v>
      </c>
      <c r="Q715" s="1"/>
      <c r="R715" s="1"/>
      <c r="S715" s="1"/>
      <c r="T715" s="1"/>
      <c r="U715" s="1"/>
      <c r="V715" s="1"/>
      <c r="W715" s="1"/>
      <c r="X715" s="1"/>
      <c r="Y715" t="s">
        <v>10</v>
      </c>
      <c r="Z715" t="s">
        <v>4316</v>
      </c>
      <c r="AA715" t="s">
        <v>4317</v>
      </c>
      <c r="AB715" t="s">
        <v>5395</v>
      </c>
      <c r="AC715" t="s">
        <v>4481</v>
      </c>
      <c r="AD715" s="18">
        <v>46117</v>
      </c>
    </row>
    <row r="716" spans="1:30" ht="270" hidden="1">
      <c r="A716" s="1" t="s">
        <v>965</v>
      </c>
      <c r="B716" s="1">
        <v>1715</v>
      </c>
      <c r="C716" s="1">
        <v>13</v>
      </c>
      <c r="D716" s="1">
        <v>55</v>
      </c>
      <c r="E716" s="1" t="s">
        <v>4297</v>
      </c>
      <c r="F716" s="1" t="s">
        <v>4298</v>
      </c>
      <c r="G716" s="1" t="s">
        <v>4294</v>
      </c>
      <c r="H716" s="1" t="s">
        <v>3287</v>
      </c>
      <c r="I716" s="1" t="s">
        <v>3288</v>
      </c>
      <c r="J716" s="1" t="s">
        <v>3289</v>
      </c>
      <c r="K716" s="1" t="s">
        <v>3290</v>
      </c>
      <c r="L716" s="1" t="s">
        <v>3291</v>
      </c>
      <c r="M716" s="1" t="s">
        <v>3292</v>
      </c>
      <c r="N716" s="1"/>
      <c r="O716" s="1" t="s">
        <v>11</v>
      </c>
      <c r="P716" s="1" t="s">
        <v>4244</v>
      </c>
      <c r="Q716" s="1"/>
      <c r="R716" s="1"/>
      <c r="S716" s="1"/>
      <c r="T716" s="1"/>
      <c r="U716" s="1">
        <v>1</v>
      </c>
      <c r="V716" s="1"/>
      <c r="W716" s="1"/>
      <c r="X716" s="1"/>
      <c r="Y716" t="s">
        <v>11</v>
      </c>
      <c r="Z716" t="s">
        <v>4316</v>
      </c>
      <c r="AA716" t="s">
        <v>4317</v>
      </c>
      <c r="AB716" t="s">
        <v>5396</v>
      </c>
      <c r="AC716" t="s">
        <v>4965</v>
      </c>
      <c r="AD716" s="18">
        <v>46117</v>
      </c>
    </row>
    <row r="717" spans="1:30" ht="300" hidden="1">
      <c r="A717" s="1" t="s">
        <v>965</v>
      </c>
      <c r="B717" s="1">
        <v>1716</v>
      </c>
      <c r="C717" s="1">
        <v>13</v>
      </c>
      <c r="D717" s="1">
        <v>56</v>
      </c>
      <c r="E717" s="1" t="s">
        <v>4305</v>
      </c>
      <c r="F717" s="1" t="s">
        <v>4307</v>
      </c>
      <c r="G717" s="1" t="s">
        <v>40</v>
      </c>
      <c r="H717" s="1" t="s">
        <v>3293</v>
      </c>
      <c r="I717" s="1" t="s">
        <v>3294</v>
      </c>
      <c r="J717" s="1" t="s">
        <v>3295</v>
      </c>
      <c r="K717" s="1" t="s">
        <v>3296</v>
      </c>
      <c r="L717" s="1" t="s">
        <v>3297</v>
      </c>
      <c r="M717" s="1" t="s">
        <v>3298</v>
      </c>
      <c r="N717" s="1"/>
      <c r="O717" s="1" t="s">
        <v>10</v>
      </c>
      <c r="P717" s="1" t="s">
        <v>4245</v>
      </c>
      <c r="Q717" s="1"/>
      <c r="R717" s="1"/>
      <c r="S717" s="1"/>
      <c r="T717" s="1"/>
      <c r="U717" s="1">
        <v>1</v>
      </c>
      <c r="V717" s="1"/>
      <c r="W717" s="1"/>
      <c r="X717" s="1"/>
      <c r="Y717" t="s">
        <v>10</v>
      </c>
      <c r="Z717" t="s">
        <v>4316</v>
      </c>
      <c r="AA717" t="s">
        <v>4317</v>
      </c>
      <c r="AB717" t="s">
        <v>5397</v>
      </c>
      <c r="AC717" t="s">
        <v>4865</v>
      </c>
      <c r="AD717" s="18">
        <v>46117</v>
      </c>
    </row>
    <row r="718" spans="1:30" ht="345" hidden="1">
      <c r="A718" s="1" t="s">
        <v>965</v>
      </c>
      <c r="B718" s="1">
        <v>1717</v>
      </c>
      <c r="C718" s="1">
        <v>13</v>
      </c>
      <c r="D718" s="1">
        <v>57</v>
      </c>
      <c r="E718" s="1" t="s">
        <v>4297</v>
      </c>
      <c r="F718" s="1" t="s">
        <v>4298</v>
      </c>
      <c r="G718" s="1" t="s">
        <v>40</v>
      </c>
      <c r="H718" s="1" t="s">
        <v>3565</v>
      </c>
      <c r="I718" s="1" t="s">
        <v>3566</v>
      </c>
      <c r="J718" s="1" t="s">
        <v>3567</v>
      </c>
      <c r="K718" s="1" t="s">
        <v>3568</v>
      </c>
      <c r="L718" s="1" t="s">
        <v>3569</v>
      </c>
      <c r="M718" s="1" t="s">
        <v>3570</v>
      </c>
      <c r="N718" s="1"/>
      <c r="O718" s="1" t="s">
        <v>11</v>
      </c>
      <c r="P718" s="1" t="s">
        <v>5549</v>
      </c>
      <c r="Q718" s="1"/>
      <c r="R718" s="1"/>
      <c r="S718" s="1"/>
      <c r="T718" s="1"/>
      <c r="U718" s="1"/>
      <c r="V718" s="1"/>
      <c r="W718" s="1"/>
      <c r="X718" s="1" t="s">
        <v>4219</v>
      </c>
      <c r="Y718" t="s">
        <v>11</v>
      </c>
      <c r="Z718" t="s">
        <v>4316</v>
      </c>
      <c r="AA718" t="s">
        <v>4317</v>
      </c>
      <c r="AB718" t="s">
        <v>5398</v>
      </c>
      <c r="AC718" t="s">
        <v>4844</v>
      </c>
      <c r="AD718" s="18">
        <v>46117</v>
      </c>
    </row>
    <row r="719" spans="1:30" ht="135" hidden="1">
      <c r="A719" s="1" t="s">
        <v>965</v>
      </c>
      <c r="B719" s="1">
        <v>1718</v>
      </c>
      <c r="C719" s="1">
        <v>13</v>
      </c>
      <c r="D719" s="1">
        <v>58</v>
      </c>
      <c r="E719" s="1" t="s">
        <v>4292</v>
      </c>
      <c r="F719" s="1" t="s">
        <v>4293</v>
      </c>
      <c r="G719" s="1" t="s">
        <v>40</v>
      </c>
      <c r="H719" s="1" t="s">
        <v>3299</v>
      </c>
      <c r="I719" s="1" t="s">
        <v>3300</v>
      </c>
      <c r="J719" s="1" t="s">
        <v>3301</v>
      </c>
      <c r="K719" s="1" t="s">
        <v>3302</v>
      </c>
      <c r="L719" s="1" t="s">
        <v>3303</v>
      </c>
      <c r="M719" s="1" t="s">
        <v>3304</v>
      </c>
      <c r="N719" s="1"/>
      <c r="O719" s="1" t="s">
        <v>9</v>
      </c>
      <c r="P719" s="1" t="s">
        <v>5550</v>
      </c>
      <c r="Q719" s="1"/>
      <c r="R719" s="1"/>
      <c r="S719" s="1"/>
      <c r="T719" s="1"/>
      <c r="U719" s="1">
        <v>1</v>
      </c>
      <c r="V719" s="1"/>
      <c r="W719" s="1"/>
      <c r="X719" s="1"/>
      <c r="Y719" t="s">
        <v>9</v>
      </c>
      <c r="Z719" t="s">
        <v>4316</v>
      </c>
      <c r="AA719" t="s">
        <v>4317</v>
      </c>
      <c r="AB719" t="s">
        <v>5399</v>
      </c>
      <c r="AD719" s="18">
        <v>46117</v>
      </c>
    </row>
    <row r="720" spans="1:30" ht="330" hidden="1">
      <c r="A720" s="1" t="s">
        <v>965</v>
      </c>
      <c r="B720" s="1">
        <v>1719</v>
      </c>
      <c r="C720" s="1">
        <v>13</v>
      </c>
      <c r="D720" s="1">
        <v>59</v>
      </c>
      <c r="E720" s="1" t="s">
        <v>4295</v>
      </c>
      <c r="F720" s="1" t="s">
        <v>4296</v>
      </c>
      <c r="G720" s="1" t="s">
        <v>40</v>
      </c>
      <c r="H720" s="1" t="s">
        <v>3305</v>
      </c>
      <c r="I720" s="1" t="s">
        <v>3306</v>
      </c>
      <c r="J720" s="1" t="s">
        <v>3307</v>
      </c>
      <c r="K720" s="1" t="s">
        <v>3308</v>
      </c>
      <c r="L720" s="1" t="s">
        <v>3309</v>
      </c>
      <c r="M720" s="1" t="s">
        <v>3310</v>
      </c>
      <c r="N720" s="1"/>
      <c r="O720" s="1" t="s">
        <v>8</v>
      </c>
      <c r="P720" s="1" t="s">
        <v>5551</v>
      </c>
      <c r="Q720" s="1"/>
      <c r="R720" s="1"/>
      <c r="S720" s="1"/>
      <c r="T720" s="1">
        <v>1</v>
      </c>
      <c r="U720" s="1"/>
      <c r="V720" s="1"/>
      <c r="W720" s="1"/>
      <c r="X720" s="1"/>
      <c r="Y720" t="s">
        <v>8</v>
      </c>
      <c r="Z720" t="s">
        <v>4316</v>
      </c>
      <c r="AA720" t="s">
        <v>4317</v>
      </c>
      <c r="AB720" t="s">
        <v>5400</v>
      </c>
      <c r="AC720" t="s">
        <v>4402</v>
      </c>
      <c r="AD720" s="18">
        <v>46117</v>
      </c>
    </row>
    <row r="721" spans="1:30" ht="150" hidden="1">
      <c r="A721" s="1" t="s">
        <v>965</v>
      </c>
      <c r="B721" s="1">
        <v>1720</v>
      </c>
      <c r="C721" s="1">
        <v>13</v>
      </c>
      <c r="D721" s="1">
        <v>60</v>
      </c>
      <c r="E721" s="1" t="s">
        <v>4292</v>
      </c>
      <c r="F721" s="1" t="s">
        <v>4293</v>
      </c>
      <c r="G721" s="1" t="s">
        <v>4294</v>
      </c>
      <c r="H721" s="1" t="s">
        <v>3311</v>
      </c>
      <c r="I721" s="1" t="s">
        <v>3312</v>
      </c>
      <c r="J721" s="1" t="s">
        <v>3313</v>
      </c>
      <c r="K721" s="1" t="s">
        <v>3314</v>
      </c>
      <c r="L721" s="1" t="s">
        <v>3315</v>
      </c>
      <c r="M721" s="1" t="s">
        <v>3316</v>
      </c>
      <c r="N721" s="1"/>
      <c r="O721" s="1" t="s">
        <v>9</v>
      </c>
      <c r="P721" s="1" t="s">
        <v>4246</v>
      </c>
      <c r="Q721" s="1"/>
      <c r="R721" s="1"/>
      <c r="S721" s="1"/>
      <c r="T721" s="1">
        <v>1</v>
      </c>
      <c r="U721" s="1"/>
      <c r="V721" s="1"/>
      <c r="W721" s="1"/>
      <c r="X721" s="1" t="s">
        <v>3341</v>
      </c>
      <c r="Y721" t="s">
        <v>9</v>
      </c>
      <c r="Z721" t="s">
        <v>4316</v>
      </c>
      <c r="AA721" t="s">
        <v>4317</v>
      </c>
      <c r="AB721" t="s">
        <v>5401</v>
      </c>
      <c r="AC721" t="s">
        <v>4336</v>
      </c>
      <c r="AD721" s="18">
        <v>46117</v>
      </c>
    </row>
    <row r="722" spans="1:30" ht="300" hidden="1">
      <c r="A722" s="1" t="s">
        <v>965</v>
      </c>
      <c r="B722" s="1">
        <v>1721</v>
      </c>
      <c r="C722" s="1">
        <v>14</v>
      </c>
      <c r="D722" s="1">
        <v>1</v>
      </c>
      <c r="E722" s="1" t="s">
        <v>4297</v>
      </c>
      <c r="F722" s="1" t="s">
        <v>4299</v>
      </c>
      <c r="G722" s="1" t="s">
        <v>4294</v>
      </c>
      <c r="H722" s="1" t="s">
        <v>3317</v>
      </c>
      <c r="I722" s="1" t="s">
        <v>3318</v>
      </c>
      <c r="J722" s="1" t="s">
        <v>3319</v>
      </c>
      <c r="K722" s="1" t="s">
        <v>3320</v>
      </c>
      <c r="L722" s="1" t="s">
        <v>3321</v>
      </c>
      <c r="M722" s="1" t="s">
        <v>494</v>
      </c>
      <c r="N722" s="1"/>
      <c r="O722" s="1" t="s">
        <v>11</v>
      </c>
      <c r="P722" s="1" t="s">
        <v>4247</v>
      </c>
      <c r="Q722" s="1"/>
      <c r="R722" s="1"/>
      <c r="S722" s="1"/>
      <c r="T722" s="1"/>
      <c r="U722" s="1">
        <v>1</v>
      </c>
      <c r="V722" s="1"/>
      <c r="W722" s="1"/>
      <c r="X722" s="1"/>
      <c r="Y722" t="s">
        <v>11</v>
      </c>
      <c r="Z722" t="s">
        <v>4316</v>
      </c>
      <c r="AA722" t="s">
        <v>4317</v>
      </c>
      <c r="AB722" t="s">
        <v>5402</v>
      </c>
      <c r="AD722" s="18">
        <v>46117</v>
      </c>
    </row>
    <row r="723" spans="1:30" ht="195" hidden="1">
      <c r="A723" s="1" t="s">
        <v>965</v>
      </c>
      <c r="B723" s="1">
        <v>1722</v>
      </c>
      <c r="C723" s="1">
        <v>14</v>
      </c>
      <c r="D723" s="1">
        <v>2</v>
      </c>
      <c r="E723" s="1" t="s">
        <v>4290</v>
      </c>
      <c r="F723" s="1" t="s">
        <v>4291</v>
      </c>
      <c r="G723" s="1" t="s">
        <v>4294</v>
      </c>
      <c r="H723" s="1" t="s">
        <v>3322</v>
      </c>
      <c r="I723" s="1" t="s">
        <v>3323</v>
      </c>
      <c r="J723" s="1" t="s">
        <v>3324</v>
      </c>
      <c r="K723" s="1" t="s">
        <v>3325</v>
      </c>
      <c r="L723" s="1" t="s">
        <v>3326</v>
      </c>
      <c r="M723" s="1" t="s">
        <v>3327</v>
      </c>
      <c r="N723" s="1"/>
      <c r="O723" s="1" t="s">
        <v>10</v>
      </c>
      <c r="P723" s="1" t="s">
        <v>5552</v>
      </c>
      <c r="Q723" s="1"/>
      <c r="R723" s="1"/>
      <c r="S723" s="1"/>
      <c r="T723" s="1"/>
      <c r="U723" s="1">
        <v>1</v>
      </c>
      <c r="V723" s="1"/>
      <c r="W723" s="1"/>
      <c r="X723" s="1"/>
      <c r="Y723" t="s">
        <v>10</v>
      </c>
      <c r="Z723" t="s">
        <v>4316</v>
      </c>
      <c r="AA723" t="s">
        <v>4317</v>
      </c>
      <c r="AB723" t="s">
        <v>5403</v>
      </c>
      <c r="AC723" t="s">
        <v>4407</v>
      </c>
      <c r="AD723" s="18">
        <v>46117</v>
      </c>
    </row>
    <row r="724" spans="1:30" ht="315" hidden="1">
      <c r="A724" s="1" t="s">
        <v>965</v>
      </c>
      <c r="B724" s="1">
        <v>1723</v>
      </c>
      <c r="C724" s="1">
        <v>14</v>
      </c>
      <c r="D724" s="1">
        <v>3</v>
      </c>
      <c r="E724" s="1" t="s">
        <v>4297</v>
      </c>
      <c r="F724" s="1" t="s">
        <v>4298</v>
      </c>
      <c r="G724" s="1" t="s">
        <v>4294</v>
      </c>
      <c r="H724" s="1" t="s">
        <v>3328</v>
      </c>
      <c r="I724" s="1" t="s">
        <v>3329</v>
      </c>
      <c r="J724" s="1" t="s">
        <v>3048</v>
      </c>
      <c r="K724" s="1" t="s">
        <v>3330</v>
      </c>
      <c r="L724" s="1" t="s">
        <v>3331</v>
      </c>
      <c r="M724" s="1" t="s">
        <v>3049</v>
      </c>
      <c r="N724" s="1"/>
      <c r="O724" s="1" t="s">
        <v>9</v>
      </c>
      <c r="P724" s="1" t="s">
        <v>4248</v>
      </c>
      <c r="Q724" s="1"/>
      <c r="R724" s="1"/>
      <c r="S724" s="1"/>
      <c r="T724" s="1"/>
      <c r="U724" s="1">
        <v>1</v>
      </c>
      <c r="V724" s="1"/>
      <c r="W724" s="1"/>
      <c r="X724" s="1"/>
      <c r="Y724" t="s">
        <v>9</v>
      </c>
      <c r="Z724" t="s">
        <v>4316</v>
      </c>
      <c r="AA724" t="s">
        <v>4317</v>
      </c>
      <c r="AB724" t="s">
        <v>5404</v>
      </c>
      <c r="AC724" t="s">
        <v>4965</v>
      </c>
      <c r="AD724" s="18">
        <v>46117</v>
      </c>
    </row>
    <row r="725" spans="1:30" ht="135" hidden="1">
      <c r="A725" s="1" t="s">
        <v>965</v>
      </c>
      <c r="B725" s="1">
        <v>1724</v>
      </c>
      <c r="C725" s="1">
        <v>14</v>
      </c>
      <c r="D725" s="1">
        <v>4</v>
      </c>
      <c r="E725" s="1" t="s">
        <v>4305</v>
      </c>
      <c r="F725" s="1" t="s">
        <v>3339</v>
      </c>
      <c r="G725" s="1" t="s">
        <v>20</v>
      </c>
      <c r="H725" s="1" t="s">
        <v>3332</v>
      </c>
      <c r="I725" s="1" t="s">
        <v>3333</v>
      </c>
      <c r="J725" s="1" t="s">
        <v>3334</v>
      </c>
      <c r="K725" s="1" t="s">
        <v>3335</v>
      </c>
      <c r="L725" s="1" t="s">
        <v>3336</v>
      </c>
      <c r="M725" s="1" t="s">
        <v>3337</v>
      </c>
      <c r="N725" s="1"/>
      <c r="O725" s="1" t="s">
        <v>11</v>
      </c>
      <c r="P725" s="1" t="s">
        <v>4249</v>
      </c>
      <c r="Q725" s="1"/>
      <c r="R725" s="1"/>
      <c r="S725" s="1"/>
      <c r="T725" s="1"/>
      <c r="U725" s="1">
        <v>1</v>
      </c>
      <c r="V725" s="1"/>
      <c r="W725" s="1"/>
      <c r="X725" s="1"/>
      <c r="Y725" t="s">
        <v>11</v>
      </c>
      <c r="Z725" t="s">
        <v>4316</v>
      </c>
      <c r="AA725" t="s">
        <v>4317</v>
      </c>
      <c r="AB725" t="s">
        <v>5405</v>
      </c>
      <c r="AC725" t="s">
        <v>5406</v>
      </c>
      <c r="AD725" s="18">
        <v>46117</v>
      </c>
    </row>
    <row r="726" spans="1:30" ht="240" hidden="1">
      <c r="A726" s="1" t="s">
        <v>965</v>
      </c>
      <c r="B726" s="1">
        <v>1725</v>
      </c>
      <c r="C726" s="1">
        <v>14</v>
      </c>
      <c r="D726" s="1">
        <v>5</v>
      </c>
      <c r="E726" s="1" t="s">
        <v>4292</v>
      </c>
      <c r="F726" s="1" t="s">
        <v>4303</v>
      </c>
      <c r="G726" s="1" t="s">
        <v>4294</v>
      </c>
      <c r="H726" s="1" t="s">
        <v>3338</v>
      </c>
      <c r="I726" s="1" t="s">
        <v>3236</v>
      </c>
      <c r="J726" s="1" t="s">
        <v>363</v>
      </c>
      <c r="K726" s="1" t="s">
        <v>3339</v>
      </c>
      <c r="L726" s="1" t="s">
        <v>3340</v>
      </c>
      <c r="M726" s="1" t="s">
        <v>3341</v>
      </c>
      <c r="N726" s="1"/>
      <c r="O726" s="1" t="s">
        <v>11</v>
      </c>
      <c r="P726" s="1" t="s">
        <v>5553</v>
      </c>
      <c r="Q726" s="1"/>
      <c r="R726" s="1"/>
      <c r="S726" s="1"/>
      <c r="T726" s="1">
        <v>1</v>
      </c>
      <c r="U726" s="1"/>
      <c r="V726" s="1"/>
      <c r="W726" s="1"/>
      <c r="X726" s="1"/>
      <c r="Y726" t="s">
        <v>11</v>
      </c>
      <c r="Z726" t="s">
        <v>4316</v>
      </c>
      <c r="AA726" t="s">
        <v>4317</v>
      </c>
      <c r="AB726" t="s">
        <v>5407</v>
      </c>
      <c r="AC726" t="s">
        <v>4336</v>
      </c>
      <c r="AD726" s="18">
        <v>46117</v>
      </c>
    </row>
    <row r="727" spans="1:30" ht="375" hidden="1">
      <c r="A727" s="1" t="s">
        <v>965</v>
      </c>
      <c r="B727" s="1">
        <v>1726</v>
      </c>
      <c r="C727" s="1">
        <v>14</v>
      </c>
      <c r="D727" s="1">
        <v>6</v>
      </c>
      <c r="E727" s="1" t="s">
        <v>4290</v>
      </c>
      <c r="F727" s="1" t="s">
        <v>4291</v>
      </c>
      <c r="G727" s="1" t="s">
        <v>20</v>
      </c>
      <c r="H727" s="1" t="s">
        <v>3342</v>
      </c>
      <c r="I727" s="1" t="s">
        <v>3343</v>
      </c>
      <c r="J727" s="1" t="s">
        <v>3344</v>
      </c>
      <c r="K727" s="1" t="s">
        <v>3345</v>
      </c>
      <c r="L727" s="1" t="s">
        <v>3346</v>
      </c>
      <c r="M727" s="1" t="s">
        <v>3347</v>
      </c>
      <c r="N727" s="1"/>
      <c r="O727" s="1" t="s">
        <v>10</v>
      </c>
      <c r="P727" s="1" t="s">
        <v>5554</v>
      </c>
      <c r="Q727" s="1"/>
      <c r="R727" s="1"/>
      <c r="S727" s="1"/>
      <c r="T727" s="1"/>
      <c r="U727" s="1"/>
      <c r="V727" s="1"/>
      <c r="W727" s="1"/>
      <c r="X727" s="1" t="s">
        <v>4250</v>
      </c>
      <c r="Y727" t="s">
        <v>10</v>
      </c>
      <c r="Z727" t="s">
        <v>4316</v>
      </c>
      <c r="AA727" t="s">
        <v>4317</v>
      </c>
      <c r="AB727" t="s">
        <v>5408</v>
      </c>
      <c r="AC727" t="s">
        <v>4481</v>
      </c>
      <c r="AD727" s="18">
        <v>46117</v>
      </c>
    </row>
    <row r="728" spans="1:30" ht="165" hidden="1">
      <c r="A728" s="1" t="s">
        <v>965</v>
      </c>
      <c r="B728" s="1">
        <v>1727</v>
      </c>
      <c r="C728" s="1">
        <v>14</v>
      </c>
      <c r="D728" s="1">
        <v>7</v>
      </c>
      <c r="E728" s="1" t="s">
        <v>4297</v>
      </c>
      <c r="F728" s="1" t="s">
        <v>4300</v>
      </c>
      <c r="G728" s="1" t="s">
        <v>20</v>
      </c>
      <c r="H728" s="1" t="s">
        <v>3348</v>
      </c>
      <c r="I728" s="1" t="s">
        <v>3349</v>
      </c>
      <c r="J728" s="1" t="s">
        <v>3350</v>
      </c>
      <c r="K728" s="1" t="s">
        <v>3351</v>
      </c>
      <c r="L728" s="1" t="s">
        <v>3352</v>
      </c>
      <c r="M728" s="1" t="s">
        <v>3353</v>
      </c>
      <c r="N728" s="1"/>
      <c r="O728" s="1" t="s">
        <v>9</v>
      </c>
      <c r="P728" s="1" t="s">
        <v>4251</v>
      </c>
      <c r="Q728" s="1"/>
      <c r="R728" s="1"/>
      <c r="S728" s="1"/>
      <c r="T728" s="1"/>
      <c r="U728" s="1"/>
      <c r="V728" s="1"/>
      <c r="W728" s="1"/>
      <c r="X728" s="1"/>
      <c r="Y728" t="s">
        <v>9</v>
      </c>
      <c r="Z728" t="s">
        <v>4316</v>
      </c>
      <c r="AA728" t="s">
        <v>4317</v>
      </c>
      <c r="AB728" t="s">
        <v>5409</v>
      </c>
      <c r="AC728" t="s">
        <v>4344</v>
      </c>
      <c r="AD728" s="18">
        <v>46117</v>
      </c>
    </row>
    <row r="729" spans="1:30" ht="195" hidden="1">
      <c r="A729" s="1" t="s">
        <v>965</v>
      </c>
      <c r="B729" s="1">
        <v>1728</v>
      </c>
      <c r="C729" s="1">
        <v>14</v>
      </c>
      <c r="D729" s="1">
        <v>8</v>
      </c>
      <c r="E729" s="1" t="s">
        <v>4295</v>
      </c>
      <c r="F729" s="1" t="s">
        <v>4296</v>
      </c>
      <c r="G729" s="1" t="s">
        <v>40</v>
      </c>
      <c r="H729" s="1" t="s">
        <v>3354</v>
      </c>
      <c r="I729" s="1" t="s">
        <v>3355</v>
      </c>
      <c r="J729" s="1" t="s">
        <v>3356</v>
      </c>
      <c r="K729" s="1" t="s">
        <v>3357</v>
      </c>
      <c r="L729" s="1" t="s">
        <v>3358</v>
      </c>
      <c r="M729" s="1" t="s">
        <v>3359</v>
      </c>
      <c r="N729" s="1"/>
      <c r="O729" s="1" t="s">
        <v>11</v>
      </c>
      <c r="P729" s="1" t="s">
        <v>4252</v>
      </c>
      <c r="Q729" s="1"/>
      <c r="R729" s="1"/>
      <c r="S729" s="1"/>
      <c r="T729" s="1"/>
      <c r="U729" s="1"/>
      <c r="V729" s="1"/>
      <c r="W729" s="1"/>
      <c r="X729" s="1"/>
      <c r="Y729" t="s">
        <v>11</v>
      </c>
      <c r="Z729" t="s">
        <v>4316</v>
      </c>
      <c r="AA729" t="s">
        <v>4317</v>
      </c>
      <c r="AB729" t="s">
        <v>5410</v>
      </c>
      <c r="AC729" t="s">
        <v>4369</v>
      </c>
      <c r="AD729" s="18">
        <v>46117</v>
      </c>
    </row>
    <row r="730" spans="1:30" ht="105" hidden="1">
      <c r="A730" s="1" t="s">
        <v>965</v>
      </c>
      <c r="B730" s="1">
        <v>1729</v>
      </c>
      <c r="C730" s="1">
        <v>14</v>
      </c>
      <c r="D730" s="1">
        <v>9</v>
      </c>
      <c r="E730" s="1" t="s">
        <v>4295</v>
      </c>
      <c r="F730" s="1" t="s">
        <v>2580</v>
      </c>
      <c r="G730" s="1" t="s">
        <v>20</v>
      </c>
      <c r="H730" s="1" t="s">
        <v>3360</v>
      </c>
      <c r="I730" s="1" t="s">
        <v>3361</v>
      </c>
      <c r="J730" s="1" t="s">
        <v>2748</v>
      </c>
      <c r="K730" s="1" t="s">
        <v>2662</v>
      </c>
      <c r="L730" s="1" t="s">
        <v>545</v>
      </c>
      <c r="M730" s="1" t="s">
        <v>3362</v>
      </c>
      <c r="N730" s="1"/>
      <c r="O730" s="1" t="s">
        <v>9</v>
      </c>
      <c r="P730" s="1" t="s">
        <v>4253</v>
      </c>
      <c r="Q730" s="1"/>
      <c r="R730" s="1"/>
      <c r="S730" s="1"/>
      <c r="T730" s="1"/>
      <c r="U730" s="1"/>
      <c r="V730" s="1"/>
      <c r="W730" s="1"/>
      <c r="X730" s="1"/>
      <c r="Y730" t="s">
        <v>9</v>
      </c>
      <c r="Z730" t="s">
        <v>4316</v>
      </c>
      <c r="AA730" t="s">
        <v>4317</v>
      </c>
      <c r="AB730" t="s">
        <v>5411</v>
      </c>
      <c r="AC730" t="s">
        <v>5321</v>
      </c>
      <c r="AD730" s="18">
        <v>46117</v>
      </c>
    </row>
    <row r="731" spans="1:30" ht="375" hidden="1">
      <c r="A731" s="1" t="s">
        <v>965</v>
      </c>
      <c r="B731" s="1">
        <v>1730</v>
      </c>
      <c r="C731" s="1">
        <v>14</v>
      </c>
      <c r="D731" s="1">
        <v>10</v>
      </c>
      <c r="E731" s="1" t="s">
        <v>4297</v>
      </c>
      <c r="F731" s="1" t="s">
        <v>4301</v>
      </c>
      <c r="G731" s="1" t="s">
        <v>40</v>
      </c>
      <c r="H731" s="1" t="s">
        <v>3363</v>
      </c>
      <c r="I731" s="1" t="s">
        <v>3364</v>
      </c>
      <c r="J731" s="1" t="s">
        <v>3365</v>
      </c>
      <c r="K731" s="1" t="s">
        <v>3366</v>
      </c>
      <c r="L731" s="1" t="s">
        <v>3367</v>
      </c>
      <c r="M731" s="1" t="s">
        <v>3368</v>
      </c>
      <c r="N731" s="1"/>
      <c r="O731" s="1" t="s">
        <v>10</v>
      </c>
      <c r="P731" s="1" t="s">
        <v>4254</v>
      </c>
      <c r="Q731" s="1"/>
      <c r="R731" s="1"/>
      <c r="S731" s="1"/>
      <c r="T731" s="1">
        <v>1</v>
      </c>
      <c r="U731" s="1"/>
      <c r="V731" s="1"/>
      <c r="W731" s="1"/>
      <c r="X731" s="1"/>
      <c r="Y731" t="s">
        <v>10</v>
      </c>
      <c r="Z731" t="s">
        <v>4316</v>
      </c>
      <c r="AA731" t="s">
        <v>4317</v>
      </c>
      <c r="AB731" t="s">
        <v>5412</v>
      </c>
      <c r="AC731" t="s">
        <v>5295</v>
      </c>
      <c r="AD731" s="18">
        <v>46117</v>
      </c>
    </row>
    <row r="732" spans="1:30" ht="315" hidden="1">
      <c r="A732" s="1" t="s">
        <v>965</v>
      </c>
      <c r="B732" s="1">
        <v>1731</v>
      </c>
      <c r="C732" s="1">
        <v>14</v>
      </c>
      <c r="D732" s="1">
        <v>11</v>
      </c>
      <c r="E732" s="1" t="s">
        <v>4295</v>
      </c>
      <c r="F732" s="1" t="s">
        <v>4296</v>
      </c>
      <c r="G732" s="1" t="s">
        <v>40</v>
      </c>
      <c r="H732" s="1" t="s">
        <v>5555</v>
      </c>
      <c r="I732" s="1" t="s">
        <v>3369</v>
      </c>
      <c r="J732" s="1" t="s">
        <v>3370</v>
      </c>
      <c r="K732" s="1" t="s">
        <v>3371</v>
      </c>
      <c r="L732" s="1" t="s">
        <v>3372</v>
      </c>
      <c r="M732" s="1" t="s">
        <v>3373</v>
      </c>
      <c r="N732" s="1"/>
      <c r="O732" s="1" t="s">
        <v>9</v>
      </c>
      <c r="P732" s="1" t="s">
        <v>5556</v>
      </c>
      <c r="Q732" s="1"/>
      <c r="R732" s="1"/>
      <c r="S732" s="1"/>
      <c r="T732" s="1"/>
      <c r="U732" s="1"/>
      <c r="V732" s="1"/>
      <c r="W732" s="1"/>
      <c r="X732" s="1"/>
      <c r="Y732" t="s">
        <v>9</v>
      </c>
      <c r="Z732" t="s">
        <v>4316</v>
      </c>
      <c r="AA732" t="s">
        <v>4317</v>
      </c>
      <c r="AB732" t="s">
        <v>5413</v>
      </c>
      <c r="AC732" t="s">
        <v>4377</v>
      </c>
      <c r="AD732" s="18">
        <v>46117</v>
      </c>
    </row>
    <row r="733" spans="1:30" ht="120" hidden="1">
      <c r="A733" s="1" t="s">
        <v>965</v>
      </c>
      <c r="B733" s="1">
        <v>1732</v>
      </c>
      <c r="C733" s="1">
        <v>14</v>
      </c>
      <c r="D733" s="1">
        <v>12</v>
      </c>
      <c r="E733" s="1" t="s">
        <v>4292</v>
      </c>
      <c r="F733" s="1" t="s">
        <v>4304</v>
      </c>
      <c r="G733" s="1" t="s">
        <v>4294</v>
      </c>
      <c r="H733" s="1" t="s">
        <v>3374</v>
      </c>
      <c r="I733" s="1" t="s">
        <v>3375</v>
      </c>
      <c r="J733" s="1" t="s">
        <v>3376</v>
      </c>
      <c r="K733" s="1" t="s">
        <v>3377</v>
      </c>
      <c r="L733" s="1" t="s">
        <v>3378</v>
      </c>
      <c r="M733" s="1" t="s">
        <v>3379</v>
      </c>
      <c r="N733" s="1"/>
      <c r="O733" s="1" t="s">
        <v>10</v>
      </c>
      <c r="P733" s="1" t="s">
        <v>4255</v>
      </c>
      <c r="Q733" s="1"/>
      <c r="R733" s="1"/>
      <c r="S733" s="1"/>
      <c r="T733" s="1"/>
      <c r="U733" s="1"/>
      <c r="V733" s="1"/>
      <c r="W733" s="1"/>
      <c r="X733" s="1"/>
      <c r="Y733" t="s">
        <v>10</v>
      </c>
      <c r="Z733" t="s">
        <v>4316</v>
      </c>
      <c r="AA733" t="s">
        <v>4317</v>
      </c>
      <c r="AB733" t="s">
        <v>5414</v>
      </c>
      <c r="AC733" t="s">
        <v>5053</v>
      </c>
      <c r="AD733" s="18">
        <v>46117</v>
      </c>
    </row>
    <row r="734" spans="1:30" ht="135" hidden="1">
      <c r="A734" s="1" t="s">
        <v>965</v>
      </c>
      <c r="B734" s="1">
        <v>1733</v>
      </c>
      <c r="C734" s="1">
        <v>14</v>
      </c>
      <c r="D734" s="1">
        <v>13</v>
      </c>
      <c r="E734" s="1" t="s">
        <v>4290</v>
      </c>
      <c r="F734" s="1" t="s">
        <v>4302</v>
      </c>
      <c r="G734" s="1" t="s">
        <v>4294</v>
      </c>
      <c r="H734" s="1" t="s">
        <v>3380</v>
      </c>
      <c r="I734" s="1" t="s">
        <v>3381</v>
      </c>
      <c r="J734" s="1" t="s">
        <v>3382</v>
      </c>
      <c r="K734" s="1" t="s">
        <v>3383</v>
      </c>
      <c r="L734" s="1" t="s">
        <v>3384</v>
      </c>
      <c r="M734" s="1" t="s">
        <v>3385</v>
      </c>
      <c r="N734" s="1"/>
      <c r="O734" s="1" t="s">
        <v>8</v>
      </c>
      <c r="P734" s="1" t="s">
        <v>4256</v>
      </c>
      <c r="Q734" s="1"/>
      <c r="R734" s="1"/>
      <c r="S734" s="1"/>
      <c r="T734" s="1"/>
      <c r="U734" s="1"/>
      <c r="V734" s="1"/>
      <c r="W734" s="1"/>
      <c r="X734" s="1"/>
      <c r="Y734" t="s">
        <v>8</v>
      </c>
      <c r="Z734" t="s">
        <v>4316</v>
      </c>
      <c r="AA734" t="s">
        <v>4317</v>
      </c>
      <c r="AB734" t="s">
        <v>5415</v>
      </c>
      <c r="AC734" t="s">
        <v>5108</v>
      </c>
      <c r="AD734" s="18">
        <v>46117</v>
      </c>
    </row>
    <row r="735" spans="1:30" ht="195" hidden="1">
      <c r="A735" s="1" t="s">
        <v>965</v>
      </c>
      <c r="B735" s="1">
        <v>1734</v>
      </c>
      <c r="C735" s="1">
        <v>14</v>
      </c>
      <c r="D735" s="1">
        <v>14</v>
      </c>
      <c r="E735" s="1" t="s">
        <v>4292</v>
      </c>
      <c r="F735" s="1" t="s">
        <v>4303</v>
      </c>
      <c r="G735" s="1" t="s">
        <v>20</v>
      </c>
      <c r="H735" s="1" t="s">
        <v>3386</v>
      </c>
      <c r="I735" s="1" t="s">
        <v>3387</v>
      </c>
      <c r="J735" s="1" t="s">
        <v>3388</v>
      </c>
      <c r="K735" s="1" t="s">
        <v>3389</v>
      </c>
      <c r="L735" s="1" t="s">
        <v>3390</v>
      </c>
      <c r="M735" s="1" t="s">
        <v>363</v>
      </c>
      <c r="N735" s="1"/>
      <c r="O735" s="1" t="s">
        <v>8</v>
      </c>
      <c r="P735" s="1" t="s">
        <v>4257</v>
      </c>
      <c r="Q735" s="1"/>
      <c r="R735" s="1"/>
      <c r="S735" s="1"/>
      <c r="T735" s="1">
        <v>1</v>
      </c>
      <c r="U735" s="1"/>
      <c r="V735" s="1"/>
      <c r="W735" s="1"/>
      <c r="X735" s="1"/>
      <c r="Y735" t="s">
        <v>8</v>
      </c>
      <c r="Z735" t="s">
        <v>4316</v>
      </c>
      <c r="AA735" t="s">
        <v>4317</v>
      </c>
      <c r="AB735" t="s">
        <v>5416</v>
      </c>
      <c r="AC735" t="s">
        <v>4484</v>
      </c>
      <c r="AD735" s="18">
        <v>46117</v>
      </c>
    </row>
    <row r="736" spans="1:30" ht="195" hidden="1">
      <c r="A736" s="1" t="s">
        <v>965</v>
      </c>
      <c r="B736" s="1">
        <v>1735</v>
      </c>
      <c r="C736" s="1">
        <v>14</v>
      </c>
      <c r="D736" s="1">
        <v>15</v>
      </c>
      <c r="E736" s="1" t="s">
        <v>4297</v>
      </c>
      <c r="F736" s="1" t="s">
        <v>4298</v>
      </c>
      <c r="G736" s="1" t="s">
        <v>4294</v>
      </c>
      <c r="H736" s="1" t="s">
        <v>3391</v>
      </c>
      <c r="I736" s="1" t="s">
        <v>3828</v>
      </c>
      <c r="J736" s="1" t="s">
        <v>3829</v>
      </c>
      <c r="K736" s="1" t="s">
        <v>3830</v>
      </c>
      <c r="L736" s="1" t="s">
        <v>3831</v>
      </c>
      <c r="M736" s="1" t="s">
        <v>3832</v>
      </c>
      <c r="N736" s="1"/>
      <c r="O736" s="1" t="s">
        <v>9</v>
      </c>
      <c r="P736" s="1" t="s">
        <v>4258</v>
      </c>
      <c r="Q736" s="1"/>
      <c r="R736" s="1"/>
      <c r="S736" s="1"/>
      <c r="T736" s="1"/>
      <c r="U736" s="1">
        <v>1</v>
      </c>
      <c r="V736" s="1"/>
      <c r="W736" s="1"/>
      <c r="X736" s="1"/>
      <c r="Y736" t="s">
        <v>9</v>
      </c>
      <c r="Z736" t="s">
        <v>4316</v>
      </c>
      <c r="AA736" t="s">
        <v>4317</v>
      </c>
      <c r="AB736" t="s">
        <v>5417</v>
      </c>
      <c r="AD736" s="18">
        <v>46117</v>
      </c>
    </row>
    <row r="737" spans="1:30" ht="135" hidden="1">
      <c r="A737" s="1" t="s">
        <v>965</v>
      </c>
      <c r="B737" s="1">
        <v>1736</v>
      </c>
      <c r="C737" s="1">
        <v>14</v>
      </c>
      <c r="D737" s="1">
        <v>16</v>
      </c>
      <c r="E737" s="1" t="s">
        <v>4292</v>
      </c>
      <c r="F737" s="1" t="s">
        <v>4303</v>
      </c>
      <c r="G737" s="1" t="s">
        <v>4294</v>
      </c>
      <c r="H737" s="1" t="s">
        <v>3392</v>
      </c>
      <c r="I737" s="1" t="s">
        <v>3393</v>
      </c>
      <c r="J737" s="1" t="s">
        <v>3394</v>
      </c>
      <c r="K737" s="1" t="s">
        <v>3395</v>
      </c>
      <c r="L737" s="1" t="s">
        <v>3396</v>
      </c>
      <c r="M737" s="1" t="s">
        <v>3397</v>
      </c>
      <c r="N737" s="1"/>
      <c r="O737" s="1" t="s">
        <v>11</v>
      </c>
      <c r="P737" s="1" t="s">
        <v>4259</v>
      </c>
      <c r="Q737" s="1"/>
      <c r="R737" s="1"/>
      <c r="S737" s="1"/>
      <c r="T737" s="1"/>
      <c r="U737" s="1"/>
      <c r="V737" s="1"/>
      <c r="W737" s="1"/>
      <c r="X737" s="1"/>
      <c r="Y737" t="s">
        <v>11</v>
      </c>
      <c r="Z737" t="s">
        <v>4316</v>
      </c>
      <c r="AA737" t="s">
        <v>4317</v>
      </c>
      <c r="AB737" t="s">
        <v>5418</v>
      </c>
      <c r="AC737" t="s">
        <v>5193</v>
      </c>
      <c r="AD737" s="18">
        <v>46117</v>
      </c>
    </row>
    <row r="738" spans="1:30" ht="409.5" hidden="1">
      <c r="A738" s="1" t="s">
        <v>965</v>
      </c>
      <c r="B738" s="1">
        <v>1737</v>
      </c>
      <c r="C738" s="1">
        <v>14</v>
      </c>
      <c r="D738" s="1">
        <v>17</v>
      </c>
      <c r="E738" s="1" t="s">
        <v>4292</v>
      </c>
      <c r="F738" s="1" t="s">
        <v>4293</v>
      </c>
      <c r="G738" s="1" t="s">
        <v>4294</v>
      </c>
      <c r="H738" s="1" t="s">
        <v>3406</v>
      </c>
      <c r="I738" s="1" t="s">
        <v>3398</v>
      </c>
      <c r="J738" s="1" t="s">
        <v>3399</v>
      </c>
      <c r="K738" s="1" t="s">
        <v>3400</v>
      </c>
      <c r="L738" s="1" t="s">
        <v>3401</v>
      </c>
      <c r="M738" s="1" t="s">
        <v>3402</v>
      </c>
      <c r="N738" s="1"/>
      <c r="O738" s="1" t="s">
        <v>7</v>
      </c>
      <c r="P738" s="1" t="s">
        <v>5557</v>
      </c>
      <c r="Q738" s="1"/>
      <c r="R738" s="1"/>
      <c r="S738" s="1"/>
      <c r="T738" s="1"/>
      <c r="U738" s="1"/>
      <c r="V738" s="1"/>
      <c r="W738" s="1"/>
      <c r="X738" s="1"/>
      <c r="Y738" t="s">
        <v>7</v>
      </c>
      <c r="Z738" t="s">
        <v>4316</v>
      </c>
      <c r="AA738" t="s">
        <v>4317</v>
      </c>
      <c r="AB738" t="s">
        <v>5419</v>
      </c>
      <c r="AC738" t="s">
        <v>5176</v>
      </c>
      <c r="AD738" s="18">
        <v>46117</v>
      </c>
    </row>
    <row r="739" spans="1:30" ht="225" hidden="1">
      <c r="A739" s="1" t="s">
        <v>965</v>
      </c>
      <c r="B739" s="1">
        <v>1738</v>
      </c>
      <c r="C739" s="1">
        <v>14</v>
      </c>
      <c r="D739" s="1">
        <v>18</v>
      </c>
      <c r="E739" s="1" t="s">
        <v>4297</v>
      </c>
      <c r="F739" s="1" t="s">
        <v>4298</v>
      </c>
      <c r="G739" s="1" t="s">
        <v>40</v>
      </c>
      <c r="H739" s="1" t="s">
        <v>3403</v>
      </c>
      <c r="I739" s="1" t="s">
        <v>1540</v>
      </c>
      <c r="J739" s="1" t="s">
        <v>1541</v>
      </c>
      <c r="K739" s="1" t="s">
        <v>3404</v>
      </c>
      <c r="L739" s="1" t="s">
        <v>1232</v>
      </c>
      <c r="M739" s="1" t="s">
        <v>3405</v>
      </c>
      <c r="N739" s="1"/>
      <c r="O739" s="1" t="s">
        <v>11</v>
      </c>
      <c r="P739" s="1" t="s">
        <v>4260</v>
      </c>
      <c r="Q739" s="1"/>
      <c r="R739" s="1"/>
      <c r="S739" s="1"/>
      <c r="T739" s="1"/>
      <c r="U739" s="1">
        <v>1</v>
      </c>
      <c r="V739" s="1"/>
      <c r="W739" s="1"/>
      <c r="X739" s="1"/>
      <c r="Y739" t="s">
        <v>11</v>
      </c>
      <c r="Z739" t="s">
        <v>4316</v>
      </c>
      <c r="AA739" t="s">
        <v>4317</v>
      </c>
      <c r="AB739" t="s">
        <v>5420</v>
      </c>
      <c r="AC739" t="s">
        <v>4327</v>
      </c>
      <c r="AD739" s="18">
        <v>46117</v>
      </c>
    </row>
    <row r="740" spans="1:30" ht="409.5" hidden="1">
      <c r="A740" s="1" t="s">
        <v>965</v>
      </c>
      <c r="B740" s="1">
        <v>1739</v>
      </c>
      <c r="C740" s="1">
        <v>14</v>
      </c>
      <c r="D740" s="1">
        <v>19</v>
      </c>
      <c r="E740" s="1" t="s">
        <v>4297</v>
      </c>
      <c r="F740" s="1" t="s">
        <v>4301</v>
      </c>
      <c r="G740" s="1" t="s">
        <v>40</v>
      </c>
      <c r="H740" s="1" t="s">
        <v>3533</v>
      </c>
      <c r="I740" s="1" t="s">
        <v>3534</v>
      </c>
      <c r="J740" s="1" t="s">
        <v>3535</v>
      </c>
      <c r="K740" s="1" t="s">
        <v>3536</v>
      </c>
      <c r="L740" s="1" t="s">
        <v>3537</v>
      </c>
      <c r="M740" s="1" t="s">
        <v>3538</v>
      </c>
      <c r="N740" s="1"/>
      <c r="O740" s="1" t="s">
        <v>10</v>
      </c>
      <c r="P740" s="1" t="s">
        <v>4261</v>
      </c>
      <c r="Q740" s="1"/>
      <c r="R740" s="1"/>
      <c r="S740" s="1"/>
      <c r="T740" s="1">
        <v>1</v>
      </c>
      <c r="U740" s="1"/>
      <c r="V740" s="1"/>
      <c r="W740" s="1"/>
      <c r="X740" s="1"/>
      <c r="Y740" t="s">
        <v>10</v>
      </c>
      <c r="Z740" t="s">
        <v>4316</v>
      </c>
      <c r="AA740" t="s">
        <v>4317</v>
      </c>
      <c r="AB740" t="s">
        <v>5421</v>
      </c>
      <c r="AC740" t="s">
        <v>4350</v>
      </c>
      <c r="AD740" s="18">
        <v>46117</v>
      </c>
    </row>
    <row r="741" spans="1:30" ht="315" hidden="1">
      <c r="A741" s="1" t="s">
        <v>965</v>
      </c>
      <c r="B741" s="1">
        <v>1740</v>
      </c>
      <c r="C741" s="1">
        <v>14</v>
      </c>
      <c r="D741" s="1">
        <v>20</v>
      </c>
      <c r="E741" s="1" t="s">
        <v>4297</v>
      </c>
      <c r="F741" s="1" t="s">
        <v>4298</v>
      </c>
      <c r="G741" s="1" t="s">
        <v>4294</v>
      </c>
      <c r="H741" s="1" t="s">
        <v>3407</v>
      </c>
      <c r="I741" s="1" t="s">
        <v>3408</v>
      </c>
      <c r="J741" s="1" t="s">
        <v>3409</v>
      </c>
      <c r="K741" s="1" t="s">
        <v>3410</v>
      </c>
      <c r="L741" s="1" t="s">
        <v>3411</v>
      </c>
      <c r="M741" s="1" t="s">
        <v>3412</v>
      </c>
      <c r="N741" s="1"/>
      <c r="O741" s="1" t="s">
        <v>11</v>
      </c>
      <c r="P741" s="1" t="s">
        <v>4262</v>
      </c>
      <c r="Q741" s="1"/>
      <c r="R741" s="1"/>
      <c r="S741" s="1"/>
      <c r="T741" s="1"/>
      <c r="U741" s="1">
        <v>1</v>
      </c>
      <c r="V741" s="1"/>
      <c r="W741" s="1"/>
      <c r="X741" s="1" t="s">
        <v>4263</v>
      </c>
      <c r="Y741" t="s">
        <v>11</v>
      </c>
      <c r="Z741" t="s">
        <v>4316</v>
      </c>
      <c r="AA741" t="s">
        <v>4317</v>
      </c>
      <c r="AB741" t="s">
        <v>5422</v>
      </c>
      <c r="AD741" s="18">
        <v>46117</v>
      </c>
    </row>
    <row r="742" spans="1:30" ht="270" hidden="1">
      <c r="A742" s="1" t="s">
        <v>965</v>
      </c>
      <c r="B742" s="1">
        <v>1741</v>
      </c>
      <c r="C742" s="1">
        <v>14</v>
      </c>
      <c r="D742" s="1">
        <v>21</v>
      </c>
      <c r="E742" s="1" t="s">
        <v>4305</v>
      </c>
      <c r="F742" s="1" t="s">
        <v>4307</v>
      </c>
      <c r="G742" s="1" t="s">
        <v>40</v>
      </c>
      <c r="H742" s="1" t="s">
        <v>3413</v>
      </c>
      <c r="I742" s="1" t="s">
        <v>3414</v>
      </c>
      <c r="J742" s="1" t="s">
        <v>3415</v>
      </c>
      <c r="K742" s="1" t="s">
        <v>3416</v>
      </c>
      <c r="L742" s="1" t="s">
        <v>3417</v>
      </c>
      <c r="M742" s="1" t="s">
        <v>3418</v>
      </c>
      <c r="N742" s="1"/>
      <c r="O742" s="1" t="s">
        <v>11</v>
      </c>
      <c r="P742" s="1" t="s">
        <v>4264</v>
      </c>
      <c r="Q742" s="1"/>
      <c r="R742" s="1"/>
      <c r="S742" s="1"/>
      <c r="T742" s="1">
        <v>1</v>
      </c>
      <c r="U742" s="1"/>
      <c r="V742" s="1"/>
      <c r="W742" s="1"/>
      <c r="X742" s="1"/>
      <c r="Y742" t="s">
        <v>11</v>
      </c>
      <c r="Z742" t="s">
        <v>4316</v>
      </c>
      <c r="AA742" t="s">
        <v>4317</v>
      </c>
      <c r="AB742" t="s">
        <v>5423</v>
      </c>
      <c r="AC742" t="s">
        <v>4865</v>
      </c>
      <c r="AD742" s="18">
        <v>46117</v>
      </c>
    </row>
    <row r="743" spans="1:30" ht="409.5" hidden="1">
      <c r="A743" s="1" t="s">
        <v>965</v>
      </c>
      <c r="B743" s="1">
        <v>1742</v>
      </c>
      <c r="C743" s="1">
        <v>14</v>
      </c>
      <c r="D743" s="1">
        <v>22</v>
      </c>
      <c r="E743" s="1" t="s">
        <v>4297</v>
      </c>
      <c r="F743" s="1" t="s">
        <v>4299</v>
      </c>
      <c r="G743" s="1" t="s">
        <v>4294</v>
      </c>
      <c r="H743" s="1" t="s">
        <v>3419</v>
      </c>
      <c r="I743" s="1" t="s">
        <v>3420</v>
      </c>
      <c r="J743" s="1" t="s">
        <v>3421</v>
      </c>
      <c r="K743" s="1" t="s">
        <v>3422</v>
      </c>
      <c r="L743" s="1" t="s">
        <v>3423</v>
      </c>
      <c r="M743" s="1" t="s">
        <v>3424</v>
      </c>
      <c r="N743" s="1"/>
      <c r="O743" s="1" t="s">
        <v>4265</v>
      </c>
      <c r="P743" s="1" t="s">
        <v>4266</v>
      </c>
      <c r="Q743" s="1"/>
      <c r="R743" s="1"/>
      <c r="S743" s="1"/>
      <c r="T743" s="1">
        <v>1</v>
      </c>
      <c r="U743" s="1"/>
      <c r="V743" s="1"/>
      <c r="W743" s="1"/>
      <c r="X743" s="1"/>
      <c r="Z743" t="s">
        <v>4386</v>
      </c>
      <c r="AB743" t="s">
        <v>5424</v>
      </c>
      <c r="AC743" t="s">
        <v>5425</v>
      </c>
      <c r="AD743" s="18">
        <v>46117</v>
      </c>
    </row>
    <row r="744" spans="1:30" ht="409.5" hidden="1">
      <c r="A744" s="1" t="s">
        <v>965</v>
      </c>
      <c r="B744" s="1">
        <v>1743</v>
      </c>
      <c r="C744" s="1">
        <v>14</v>
      </c>
      <c r="D744" s="1">
        <v>23</v>
      </c>
      <c r="E744" s="1" t="s">
        <v>4297</v>
      </c>
      <c r="F744" s="1" t="s">
        <v>4298</v>
      </c>
      <c r="G744" s="1" t="s">
        <v>40</v>
      </c>
      <c r="H744" s="1" t="s">
        <v>3539</v>
      </c>
      <c r="I744" s="1" t="s">
        <v>56</v>
      </c>
      <c r="J744" s="1" t="s">
        <v>355</v>
      </c>
      <c r="K744" s="1" t="s">
        <v>356</v>
      </c>
      <c r="L744" s="1" t="s">
        <v>216</v>
      </c>
      <c r="M744" s="1" t="s">
        <v>3425</v>
      </c>
      <c r="N744" s="1"/>
      <c r="O744" s="1" t="s">
        <v>9</v>
      </c>
      <c r="P744" s="1" t="s">
        <v>4267</v>
      </c>
      <c r="Q744" s="1"/>
      <c r="R744" s="1"/>
      <c r="S744" s="1"/>
      <c r="T744" s="1"/>
      <c r="U744" s="1"/>
      <c r="V744" s="1"/>
      <c r="W744" s="1"/>
      <c r="X744" s="1"/>
      <c r="Y744" t="s">
        <v>9</v>
      </c>
      <c r="Z744" t="s">
        <v>4316</v>
      </c>
      <c r="AA744" t="s">
        <v>4317</v>
      </c>
      <c r="AB744" t="s">
        <v>5426</v>
      </c>
      <c r="AC744" t="s">
        <v>4325</v>
      </c>
      <c r="AD744" s="18">
        <v>46117</v>
      </c>
    </row>
    <row r="745" spans="1:30" ht="409.5" hidden="1">
      <c r="A745" s="1" t="s">
        <v>965</v>
      </c>
      <c r="B745" s="1">
        <v>1744</v>
      </c>
      <c r="C745" s="1">
        <v>14</v>
      </c>
      <c r="D745" s="1">
        <v>24</v>
      </c>
      <c r="E745" s="1" t="s">
        <v>4297</v>
      </c>
      <c r="F745" s="1" t="s">
        <v>4300</v>
      </c>
      <c r="G745" s="1" t="s">
        <v>40</v>
      </c>
      <c r="H745" s="1" t="s">
        <v>3540</v>
      </c>
      <c r="I745" s="1" t="s">
        <v>3541</v>
      </c>
      <c r="J745" s="1" t="s">
        <v>3542</v>
      </c>
      <c r="K745" s="1" t="s">
        <v>3543</v>
      </c>
      <c r="L745" s="1" t="s">
        <v>3544</v>
      </c>
      <c r="M745" s="1" t="s">
        <v>3545</v>
      </c>
      <c r="N745" s="1"/>
      <c r="O745" s="1" t="s">
        <v>10</v>
      </c>
      <c r="P745" s="1" t="s">
        <v>4268</v>
      </c>
      <c r="Q745" s="1"/>
      <c r="R745" s="1"/>
      <c r="S745" s="1"/>
      <c r="T745" s="1">
        <v>1</v>
      </c>
      <c r="U745" s="1"/>
      <c r="V745" s="1"/>
      <c r="W745" s="1"/>
      <c r="X745" s="1"/>
      <c r="Y745" t="s">
        <v>10</v>
      </c>
      <c r="Z745" t="s">
        <v>4316</v>
      </c>
      <c r="AA745" t="s">
        <v>4317</v>
      </c>
      <c r="AB745" t="s">
        <v>5427</v>
      </c>
      <c r="AC745" t="s">
        <v>4430</v>
      </c>
      <c r="AD745" s="18">
        <v>46117</v>
      </c>
    </row>
    <row r="746" spans="1:30" ht="330" hidden="1">
      <c r="A746" s="1" t="s">
        <v>965</v>
      </c>
      <c r="B746" s="1">
        <v>1745</v>
      </c>
      <c r="C746" s="1">
        <v>14</v>
      </c>
      <c r="D746" s="1">
        <v>25</v>
      </c>
      <c r="E746" s="1" t="s">
        <v>4305</v>
      </c>
      <c r="F746" s="1" t="s">
        <v>4306</v>
      </c>
      <c r="G746" s="1" t="s">
        <v>4294</v>
      </c>
      <c r="H746" s="1" t="s">
        <v>3426</v>
      </c>
      <c r="I746" s="1" t="s">
        <v>3427</v>
      </c>
      <c r="J746" s="1" t="s">
        <v>3428</v>
      </c>
      <c r="K746" s="1" t="s">
        <v>3429</v>
      </c>
      <c r="L746" s="1" t="s">
        <v>3430</v>
      </c>
      <c r="M746" s="1" t="s">
        <v>3431</v>
      </c>
      <c r="N746" s="1"/>
      <c r="O746" s="1" t="s">
        <v>9</v>
      </c>
      <c r="P746" s="1" t="s">
        <v>4269</v>
      </c>
      <c r="Q746" s="1"/>
      <c r="R746" s="1"/>
      <c r="S746" s="1"/>
      <c r="T746" s="1"/>
      <c r="U746" s="1"/>
      <c r="V746" s="1"/>
      <c r="W746" s="1"/>
      <c r="X746" s="1"/>
      <c r="Y746" t="s">
        <v>9</v>
      </c>
      <c r="Z746" t="s">
        <v>4316</v>
      </c>
      <c r="AA746" t="s">
        <v>4317</v>
      </c>
      <c r="AB746" t="s">
        <v>5428</v>
      </c>
      <c r="AC746" t="s">
        <v>5201</v>
      </c>
      <c r="AD746" s="18">
        <v>46117</v>
      </c>
    </row>
    <row r="747" spans="1:30" ht="90" hidden="1">
      <c r="A747" s="1" t="s">
        <v>965</v>
      </c>
      <c r="B747" s="1">
        <v>1746</v>
      </c>
      <c r="C747" s="1">
        <v>14</v>
      </c>
      <c r="D747" s="1">
        <v>26</v>
      </c>
      <c r="E747" s="1" t="s">
        <v>4290</v>
      </c>
      <c r="F747" s="1" t="s">
        <v>4302</v>
      </c>
      <c r="G747" s="1" t="s">
        <v>20</v>
      </c>
      <c r="H747" s="1" t="s">
        <v>3432</v>
      </c>
      <c r="I747" s="1" t="s">
        <v>3433</v>
      </c>
      <c r="J747" s="1" t="s">
        <v>3434</v>
      </c>
      <c r="K747" s="1" t="s">
        <v>3435</v>
      </c>
      <c r="L747" s="1" t="s">
        <v>3436</v>
      </c>
      <c r="M747" s="1" t="s">
        <v>3437</v>
      </c>
      <c r="N747" s="1"/>
      <c r="O747" s="1" t="s">
        <v>10</v>
      </c>
      <c r="P747" s="1" t="s">
        <v>4270</v>
      </c>
      <c r="Q747" s="1"/>
      <c r="R747" s="1"/>
      <c r="S747" s="1"/>
      <c r="T747" s="1"/>
      <c r="U747" s="1"/>
      <c r="V747" s="1"/>
      <c r="W747" s="1"/>
      <c r="X747" s="1"/>
      <c r="Y747" t="s">
        <v>10</v>
      </c>
      <c r="Z747" t="s">
        <v>4316</v>
      </c>
      <c r="AA747" t="s">
        <v>4317</v>
      </c>
      <c r="AB747" t="s">
        <v>5429</v>
      </c>
      <c r="AC747" t="s">
        <v>5108</v>
      </c>
      <c r="AD747" s="18">
        <v>46117</v>
      </c>
    </row>
    <row r="748" spans="1:30" ht="315" hidden="1">
      <c r="A748" s="1" t="s">
        <v>965</v>
      </c>
      <c r="B748" s="1">
        <v>1747</v>
      </c>
      <c r="C748" s="1">
        <v>14</v>
      </c>
      <c r="D748" s="1">
        <v>27</v>
      </c>
      <c r="E748" s="1" t="s">
        <v>4297</v>
      </c>
      <c r="F748" s="1" t="s">
        <v>4298</v>
      </c>
      <c r="G748" s="1" t="s">
        <v>40</v>
      </c>
      <c r="H748" s="1" t="s">
        <v>3546</v>
      </c>
      <c r="I748" s="1" t="s">
        <v>153</v>
      </c>
      <c r="J748" s="1" t="s">
        <v>3084</v>
      </c>
      <c r="K748" s="1" t="s">
        <v>152</v>
      </c>
      <c r="L748" s="1" t="s">
        <v>1634</v>
      </c>
      <c r="M748" s="1" t="s">
        <v>154</v>
      </c>
      <c r="N748" s="1"/>
      <c r="O748" s="1" t="s">
        <v>9</v>
      </c>
      <c r="P748" s="1" t="s">
        <v>4271</v>
      </c>
      <c r="Q748" s="1"/>
      <c r="R748" s="1"/>
      <c r="S748" s="1"/>
      <c r="T748" s="1"/>
      <c r="U748" s="1">
        <v>1</v>
      </c>
      <c r="V748" s="1"/>
      <c r="W748" s="1"/>
      <c r="X748" s="1"/>
      <c r="Y748" t="s">
        <v>9</v>
      </c>
      <c r="Z748" t="s">
        <v>4316</v>
      </c>
      <c r="AA748" t="s">
        <v>4317</v>
      </c>
      <c r="AB748" t="s">
        <v>5430</v>
      </c>
      <c r="AC748" t="s">
        <v>4327</v>
      </c>
      <c r="AD748" s="18">
        <v>46117</v>
      </c>
    </row>
    <row r="749" spans="1:30" ht="300" hidden="1">
      <c r="A749" s="1" t="s">
        <v>965</v>
      </c>
      <c r="B749" s="1">
        <v>1748</v>
      </c>
      <c r="C749" s="1">
        <v>14</v>
      </c>
      <c r="D749" s="1">
        <v>28</v>
      </c>
      <c r="E749" s="1" t="s">
        <v>4297</v>
      </c>
      <c r="F749" s="1" t="s">
        <v>4298</v>
      </c>
      <c r="G749" s="1" t="s">
        <v>4294</v>
      </c>
      <c r="H749" s="1" t="s">
        <v>3438</v>
      </c>
      <c r="I749" s="1" t="s">
        <v>3439</v>
      </c>
      <c r="J749" s="1" t="s">
        <v>3440</v>
      </c>
      <c r="K749" s="1" t="s">
        <v>3441</v>
      </c>
      <c r="L749" s="1" t="s">
        <v>3442</v>
      </c>
      <c r="M749" s="1" t="s">
        <v>3443</v>
      </c>
      <c r="N749" s="1"/>
      <c r="O749" s="1" t="s">
        <v>9</v>
      </c>
      <c r="P749" s="1" t="s">
        <v>4272</v>
      </c>
      <c r="Q749" s="1"/>
      <c r="R749" s="1"/>
      <c r="S749" s="1"/>
      <c r="T749" s="1"/>
      <c r="U749" s="1"/>
      <c r="V749" s="1"/>
      <c r="W749" s="1"/>
      <c r="X749" s="1"/>
      <c r="Y749" t="s">
        <v>9</v>
      </c>
      <c r="Z749" t="s">
        <v>4316</v>
      </c>
      <c r="AA749" t="s">
        <v>4317</v>
      </c>
      <c r="AB749" t="s">
        <v>5431</v>
      </c>
      <c r="AC749" t="s">
        <v>4338</v>
      </c>
      <c r="AD749" s="18">
        <v>46117</v>
      </c>
    </row>
    <row r="750" spans="1:30" ht="135" hidden="1">
      <c r="A750" s="1" t="s">
        <v>965</v>
      </c>
      <c r="B750" s="1">
        <v>1749</v>
      </c>
      <c r="C750" s="1">
        <v>14</v>
      </c>
      <c r="D750" s="1">
        <v>29</v>
      </c>
      <c r="E750" s="1" t="s">
        <v>4292</v>
      </c>
      <c r="F750" s="1" t="s">
        <v>4293</v>
      </c>
      <c r="G750" s="1" t="s">
        <v>4294</v>
      </c>
      <c r="H750" s="1" t="s">
        <v>3444</v>
      </c>
      <c r="I750" s="1" t="s">
        <v>3445</v>
      </c>
      <c r="J750" s="1" t="s">
        <v>3446</v>
      </c>
      <c r="K750" s="1" t="s">
        <v>3447</v>
      </c>
      <c r="L750" s="1" t="s">
        <v>5558</v>
      </c>
      <c r="M750" s="1" t="s">
        <v>3448</v>
      </c>
      <c r="N750" s="1"/>
      <c r="O750" s="1" t="s">
        <v>10</v>
      </c>
      <c r="P750" s="1" t="s">
        <v>5559</v>
      </c>
      <c r="Q750" s="1"/>
      <c r="R750" s="1"/>
      <c r="S750" s="1"/>
      <c r="T750" s="1"/>
      <c r="U750" s="1">
        <v>1</v>
      </c>
      <c r="V750" s="1"/>
      <c r="W750" s="1"/>
      <c r="X750" s="1"/>
      <c r="Y750" t="s">
        <v>10</v>
      </c>
      <c r="Z750" t="s">
        <v>4316</v>
      </c>
      <c r="AA750" t="s">
        <v>4317</v>
      </c>
      <c r="AB750" t="s">
        <v>5432</v>
      </c>
      <c r="AC750" t="s">
        <v>4336</v>
      </c>
      <c r="AD750" s="18">
        <v>46117</v>
      </c>
    </row>
    <row r="751" spans="1:30" ht="255" hidden="1">
      <c r="A751" s="1" t="s">
        <v>965</v>
      </c>
      <c r="B751" s="1">
        <v>1750</v>
      </c>
      <c r="C751" s="1">
        <v>14</v>
      </c>
      <c r="D751" s="1">
        <v>30</v>
      </c>
      <c r="E751" s="1" t="s">
        <v>4305</v>
      </c>
      <c r="F751" s="1" t="s">
        <v>4306</v>
      </c>
      <c r="G751" s="1" t="s">
        <v>20</v>
      </c>
      <c r="H751" s="1" t="s">
        <v>3449</v>
      </c>
      <c r="I751" s="1" t="s">
        <v>3450</v>
      </c>
      <c r="J751" s="1" t="s">
        <v>3451</v>
      </c>
      <c r="K751" s="1" t="s">
        <v>3452</v>
      </c>
      <c r="L751" s="1" t="s">
        <v>3453</v>
      </c>
      <c r="M751" s="1" t="s">
        <v>3454</v>
      </c>
      <c r="N751" s="1"/>
      <c r="O751" s="1" t="s">
        <v>7</v>
      </c>
      <c r="P751" s="1" t="s">
        <v>4273</v>
      </c>
      <c r="Q751" s="1"/>
      <c r="R751" s="1"/>
      <c r="S751" s="1"/>
      <c r="T751" s="1"/>
      <c r="U751" s="1">
        <v>1</v>
      </c>
      <c r="V751" s="1"/>
      <c r="W751" s="1"/>
      <c r="X751" s="1"/>
      <c r="Y751" t="s">
        <v>7</v>
      </c>
      <c r="Z751" t="s">
        <v>4316</v>
      </c>
      <c r="AA751" t="s">
        <v>4317</v>
      </c>
      <c r="AB751" t="s">
        <v>5433</v>
      </c>
      <c r="AC751" t="s">
        <v>5434</v>
      </c>
      <c r="AD751" s="18">
        <v>46117</v>
      </c>
    </row>
    <row r="752" spans="1:30" ht="409.5" hidden="1">
      <c r="A752" s="1" t="s">
        <v>965</v>
      </c>
      <c r="B752" s="1">
        <v>1751</v>
      </c>
      <c r="C752" s="1">
        <v>14</v>
      </c>
      <c r="D752" s="1">
        <v>31</v>
      </c>
      <c r="E752" s="1" t="s">
        <v>4292</v>
      </c>
      <c r="F752" s="1" t="s">
        <v>4303</v>
      </c>
      <c r="G752" s="1" t="s">
        <v>20</v>
      </c>
      <c r="H752" s="1" t="s">
        <v>5560</v>
      </c>
      <c r="I752" s="1" t="s">
        <v>3455</v>
      </c>
      <c r="J752" s="1" t="s">
        <v>3456</v>
      </c>
      <c r="K752" s="1" t="s">
        <v>3457</v>
      </c>
      <c r="L752" s="1" t="s">
        <v>3458</v>
      </c>
      <c r="M752" s="1" t="s">
        <v>3459</v>
      </c>
      <c r="N752" s="1"/>
      <c r="O752" s="1" t="s">
        <v>11</v>
      </c>
      <c r="P752" s="1" t="s">
        <v>5561</v>
      </c>
      <c r="Q752" s="1"/>
      <c r="R752" s="1"/>
      <c r="S752" s="1"/>
      <c r="T752" s="1"/>
      <c r="U752" s="1">
        <v>1</v>
      </c>
      <c r="V752" s="1"/>
      <c r="W752" s="1"/>
      <c r="X752" s="1"/>
      <c r="Y752" t="s">
        <v>11</v>
      </c>
      <c r="Z752" t="s">
        <v>4316</v>
      </c>
      <c r="AA752" t="s">
        <v>4317</v>
      </c>
      <c r="AB752" t="s">
        <v>5435</v>
      </c>
      <c r="AC752" t="s">
        <v>4999</v>
      </c>
      <c r="AD752" s="18">
        <v>46117</v>
      </c>
    </row>
    <row r="753" spans="1:30" ht="210" hidden="1">
      <c r="A753" s="1" t="s">
        <v>965</v>
      </c>
      <c r="B753" s="1">
        <v>1752</v>
      </c>
      <c r="C753" s="1">
        <v>14</v>
      </c>
      <c r="D753" s="1">
        <v>32</v>
      </c>
      <c r="E753" s="1" t="s">
        <v>4292</v>
      </c>
      <c r="F753" s="1" t="s">
        <v>4293</v>
      </c>
      <c r="G753" s="1" t="s">
        <v>4294</v>
      </c>
      <c r="H753" s="1" t="s">
        <v>3460</v>
      </c>
      <c r="I753" s="1" t="s">
        <v>3461</v>
      </c>
      <c r="J753" s="1" t="s">
        <v>3462</v>
      </c>
      <c r="K753" s="1" t="s">
        <v>3463</v>
      </c>
      <c r="L753" s="1" t="s">
        <v>3464</v>
      </c>
      <c r="M753" s="1" t="s">
        <v>3465</v>
      </c>
      <c r="N753" s="1"/>
      <c r="O753" s="1" t="s">
        <v>7</v>
      </c>
      <c r="P753" s="1" t="s">
        <v>5562</v>
      </c>
      <c r="Q753" s="1"/>
      <c r="R753" s="1"/>
      <c r="S753" s="1"/>
      <c r="T753" s="1"/>
      <c r="U753" s="1"/>
      <c r="V753" s="1"/>
      <c r="W753" s="1"/>
      <c r="X753" s="1"/>
      <c r="Y753" t="s">
        <v>7</v>
      </c>
      <c r="Z753" t="s">
        <v>4316</v>
      </c>
      <c r="AA753" t="s">
        <v>4317</v>
      </c>
      <c r="AB753" t="s">
        <v>5436</v>
      </c>
      <c r="AC753" t="s">
        <v>4999</v>
      </c>
      <c r="AD753" s="18">
        <v>46117</v>
      </c>
    </row>
    <row r="754" spans="1:30" ht="90" hidden="1">
      <c r="A754" s="1" t="s">
        <v>965</v>
      </c>
      <c r="B754" s="1">
        <v>1753</v>
      </c>
      <c r="C754" s="1">
        <v>14</v>
      </c>
      <c r="D754" s="1">
        <v>33</v>
      </c>
      <c r="E754" s="1" t="s">
        <v>4297</v>
      </c>
      <c r="F754" s="1" t="s">
        <v>4298</v>
      </c>
      <c r="G754" s="1" t="s">
        <v>4294</v>
      </c>
      <c r="H754" s="1" t="s">
        <v>3466</v>
      </c>
      <c r="I754" s="1" t="s">
        <v>3467</v>
      </c>
      <c r="J754" s="1" t="s">
        <v>3468</v>
      </c>
      <c r="K754" s="1" t="s">
        <v>3469</v>
      </c>
      <c r="L754" s="1" t="s">
        <v>3251</v>
      </c>
      <c r="M754" s="1" t="s">
        <v>3470</v>
      </c>
      <c r="N754" s="1"/>
      <c r="O754" s="1" t="s">
        <v>11</v>
      </c>
      <c r="P754" s="1" t="s">
        <v>4274</v>
      </c>
      <c r="Q754" s="1"/>
      <c r="R754" s="1"/>
      <c r="S754" s="1"/>
      <c r="T754" s="1"/>
      <c r="U754" s="1">
        <v>1</v>
      </c>
      <c r="V754" s="1"/>
      <c r="W754" s="1"/>
      <c r="X754" s="1"/>
      <c r="Y754" t="s">
        <v>11</v>
      </c>
      <c r="Z754" t="s">
        <v>4316</v>
      </c>
      <c r="AA754" t="s">
        <v>4317</v>
      </c>
      <c r="AB754" t="s">
        <v>5437</v>
      </c>
      <c r="AC754" t="s">
        <v>5386</v>
      </c>
      <c r="AD754" s="18">
        <v>46117</v>
      </c>
    </row>
    <row r="755" spans="1:30" ht="270" hidden="1">
      <c r="A755" s="1" t="s">
        <v>965</v>
      </c>
      <c r="B755" s="1">
        <v>1754</v>
      </c>
      <c r="C755" s="1">
        <v>14</v>
      </c>
      <c r="D755" s="1">
        <v>34</v>
      </c>
      <c r="E755" s="1" t="s">
        <v>4292</v>
      </c>
      <c r="F755" s="1" t="s">
        <v>4293</v>
      </c>
      <c r="G755" s="1" t="s">
        <v>40</v>
      </c>
      <c r="H755" s="1" t="s">
        <v>3471</v>
      </c>
      <c r="I755" s="1" t="s">
        <v>3472</v>
      </c>
      <c r="J755" s="1" t="s">
        <v>3473</v>
      </c>
      <c r="K755" s="1" t="s">
        <v>3474</v>
      </c>
      <c r="L755" s="1" t="s">
        <v>3475</v>
      </c>
      <c r="M755" s="1" t="s">
        <v>3476</v>
      </c>
      <c r="N755" s="1"/>
      <c r="O755" s="1" t="s">
        <v>10</v>
      </c>
      <c r="P755" s="1" t="s">
        <v>4275</v>
      </c>
      <c r="Q755" s="1"/>
      <c r="R755" s="1"/>
      <c r="S755" s="1"/>
      <c r="T755" s="1"/>
      <c r="U755" s="1"/>
      <c r="V755" s="1"/>
      <c r="W755" s="1"/>
      <c r="X755" s="1"/>
      <c r="Y755" t="s">
        <v>10</v>
      </c>
      <c r="Z755" t="s">
        <v>4316</v>
      </c>
      <c r="AA755" t="s">
        <v>4317</v>
      </c>
      <c r="AB755" t="s">
        <v>5438</v>
      </c>
      <c r="AC755" t="s">
        <v>4979</v>
      </c>
      <c r="AD755" s="18">
        <v>46117</v>
      </c>
    </row>
    <row r="756" spans="1:30" ht="195" hidden="1">
      <c r="A756" s="1" t="s">
        <v>965</v>
      </c>
      <c r="B756" s="1">
        <v>1755</v>
      </c>
      <c r="C756" s="1">
        <v>14</v>
      </c>
      <c r="D756" s="1">
        <v>35</v>
      </c>
      <c r="E756" s="1" t="s">
        <v>4292</v>
      </c>
      <c r="F756" s="1" t="s">
        <v>4293</v>
      </c>
      <c r="G756" s="1" t="s">
        <v>40</v>
      </c>
      <c r="H756" s="1" t="s">
        <v>3477</v>
      </c>
      <c r="I756" s="1" t="s">
        <v>3478</v>
      </c>
      <c r="J756" s="1" t="s">
        <v>3479</v>
      </c>
      <c r="K756" s="1" t="s">
        <v>3160</v>
      </c>
      <c r="L756" s="1" t="s">
        <v>3480</v>
      </c>
      <c r="M756" s="1" t="s">
        <v>3481</v>
      </c>
      <c r="N756" s="1"/>
      <c r="O756" s="1" t="s">
        <v>8</v>
      </c>
      <c r="P756" s="1" t="s">
        <v>5563</v>
      </c>
      <c r="Q756" s="1"/>
      <c r="R756" s="1"/>
      <c r="S756" s="1"/>
      <c r="T756" s="1">
        <v>1</v>
      </c>
      <c r="U756" s="1"/>
      <c r="V756" s="1"/>
      <c r="W756" s="1"/>
      <c r="X756" s="1" t="s">
        <v>4276</v>
      </c>
      <c r="Y756" t="s">
        <v>8</v>
      </c>
      <c r="Z756" t="s">
        <v>4316</v>
      </c>
      <c r="AA756" t="s">
        <v>4317</v>
      </c>
      <c r="AB756" t="s">
        <v>5439</v>
      </c>
      <c r="AC756" t="s">
        <v>4444</v>
      </c>
      <c r="AD756" s="18">
        <v>46117</v>
      </c>
    </row>
    <row r="757" spans="1:30" ht="300" hidden="1">
      <c r="A757" s="1" t="s">
        <v>965</v>
      </c>
      <c r="B757" s="1">
        <v>1756</v>
      </c>
      <c r="C757" s="1">
        <v>14</v>
      </c>
      <c r="D757" s="1">
        <v>36</v>
      </c>
      <c r="E757" s="1" t="s">
        <v>4295</v>
      </c>
      <c r="F757" s="1" t="s">
        <v>4296</v>
      </c>
      <c r="G757" s="1" t="s">
        <v>4294</v>
      </c>
      <c r="H757" s="1" t="s">
        <v>3482</v>
      </c>
      <c r="I757" s="1" t="s">
        <v>3483</v>
      </c>
      <c r="J757" s="1" t="s">
        <v>3484</v>
      </c>
      <c r="K757" s="1" t="s">
        <v>3485</v>
      </c>
      <c r="L757" s="1" t="s">
        <v>5564</v>
      </c>
      <c r="M757" s="1" t="s">
        <v>5565</v>
      </c>
      <c r="N757" s="1"/>
      <c r="O757" s="1" t="s">
        <v>8</v>
      </c>
      <c r="P757" s="1" t="s">
        <v>4277</v>
      </c>
      <c r="Q757" s="1"/>
      <c r="R757" s="1"/>
      <c r="S757" s="1"/>
      <c r="T757" s="1"/>
      <c r="U757" s="1">
        <v>1</v>
      </c>
      <c r="V757" s="1"/>
      <c r="W757" s="1"/>
      <c r="X757" s="1" t="s">
        <v>4278</v>
      </c>
      <c r="Y757" t="s">
        <v>8</v>
      </c>
      <c r="Z757" t="s">
        <v>4316</v>
      </c>
      <c r="AA757" t="s">
        <v>4317</v>
      </c>
      <c r="AB757" t="s">
        <v>5440</v>
      </c>
      <c r="AC757" t="s">
        <v>4382</v>
      </c>
      <c r="AD757" s="18">
        <v>46117</v>
      </c>
    </row>
    <row r="758" spans="1:30" ht="105" hidden="1">
      <c r="A758" s="1" t="s">
        <v>965</v>
      </c>
      <c r="B758" s="1">
        <v>1757</v>
      </c>
      <c r="C758" s="1">
        <v>14</v>
      </c>
      <c r="D758" s="1">
        <v>37</v>
      </c>
      <c r="E758" s="1" t="s">
        <v>4290</v>
      </c>
      <c r="F758" s="1" t="s">
        <v>4302</v>
      </c>
      <c r="G758" s="1" t="s">
        <v>20</v>
      </c>
      <c r="H758" s="1" t="s">
        <v>3486</v>
      </c>
      <c r="I758" s="1" t="s">
        <v>127</v>
      </c>
      <c r="J758" s="1" t="s">
        <v>123</v>
      </c>
      <c r="K758" s="1" t="s">
        <v>125</v>
      </c>
      <c r="L758" s="1" t="s">
        <v>3487</v>
      </c>
      <c r="M758" s="1" t="s">
        <v>3488</v>
      </c>
      <c r="N758" s="1"/>
      <c r="O758" s="1" t="s">
        <v>9</v>
      </c>
      <c r="P758" s="1" t="s">
        <v>4279</v>
      </c>
      <c r="Q758" s="1"/>
      <c r="R758" s="1"/>
      <c r="S758" s="1"/>
      <c r="T758" s="1"/>
      <c r="U758" s="1"/>
      <c r="V758" s="1"/>
      <c r="W758" s="1"/>
      <c r="X758" s="1"/>
      <c r="Y758" t="s">
        <v>9</v>
      </c>
      <c r="Z758" t="s">
        <v>4316</v>
      </c>
      <c r="AA758" t="s">
        <v>4317</v>
      </c>
      <c r="AB758" t="s">
        <v>5441</v>
      </c>
      <c r="AC758" t="s">
        <v>4436</v>
      </c>
      <c r="AD758" s="18">
        <v>46117</v>
      </c>
    </row>
    <row r="759" spans="1:30" ht="120" hidden="1">
      <c r="A759" s="1" t="s">
        <v>965</v>
      </c>
      <c r="B759" s="1">
        <v>1758</v>
      </c>
      <c r="C759" s="1">
        <v>14</v>
      </c>
      <c r="D759" s="1">
        <v>38</v>
      </c>
      <c r="E759" s="1" t="s">
        <v>4290</v>
      </c>
      <c r="F759" s="1" t="s">
        <v>4302</v>
      </c>
      <c r="G759" s="1" t="s">
        <v>4294</v>
      </c>
      <c r="H759" s="1" t="s">
        <v>3489</v>
      </c>
      <c r="I759" s="1" t="s">
        <v>3490</v>
      </c>
      <c r="J759" s="1" t="s">
        <v>3491</v>
      </c>
      <c r="K759" s="1" t="s">
        <v>3492</v>
      </c>
      <c r="L759" s="1" t="s">
        <v>3493</v>
      </c>
      <c r="M759" s="1" t="s">
        <v>3494</v>
      </c>
      <c r="N759" s="1"/>
      <c r="O759" s="1" t="s">
        <v>10</v>
      </c>
      <c r="P759" s="1" t="s">
        <v>4280</v>
      </c>
      <c r="Q759" s="1"/>
      <c r="R759" s="1"/>
      <c r="S759" s="1"/>
      <c r="T759" s="1"/>
      <c r="U759" s="1"/>
      <c r="V759" s="1"/>
      <c r="W759" s="1"/>
      <c r="X759" s="1"/>
      <c r="Y759" t="s">
        <v>10</v>
      </c>
      <c r="Z759" t="s">
        <v>4316</v>
      </c>
      <c r="AA759" t="s">
        <v>4317</v>
      </c>
      <c r="AB759" t="s">
        <v>5442</v>
      </c>
      <c r="AC759" t="s">
        <v>5108</v>
      </c>
      <c r="AD759" s="18">
        <v>46117</v>
      </c>
    </row>
    <row r="760" spans="1:30" ht="409.5" hidden="1">
      <c r="A760" s="1" t="s">
        <v>965</v>
      </c>
      <c r="B760" s="1">
        <v>1759</v>
      </c>
      <c r="C760" s="1">
        <v>14</v>
      </c>
      <c r="D760" s="1">
        <v>39</v>
      </c>
      <c r="E760" s="1" t="s">
        <v>4297</v>
      </c>
      <c r="F760" s="1" t="s">
        <v>4299</v>
      </c>
      <c r="G760" s="1" t="s">
        <v>40</v>
      </c>
      <c r="H760" s="1" t="s">
        <v>3495</v>
      </c>
      <c r="I760" s="1" t="s">
        <v>3496</v>
      </c>
      <c r="J760" s="1" t="s">
        <v>3497</v>
      </c>
      <c r="K760" s="1" t="s">
        <v>3498</v>
      </c>
      <c r="L760" s="1" t="s">
        <v>3499</v>
      </c>
      <c r="M760" s="1" t="s">
        <v>3500</v>
      </c>
      <c r="N760" s="1"/>
      <c r="O760" s="1" t="s">
        <v>4208</v>
      </c>
      <c r="P760" s="1" t="s">
        <v>4281</v>
      </c>
      <c r="Q760" s="1"/>
      <c r="R760" s="1"/>
      <c r="S760" s="1"/>
      <c r="T760" s="1">
        <v>1</v>
      </c>
      <c r="U760" s="1"/>
      <c r="V760" s="1"/>
      <c r="W760" s="1"/>
      <c r="X760" s="1"/>
      <c r="Y760" t="s">
        <v>4208</v>
      </c>
      <c r="Z760" t="s">
        <v>4316</v>
      </c>
      <c r="AA760" t="s">
        <v>4317</v>
      </c>
      <c r="AB760" t="s">
        <v>5443</v>
      </c>
      <c r="AC760" t="s">
        <v>5079</v>
      </c>
      <c r="AD760" s="18">
        <v>46117</v>
      </c>
    </row>
    <row r="761" spans="1:30" ht="409.5" hidden="1">
      <c r="A761" s="1" t="s">
        <v>965</v>
      </c>
      <c r="B761" s="1">
        <v>1760</v>
      </c>
      <c r="C761" s="1">
        <v>14</v>
      </c>
      <c r="D761" s="1">
        <v>40</v>
      </c>
      <c r="E761" s="1" t="s">
        <v>4290</v>
      </c>
      <c r="F761" s="1" t="s">
        <v>4302</v>
      </c>
      <c r="G761" s="1" t="s">
        <v>4294</v>
      </c>
      <c r="H761" s="1" t="s">
        <v>3501</v>
      </c>
      <c r="I761" s="1" t="s">
        <v>3502</v>
      </c>
      <c r="J761" s="1" t="s">
        <v>3503</v>
      </c>
      <c r="K761" s="1" t="s">
        <v>3504</v>
      </c>
      <c r="L761" s="1" t="s">
        <v>3505</v>
      </c>
      <c r="M761" s="1" t="s">
        <v>3506</v>
      </c>
      <c r="N761" s="1"/>
      <c r="O761" s="1" t="s">
        <v>9</v>
      </c>
      <c r="P761" s="1" t="s">
        <v>5566</v>
      </c>
      <c r="Q761" s="1"/>
      <c r="R761" s="1"/>
      <c r="S761" s="1"/>
      <c r="T761" s="1"/>
      <c r="U761" s="1"/>
      <c r="V761" s="1"/>
      <c r="W761" s="1"/>
      <c r="X761" s="1"/>
      <c r="Y761" t="s">
        <v>9</v>
      </c>
      <c r="Z761" t="s">
        <v>4316</v>
      </c>
      <c r="AA761" t="s">
        <v>4317</v>
      </c>
      <c r="AB761" t="s">
        <v>5444</v>
      </c>
      <c r="AC761" t="s">
        <v>4371</v>
      </c>
      <c r="AD761" s="18">
        <v>46117</v>
      </c>
    </row>
    <row r="762" spans="1:30" ht="165" hidden="1">
      <c r="A762" s="1" t="s">
        <v>965</v>
      </c>
      <c r="B762" s="1">
        <v>1761</v>
      </c>
      <c r="C762" s="1">
        <v>14</v>
      </c>
      <c r="D762" s="1">
        <v>41</v>
      </c>
      <c r="E762" s="1" t="s">
        <v>4297</v>
      </c>
      <c r="F762" s="1" t="s">
        <v>4298</v>
      </c>
      <c r="G762" s="1" t="s">
        <v>4294</v>
      </c>
      <c r="H762" s="1" t="s">
        <v>3507</v>
      </c>
      <c r="I762" s="1" t="s">
        <v>3508</v>
      </c>
      <c r="J762" s="1" t="s">
        <v>3509</v>
      </c>
      <c r="K762" s="1" t="s">
        <v>3510</v>
      </c>
      <c r="L762" s="1" t="s">
        <v>3511</v>
      </c>
      <c r="M762" s="1" t="s">
        <v>3512</v>
      </c>
      <c r="N762" s="1"/>
      <c r="O762" s="1" t="s">
        <v>7</v>
      </c>
      <c r="P762" s="1" t="s">
        <v>4282</v>
      </c>
      <c r="Q762" s="1"/>
      <c r="R762" s="1"/>
      <c r="S762" s="1"/>
      <c r="T762" s="1"/>
      <c r="U762" s="1"/>
      <c r="V762" s="1"/>
      <c r="W762" s="1"/>
      <c r="X762" s="1"/>
      <c r="Y762" t="s">
        <v>7</v>
      </c>
      <c r="Z762" t="s">
        <v>4316</v>
      </c>
      <c r="AA762" t="s">
        <v>4317</v>
      </c>
      <c r="AB762" t="s">
        <v>5445</v>
      </c>
      <c r="AC762" t="s">
        <v>4844</v>
      </c>
      <c r="AD762" s="18">
        <v>46117</v>
      </c>
    </row>
    <row r="763" spans="1:30" ht="409.5" hidden="1">
      <c r="A763" s="1" t="s">
        <v>965</v>
      </c>
      <c r="B763" s="1">
        <v>1762</v>
      </c>
      <c r="C763" s="1">
        <v>14</v>
      </c>
      <c r="D763" s="1">
        <v>42</v>
      </c>
      <c r="E763" s="1" t="s">
        <v>4297</v>
      </c>
      <c r="F763" s="1" t="s">
        <v>4298</v>
      </c>
      <c r="G763" s="1" t="s">
        <v>40</v>
      </c>
      <c r="H763" s="1" t="s">
        <v>3547</v>
      </c>
      <c r="I763" s="1" t="s">
        <v>3548</v>
      </c>
      <c r="J763" s="1" t="s">
        <v>3549</v>
      </c>
      <c r="K763" s="1" t="s">
        <v>3550</v>
      </c>
      <c r="L763" s="1" t="s">
        <v>3551</v>
      </c>
      <c r="M763" s="1" t="s">
        <v>3552</v>
      </c>
      <c r="N763" s="1"/>
      <c r="O763" s="1" t="s">
        <v>7</v>
      </c>
      <c r="P763" s="1" t="s">
        <v>5567</v>
      </c>
      <c r="Q763" s="1"/>
      <c r="R763" s="1"/>
      <c r="S763" s="1"/>
      <c r="T763" s="1">
        <v>1</v>
      </c>
      <c r="U763" s="1"/>
      <c r="V763" s="1"/>
      <c r="W763" s="1"/>
      <c r="X763" s="1"/>
      <c r="Y763" t="s">
        <v>7</v>
      </c>
      <c r="Z763" t="s">
        <v>4316</v>
      </c>
      <c r="AA763" t="s">
        <v>4317</v>
      </c>
      <c r="AB763" t="s">
        <v>5446</v>
      </c>
      <c r="AC763" t="s">
        <v>5349</v>
      </c>
      <c r="AD763" s="18">
        <v>46117</v>
      </c>
    </row>
    <row r="764" spans="1:30" ht="315" hidden="1">
      <c r="A764" s="1" t="s">
        <v>965</v>
      </c>
      <c r="B764" s="1">
        <v>1763</v>
      </c>
      <c r="C764" s="1">
        <v>14</v>
      </c>
      <c r="D764" s="1">
        <v>43</v>
      </c>
      <c r="E764" s="1" t="s">
        <v>4290</v>
      </c>
      <c r="F764" s="1" t="s">
        <v>4302</v>
      </c>
      <c r="G764" s="1" t="s">
        <v>20</v>
      </c>
      <c r="H764" s="1" t="s">
        <v>3513</v>
      </c>
      <c r="I764" s="1" t="s">
        <v>3514</v>
      </c>
      <c r="J764" s="1" t="s">
        <v>3515</v>
      </c>
      <c r="K764" s="1" t="s">
        <v>3516</v>
      </c>
      <c r="L764" s="1" t="s">
        <v>3517</v>
      </c>
      <c r="M764" s="1" t="s">
        <v>3518</v>
      </c>
      <c r="N764" s="1"/>
      <c r="O764" s="1" t="s">
        <v>8</v>
      </c>
      <c r="P764" s="1" t="s">
        <v>4284</v>
      </c>
      <c r="Q764" s="1"/>
      <c r="R764" s="1"/>
      <c r="S764" s="1"/>
      <c r="T764" s="1"/>
      <c r="U764" s="1">
        <v>1</v>
      </c>
      <c r="V764" s="1"/>
      <c r="W764" s="1"/>
      <c r="X764" s="1" t="s">
        <v>4283</v>
      </c>
      <c r="Y764" t="s">
        <v>8</v>
      </c>
      <c r="Z764" t="s">
        <v>4316</v>
      </c>
      <c r="AA764" t="s">
        <v>4317</v>
      </c>
      <c r="AB764" t="s">
        <v>5447</v>
      </c>
      <c r="AC764" t="s">
        <v>4820</v>
      </c>
      <c r="AD764" s="18">
        <v>46117</v>
      </c>
    </row>
    <row r="765" spans="1:30" ht="210">
      <c r="A765" s="1" t="s">
        <v>965</v>
      </c>
      <c r="B765" s="1">
        <v>1764</v>
      </c>
      <c r="C765" s="1">
        <v>14</v>
      </c>
      <c r="D765" s="1">
        <v>44</v>
      </c>
      <c r="E765" s="1" t="s">
        <v>4295</v>
      </c>
      <c r="F765" s="1" t="s">
        <v>2580</v>
      </c>
      <c r="G765" s="1" t="s">
        <v>4294</v>
      </c>
      <c r="H765" s="1" t="s">
        <v>3519</v>
      </c>
      <c r="I765" s="1" t="s">
        <v>3520</v>
      </c>
      <c r="J765" s="1" t="s">
        <v>2580</v>
      </c>
      <c r="K765" s="1" t="s">
        <v>3521</v>
      </c>
      <c r="L765" s="1" t="s">
        <v>3340</v>
      </c>
      <c r="M765" s="1" t="s">
        <v>3522</v>
      </c>
      <c r="N765" s="1"/>
      <c r="O765" s="1" t="s">
        <v>10</v>
      </c>
      <c r="P765" s="1" t="s">
        <v>4285</v>
      </c>
      <c r="Q765" s="1"/>
      <c r="R765" s="1"/>
      <c r="S765" s="1"/>
      <c r="T765" s="1"/>
      <c r="U765" s="1">
        <v>1</v>
      </c>
      <c r="V765" s="1"/>
      <c r="W765" s="1"/>
      <c r="X765" s="1"/>
      <c r="Y765" t="s">
        <v>8</v>
      </c>
      <c r="Z765" t="s">
        <v>4331</v>
      </c>
      <c r="AA765" t="s">
        <v>4332</v>
      </c>
      <c r="AB765" t="s">
        <v>5448</v>
      </c>
      <c r="AC765" t="s">
        <v>5153</v>
      </c>
      <c r="AD765" s="18">
        <v>46117</v>
      </c>
    </row>
    <row r="766" spans="1:30" ht="180">
      <c r="A766" s="1" t="s">
        <v>965</v>
      </c>
      <c r="B766" s="1">
        <v>1765</v>
      </c>
      <c r="C766" s="1">
        <v>14</v>
      </c>
      <c r="D766" s="1">
        <v>45</v>
      </c>
      <c r="E766" s="1" t="s">
        <v>4305</v>
      </c>
      <c r="F766" s="1" t="s">
        <v>3339</v>
      </c>
      <c r="G766" s="1" t="s">
        <v>4294</v>
      </c>
      <c r="H766" s="1" t="s">
        <v>3523</v>
      </c>
      <c r="I766" s="1" t="s">
        <v>3339</v>
      </c>
      <c r="J766" s="1" t="s">
        <v>5568</v>
      </c>
      <c r="K766" s="1" t="s">
        <v>3236</v>
      </c>
      <c r="L766" s="1" t="s">
        <v>4289</v>
      </c>
      <c r="M766" s="1" t="s">
        <v>3524</v>
      </c>
      <c r="N766" s="1"/>
      <c r="O766" s="1" t="s">
        <v>8</v>
      </c>
      <c r="P766" s="1" t="s">
        <v>4286</v>
      </c>
      <c r="Q766" s="1"/>
      <c r="R766" s="1"/>
      <c r="S766" s="1"/>
      <c r="T766" s="1"/>
      <c r="U766" s="1">
        <v>1</v>
      </c>
      <c r="V766" s="1"/>
      <c r="W766" s="1"/>
      <c r="X766" s="1"/>
      <c r="Y766" t="s">
        <v>7</v>
      </c>
      <c r="Z766" t="s">
        <v>4331</v>
      </c>
      <c r="AA766" t="s">
        <v>4332</v>
      </c>
      <c r="AB766" t="s">
        <v>5449</v>
      </c>
      <c r="AC766" t="s">
        <v>5164</v>
      </c>
      <c r="AD766" s="18">
        <v>46117</v>
      </c>
    </row>
    <row r="767" spans="1:30" ht="135" hidden="1">
      <c r="A767" s="1" t="s">
        <v>965</v>
      </c>
      <c r="B767" s="1">
        <v>1766</v>
      </c>
      <c r="C767" s="1">
        <v>14</v>
      </c>
      <c r="D767" s="1">
        <v>46</v>
      </c>
      <c r="E767" s="1" t="s">
        <v>4292</v>
      </c>
      <c r="F767" s="1" t="s">
        <v>4293</v>
      </c>
      <c r="G767" s="1" t="s">
        <v>40</v>
      </c>
      <c r="H767" s="1" t="s">
        <v>3525</v>
      </c>
      <c r="I767" s="1" t="s">
        <v>3526</v>
      </c>
      <c r="J767" s="1" t="s">
        <v>3527</v>
      </c>
      <c r="K767" s="1" t="s">
        <v>3528</v>
      </c>
      <c r="L767" s="1" t="s">
        <v>3529</v>
      </c>
      <c r="M767" s="1" t="s">
        <v>3530</v>
      </c>
      <c r="N767" s="1" t="s">
        <v>3531</v>
      </c>
      <c r="O767" s="1" t="s">
        <v>7</v>
      </c>
      <c r="P767" s="1" t="s">
        <v>4287</v>
      </c>
      <c r="Q767" s="1"/>
      <c r="R767" s="1"/>
      <c r="S767" s="1"/>
      <c r="T767" s="1">
        <v>1</v>
      </c>
      <c r="U767" s="1"/>
      <c r="V767" s="1"/>
      <c r="W767" s="1"/>
      <c r="X767" s="1"/>
      <c r="Z767" t="s">
        <v>4386</v>
      </c>
      <c r="AB767" t="s">
        <v>5450</v>
      </c>
      <c r="AC767" t="s">
        <v>4823</v>
      </c>
      <c r="AD767" s="18">
        <v>46117</v>
      </c>
    </row>
    <row r="768" spans="1:30" ht="409.5" hidden="1">
      <c r="A768" s="1" t="s">
        <v>965</v>
      </c>
      <c r="B768" s="1">
        <v>1767</v>
      </c>
      <c r="C768" s="1">
        <v>14</v>
      </c>
      <c r="D768" s="1">
        <v>47</v>
      </c>
      <c r="E768" s="1" t="s">
        <v>4292</v>
      </c>
      <c r="F768" s="1" t="s">
        <v>4293</v>
      </c>
      <c r="G768" s="1" t="s">
        <v>40</v>
      </c>
      <c r="H768" s="1" t="s">
        <v>3553</v>
      </c>
      <c r="I768" s="1" t="s">
        <v>3527</v>
      </c>
      <c r="J768" s="1" t="s">
        <v>3528</v>
      </c>
      <c r="K768" s="1" t="s">
        <v>3529</v>
      </c>
      <c r="L768" s="1" t="s">
        <v>3530</v>
      </c>
      <c r="M768" s="1" t="s">
        <v>3531</v>
      </c>
      <c r="N768" s="1"/>
      <c r="O768" s="1" t="s">
        <v>10</v>
      </c>
      <c r="P768" s="1" t="s">
        <v>4288</v>
      </c>
      <c r="Q768" s="1"/>
      <c r="R768" s="1"/>
      <c r="S768" s="1"/>
      <c r="T768" s="1"/>
      <c r="U768" s="1"/>
      <c r="V768" s="1"/>
      <c r="W768" s="1"/>
      <c r="X768" s="1"/>
      <c r="Y768" t="s">
        <v>10</v>
      </c>
      <c r="Z768" t="s">
        <v>4316</v>
      </c>
      <c r="AA768" t="s">
        <v>4317</v>
      </c>
      <c r="AB768" t="s">
        <v>5451</v>
      </c>
      <c r="AC768" t="s">
        <v>4823</v>
      </c>
      <c r="AD768" s="18">
        <v>46117</v>
      </c>
    </row>
  </sheetData>
  <autoFilter ref="A1:AD768" xr:uid="{00000000-0001-0000-0000-000000000000}">
    <filterColumn colId="25">
      <filters>
        <filter val="Mismatch"/>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C172-1F43-46B9-B76E-CF4C7A85DFCE}">
  <dimension ref="A1:MZ5"/>
  <sheetViews>
    <sheetView workbookViewId="0">
      <selection activeCell="I3" sqref="I3"/>
    </sheetView>
  </sheetViews>
  <sheetFormatPr defaultRowHeight="15"/>
  <sheetData>
    <row r="1" spans="1:364" ht="409.5">
      <c r="A1" s="1" t="s">
        <v>966</v>
      </c>
      <c r="B1" s="1">
        <v>1768</v>
      </c>
      <c r="C1" s="1">
        <v>1</v>
      </c>
      <c r="D1" s="1">
        <v>1</v>
      </c>
      <c r="E1" s="1" t="s">
        <v>1478</v>
      </c>
      <c r="F1" s="1" t="s">
        <v>1479</v>
      </c>
      <c r="G1" s="1" t="s">
        <v>40</v>
      </c>
      <c r="H1" s="1" t="s">
        <v>971</v>
      </c>
      <c r="I1" s="1" t="s">
        <v>967</v>
      </c>
      <c r="J1" s="1" t="s">
        <v>968</v>
      </c>
      <c r="K1" s="1" t="s">
        <v>969</v>
      </c>
      <c r="L1" s="1" t="s">
        <v>970</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row>
    <row r="2" spans="1:364" ht="409.5">
      <c r="A2" s="1" t="s">
        <v>966</v>
      </c>
      <c r="B2" s="1">
        <v>1769</v>
      </c>
      <c r="C2" s="1">
        <v>1</v>
      </c>
      <c r="D2" s="1">
        <v>2</v>
      </c>
      <c r="E2" s="1" t="s">
        <v>1481</v>
      </c>
      <c r="F2" s="1" t="s">
        <v>363</v>
      </c>
      <c r="G2" s="1" t="s">
        <v>40</v>
      </c>
      <c r="H2" s="1" t="s">
        <v>972</v>
      </c>
      <c r="I2" s="1" t="s">
        <v>973</v>
      </c>
      <c r="J2" s="1" t="s">
        <v>974</v>
      </c>
      <c r="K2" s="1" t="s">
        <v>975</v>
      </c>
      <c r="L2" s="1" t="s">
        <v>976</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row>
    <row r="3" spans="1:364" ht="409.5">
      <c r="A3" s="1" t="s">
        <v>966</v>
      </c>
      <c r="B3" s="1">
        <v>1770</v>
      </c>
      <c r="C3" s="1">
        <v>1</v>
      </c>
      <c r="D3" s="1">
        <v>3</v>
      </c>
      <c r="E3" s="1" t="s">
        <v>1473</v>
      </c>
      <c r="F3" s="1" t="s">
        <v>227</v>
      </c>
      <c r="G3" s="1" t="s">
        <v>40</v>
      </c>
      <c r="H3" s="1" t="s">
        <v>977</v>
      </c>
      <c r="I3" s="1" t="s">
        <v>978</v>
      </c>
      <c r="J3" s="1" t="s">
        <v>979</v>
      </c>
      <c r="K3" s="1" t="s">
        <v>980</v>
      </c>
      <c r="L3" s="1" t="s">
        <v>981</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row>
    <row r="4" spans="1:364" ht="409.5">
      <c r="A4" s="1" t="s">
        <v>966</v>
      </c>
      <c r="B4" s="1">
        <v>1771</v>
      </c>
      <c r="C4" s="1">
        <v>1</v>
      </c>
      <c r="D4" s="1">
        <v>4</v>
      </c>
      <c r="E4" s="1" t="s">
        <v>1473</v>
      </c>
      <c r="F4" s="1" t="s">
        <v>227</v>
      </c>
      <c r="G4" s="1" t="s">
        <v>40</v>
      </c>
      <c r="H4" s="1" t="s">
        <v>982</v>
      </c>
      <c r="I4" s="1" t="s">
        <v>983</v>
      </c>
      <c r="J4" s="1" t="s">
        <v>984</v>
      </c>
      <c r="K4" s="1" t="s">
        <v>985</v>
      </c>
      <c r="L4" s="1" t="s">
        <v>986</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row>
    <row r="5" spans="1:364" ht="345">
      <c r="A5" s="1" t="s">
        <v>966</v>
      </c>
      <c r="B5" s="1">
        <v>1772</v>
      </c>
      <c r="C5" s="1">
        <v>1</v>
      </c>
      <c r="D5" s="1">
        <v>5</v>
      </c>
      <c r="E5" s="1" t="s">
        <v>1474</v>
      </c>
      <c r="F5" s="1" t="s">
        <v>1475</v>
      </c>
      <c r="G5" s="1" t="s">
        <v>20</v>
      </c>
      <c r="H5" s="1" t="s">
        <v>987</v>
      </c>
      <c r="I5" s="1" t="s">
        <v>988</v>
      </c>
      <c r="J5" s="1" t="s">
        <v>989</v>
      </c>
      <c r="K5" s="1" t="s">
        <v>990</v>
      </c>
      <c r="L5" s="1" t="s">
        <v>991</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CA20-0C9E-4E0C-B655-FA6DAA174EEE}">
  <dimension ref="A3:D21"/>
  <sheetViews>
    <sheetView workbookViewId="0">
      <selection activeCell="C11" sqref="C11"/>
    </sheetView>
  </sheetViews>
  <sheetFormatPr defaultRowHeight="15"/>
  <cols>
    <col min="1" max="1" width="13.140625" bestFit="1" customWidth="1"/>
    <col min="2" max="2" width="17.42578125" bestFit="1" customWidth="1"/>
    <col min="3" max="4" width="21" bestFit="1" customWidth="1"/>
  </cols>
  <sheetData>
    <row r="3" spans="1:4">
      <c r="A3" s="4" t="s">
        <v>579</v>
      </c>
      <c r="B3" t="s">
        <v>581</v>
      </c>
      <c r="C3" t="s">
        <v>3885</v>
      </c>
      <c r="D3" t="s">
        <v>4229</v>
      </c>
    </row>
    <row r="4" spans="1:4">
      <c r="A4" s="5" t="s">
        <v>966</v>
      </c>
      <c r="B4">
        <v>5</v>
      </c>
    </row>
    <row r="5" spans="1:4">
      <c r="A5" s="12">
        <v>1</v>
      </c>
      <c r="B5">
        <v>5</v>
      </c>
    </row>
    <row r="6" spans="1:4">
      <c r="A6" s="5" t="s">
        <v>965</v>
      </c>
      <c r="B6">
        <v>767</v>
      </c>
      <c r="C6">
        <v>767</v>
      </c>
      <c r="D6">
        <v>225</v>
      </c>
    </row>
    <row r="7" spans="1:4">
      <c r="A7" s="12">
        <v>1</v>
      </c>
      <c r="B7">
        <v>57</v>
      </c>
      <c r="C7">
        <v>57</v>
      </c>
      <c r="D7">
        <v>5</v>
      </c>
    </row>
    <row r="8" spans="1:4">
      <c r="A8" s="12">
        <v>2</v>
      </c>
      <c r="B8">
        <v>57</v>
      </c>
      <c r="C8">
        <v>57</v>
      </c>
      <c r="D8">
        <v>16</v>
      </c>
    </row>
    <row r="9" spans="1:4">
      <c r="A9" s="12">
        <v>3</v>
      </c>
      <c r="B9">
        <v>56</v>
      </c>
      <c r="C9">
        <v>56</v>
      </c>
      <c r="D9">
        <v>4</v>
      </c>
    </row>
    <row r="10" spans="1:4">
      <c r="A10" s="12">
        <v>4</v>
      </c>
      <c r="B10">
        <v>58</v>
      </c>
      <c r="C10">
        <v>58</v>
      </c>
      <c r="D10">
        <v>7</v>
      </c>
    </row>
    <row r="11" spans="1:4">
      <c r="A11" s="12">
        <v>5</v>
      </c>
      <c r="B11">
        <v>60</v>
      </c>
      <c r="C11">
        <v>60</v>
      </c>
      <c r="D11">
        <v>18</v>
      </c>
    </row>
    <row r="12" spans="1:4">
      <c r="A12" s="12">
        <v>6</v>
      </c>
      <c r="B12">
        <v>60</v>
      </c>
      <c r="C12">
        <v>60</v>
      </c>
      <c r="D12">
        <v>19</v>
      </c>
    </row>
    <row r="13" spans="1:4">
      <c r="A13" s="12">
        <v>7</v>
      </c>
      <c r="B13">
        <v>60</v>
      </c>
      <c r="C13">
        <v>60</v>
      </c>
      <c r="D13">
        <v>22</v>
      </c>
    </row>
    <row r="14" spans="1:4">
      <c r="A14" s="12">
        <v>8</v>
      </c>
      <c r="B14">
        <v>59</v>
      </c>
      <c r="C14">
        <v>59</v>
      </c>
      <c r="D14">
        <v>27</v>
      </c>
    </row>
    <row r="15" spans="1:4">
      <c r="A15" s="12">
        <v>9</v>
      </c>
      <c r="B15">
        <v>59</v>
      </c>
      <c r="C15">
        <v>59</v>
      </c>
      <c r="D15">
        <v>32</v>
      </c>
    </row>
    <row r="16" spans="1:4">
      <c r="A16" s="12">
        <v>10</v>
      </c>
      <c r="B16">
        <v>14</v>
      </c>
      <c r="C16">
        <v>14</v>
      </c>
      <c r="D16">
        <v>9</v>
      </c>
    </row>
    <row r="17" spans="1:4">
      <c r="A17" s="12">
        <v>11</v>
      </c>
      <c r="B17">
        <v>60</v>
      </c>
      <c r="C17">
        <v>60</v>
      </c>
      <c r="D17">
        <v>15</v>
      </c>
    </row>
    <row r="18" spans="1:4">
      <c r="A18" s="12">
        <v>12</v>
      </c>
      <c r="B18">
        <v>60</v>
      </c>
      <c r="C18">
        <v>60</v>
      </c>
      <c r="D18">
        <v>22</v>
      </c>
    </row>
    <row r="19" spans="1:4">
      <c r="A19" s="12">
        <v>13</v>
      </c>
      <c r="B19">
        <v>60</v>
      </c>
      <c r="C19">
        <v>60</v>
      </c>
      <c r="D19">
        <v>18</v>
      </c>
    </row>
    <row r="20" spans="1:4">
      <c r="A20" s="12">
        <v>14</v>
      </c>
      <c r="B20">
        <v>47</v>
      </c>
      <c r="C20">
        <v>47</v>
      </c>
      <c r="D20">
        <v>11</v>
      </c>
    </row>
    <row r="21" spans="1:4">
      <c r="A21" s="5" t="s">
        <v>580</v>
      </c>
      <c r="B21">
        <v>772</v>
      </c>
      <c r="C21">
        <v>767</v>
      </c>
      <c r="D2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BC82-B70A-4C5C-B655-1998955D0EA6}">
  <sheetPr codeName="Sheet2"/>
  <dimension ref="A1:D19"/>
  <sheetViews>
    <sheetView workbookViewId="0">
      <pane ySplit="1" topLeftCell="A5" activePane="bottomLeft" state="frozen"/>
      <selection pane="bottomLeft" activeCell="G36" sqref="G36"/>
    </sheetView>
  </sheetViews>
  <sheetFormatPr defaultRowHeight="15"/>
  <cols>
    <col min="1" max="1" width="25.28515625" customWidth="1"/>
    <col min="2" max="2" width="10" bestFit="1" customWidth="1"/>
    <col min="3" max="3" width="8" bestFit="1" customWidth="1"/>
  </cols>
  <sheetData>
    <row r="1" spans="1:4">
      <c r="A1" s="3" t="s">
        <v>1</v>
      </c>
      <c r="B1" s="3" t="s">
        <v>156</v>
      </c>
      <c r="C1" s="3" t="s">
        <v>157</v>
      </c>
    </row>
    <row r="2" spans="1:4">
      <c r="A2" s="13">
        <v>1</v>
      </c>
      <c r="B2" s="13">
        <v>57</v>
      </c>
      <c r="C2" s="13">
        <f>GETPIVOTDATA("Count of CorrectLetter",'Pivot Counts'!$A$3,"Source","SCP","Exam",1)</f>
        <v>57</v>
      </c>
    </row>
    <row r="3" spans="1:4">
      <c r="A3" s="13">
        <v>2</v>
      </c>
      <c r="B3" s="13">
        <v>57</v>
      </c>
      <c r="C3" s="13">
        <f>GETPIVOTDATA("Count of CorrectLetter",'Pivot Counts'!$A$3,"Source","SCP","Exam",2)</f>
        <v>57</v>
      </c>
    </row>
    <row r="4" spans="1:4">
      <c r="A4" s="13">
        <v>3</v>
      </c>
      <c r="B4" s="13">
        <v>56</v>
      </c>
      <c r="C4" s="13">
        <f>GETPIVOTDATA("Count of CorrectLetter",'Pivot Counts'!$A$3,"Source","SCP","Exam",3)</f>
        <v>56</v>
      </c>
    </row>
    <row r="5" spans="1:4">
      <c r="A5" s="13">
        <v>4</v>
      </c>
      <c r="B5" s="13">
        <v>58</v>
      </c>
      <c r="C5" s="13">
        <f>GETPIVOTDATA("Count of CorrectLetter",'Pivot Counts'!$A$3,"Source","SCP","Exam",4)</f>
        <v>58</v>
      </c>
    </row>
    <row r="6" spans="1:4">
      <c r="A6" s="13">
        <v>5</v>
      </c>
      <c r="B6" s="13">
        <v>60</v>
      </c>
      <c r="C6" s="13">
        <f>GETPIVOTDATA("Count of CorrectLetter",'Pivot Counts'!$A$3,"Source","SCP","Exam",5)</f>
        <v>60</v>
      </c>
    </row>
    <row r="7" spans="1:4">
      <c r="A7" s="13">
        <v>6</v>
      </c>
      <c r="B7" s="13">
        <v>60</v>
      </c>
      <c r="C7" s="13">
        <f>GETPIVOTDATA("Count of CorrectLetter",'Pivot Counts'!$A$3,"Source","SCP","Exam",6)</f>
        <v>60</v>
      </c>
    </row>
    <row r="8" spans="1:4">
      <c r="A8" s="13">
        <v>7</v>
      </c>
      <c r="B8" s="13">
        <v>60</v>
      </c>
      <c r="C8" s="13">
        <f>GETPIVOTDATA("Count of CorrectLetter",'Pivot Counts'!$A$3,"Source","SCP","Exam",7)</f>
        <v>60</v>
      </c>
    </row>
    <row r="9" spans="1:4">
      <c r="A9" s="13">
        <v>8</v>
      </c>
      <c r="B9" s="13">
        <v>59</v>
      </c>
      <c r="C9" s="13">
        <f>GETPIVOTDATA("Count of CorrectLetter",'Pivot Counts'!$A$3,"Source","SCP","Exam",8)</f>
        <v>59</v>
      </c>
    </row>
    <row r="10" spans="1:4">
      <c r="A10" s="13">
        <v>9</v>
      </c>
      <c r="B10" s="13">
        <v>59</v>
      </c>
      <c r="C10" s="13">
        <f>GETPIVOTDATA("Count of CorrectLetter",'Pivot Counts'!$A$3,"Source","SCP","Exam",9)</f>
        <v>59</v>
      </c>
    </row>
    <row r="11" spans="1:4">
      <c r="A11" s="13">
        <v>10</v>
      </c>
      <c r="B11" s="13">
        <v>14</v>
      </c>
      <c r="C11" s="13">
        <f>GETPIVOTDATA("Count of CorrectLetter",'Pivot Counts'!$A$3,"Source","SCP","Exam",10)</f>
        <v>14</v>
      </c>
    </row>
    <row r="12" spans="1:4">
      <c r="A12" s="13">
        <v>11</v>
      </c>
      <c r="B12" s="13">
        <v>60</v>
      </c>
      <c r="C12" s="13">
        <f>GETPIVOTDATA("Count of CorrectLetter",'Pivot Counts'!$A$3,"Source","SCP","Exam",11)</f>
        <v>60</v>
      </c>
    </row>
    <row r="13" spans="1:4">
      <c r="A13" s="13">
        <v>12</v>
      </c>
      <c r="B13" s="13">
        <v>60</v>
      </c>
      <c r="C13" s="13">
        <f>GETPIVOTDATA("Count of CorrectLetter",'Pivot Counts'!$A$3,"Source","SCP","Exam",12)</f>
        <v>60</v>
      </c>
    </row>
    <row r="14" spans="1:4">
      <c r="A14" s="14">
        <v>13</v>
      </c>
      <c r="B14" s="14">
        <v>60</v>
      </c>
      <c r="C14" s="14">
        <f>GETPIVOTDATA("Count of CorrectLetter",'Pivot Counts'!$A$3,"Source","SCP","Exam",13)</f>
        <v>60</v>
      </c>
    </row>
    <row r="15" spans="1:4">
      <c r="A15" s="15">
        <v>14</v>
      </c>
      <c r="B15" s="15">
        <v>47</v>
      </c>
      <c r="C15" s="15">
        <f>GETPIVOTDATA("Count of CorrectLetter",'Pivot Counts'!$A$3,"Source","SCP","Exam",14)</f>
        <v>47</v>
      </c>
    </row>
    <row r="16" spans="1:4">
      <c r="A16" t="s">
        <v>158</v>
      </c>
      <c r="B16">
        <f>SUM(B2:B15)</f>
        <v>767</v>
      </c>
      <c r="C16">
        <f>SUM(C2:C15)</f>
        <v>767</v>
      </c>
      <c r="D16" s="17">
        <f>C16/B16</f>
        <v>1</v>
      </c>
    </row>
    <row r="17" spans="1:3">
      <c r="A17" t="s">
        <v>160</v>
      </c>
      <c r="B17">
        <f>B16-C16</f>
        <v>0</v>
      </c>
      <c r="C17" s="6"/>
    </row>
    <row r="18" spans="1:3">
      <c r="A18" t="s">
        <v>159</v>
      </c>
      <c r="B18" s="2">
        <f ca="1">EOMONTH(TODAY(),0)-TODAY()+1</f>
        <v>15</v>
      </c>
    </row>
    <row r="19" spans="1:3">
      <c r="A19" t="s">
        <v>4158</v>
      </c>
      <c r="B19" s="16">
        <f ca="1">B17/B18</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7A8F-5E55-4FEC-963B-1FDE4D22D7EF}">
  <dimension ref="A1"/>
  <sheetViews>
    <sheetView workbookViewId="0">
      <selection activeCell="Y20" sqref="Y20"/>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4D3E-990B-412D-97C1-696C36CB4B32}">
  <dimension ref="A1"/>
  <sheetViews>
    <sheetView topLeftCell="A19" workbookViewId="0"/>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7AC9-4595-46F7-A5A2-9D2D35AABE18}">
  <dimension ref="A1"/>
  <sheetViews>
    <sheetView workbookViewId="0">
      <selection activeCell="A11" sqref="A11"/>
    </sheetView>
  </sheetViews>
  <sheetFormatPr defaultRowHeight="15"/>
  <cols>
    <col min="1" max="1" width="73.28515625" bestFit="1" customWidth="1"/>
  </cols>
  <sheetData>
    <row r="1" spans="1:1">
      <c r="A1" s="9" t="s">
        <v>3876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Verification Summary</vt:lpstr>
      <vt:lpstr>Verification Sources</vt:lpstr>
      <vt:lpstr>QuestionBank</vt:lpstr>
      <vt:lpstr>Sheet1</vt:lpstr>
      <vt:lpstr>Pivot Counts</vt:lpstr>
      <vt:lpstr>Progress</vt:lpstr>
      <vt:lpstr>Lakehouse Definition</vt:lpstr>
      <vt:lpstr>Medallion Architecture </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Smith</cp:lastModifiedBy>
  <dcterms:created xsi:type="dcterms:W3CDTF">2026-03-06T06:08:46Z</dcterms:created>
  <dcterms:modified xsi:type="dcterms:W3CDTF">2026-04-16T16:45:59Z</dcterms:modified>
</cp:coreProperties>
</file>